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E652C085-0502-4A79-BDA9-646214D0283C}" xr6:coauthVersionLast="47" xr6:coauthVersionMax="47" xr10:uidLastSave="{00000000-0000-0000-0000-000000000000}"/>
  <bookViews>
    <workbookView xWindow="-108" yWindow="-108" windowWidth="23256" windowHeight="12456" activeTab="2" xr2:uid="{488E695D-186F-4F70-84FF-B45996E6FD0D}"/>
  </bookViews>
  <sheets>
    <sheet name="Pivot Tables" sheetId="3" r:id="rId1"/>
    <sheet name="DataSet" sheetId="1" r:id="rId2"/>
    <sheet name="Dashboard" sheetId="4" r:id="rId3"/>
    <sheet name="Main Task" sheetId="2" r:id="rId4"/>
  </sheets>
  <definedNames>
    <definedName name="NativeTimeline_Order_Date">#N/A</definedName>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4" l="1"/>
  <c r="N4" i="4"/>
  <c r="I4" i="4"/>
  <c r="D4" i="4"/>
  <c r="H198" i="1"/>
  <c r="H143" i="1"/>
  <c r="H89" i="1"/>
  <c r="H32" i="1"/>
  <c r="G207" i="1"/>
  <c r="G148" i="1"/>
  <c r="G92" i="1"/>
  <c r="G37" i="1"/>
  <c r="F211" i="1"/>
  <c r="I211" i="1" s="1"/>
  <c r="F153" i="1"/>
  <c r="F97" i="1"/>
  <c r="F42" i="1"/>
  <c r="E201" i="1"/>
  <c r="E139" i="1"/>
  <c r="E83" i="1"/>
  <c r="E28" i="1"/>
  <c r="D191" i="1" a="1"/>
  <c r="D191" i="1" s="1"/>
  <c r="D134" i="1" a="1"/>
  <c r="D134" i="1" s="1"/>
  <c r="D76" i="1" a="1"/>
  <c r="D76" i="1"/>
  <c r="D31" i="1" a="1"/>
  <c r="D31" i="1"/>
  <c r="C197" i="1" a="1"/>
  <c r="C197" i="1"/>
  <c r="C146" i="1" a="1"/>
  <c r="C146" i="1"/>
  <c r="C88" i="1" a="1"/>
  <c r="C88" i="1"/>
  <c r="C35" i="1" a="1"/>
  <c r="C35" i="1"/>
  <c r="B203" i="1" a="1"/>
  <c r="B203" i="1" s="1"/>
  <c r="B157" i="1" a="1"/>
  <c r="B157" i="1" s="1"/>
  <c r="B109" i="1" a="1"/>
  <c r="B109" i="1"/>
  <c r="B64" i="1" a="1"/>
  <c r="B64" i="1"/>
  <c r="B27" i="1" a="1"/>
  <c r="B27" i="1" s="1"/>
  <c r="J34" i="2"/>
  <c r="J65" i="2"/>
  <c r="J90" i="2"/>
  <c r="J129" i="2"/>
  <c r="J136" i="2"/>
  <c r="J137" i="2"/>
  <c r="K143" i="2"/>
  <c r="L143" i="2" s="1"/>
  <c r="J145" i="2"/>
  <c r="J173" i="2"/>
  <c r="J200" i="2"/>
  <c r="J225" i="2"/>
  <c r="J232" i="2"/>
  <c r="A736" i="2"/>
  <c r="A751" i="2"/>
  <c r="A753" i="2"/>
  <c r="A759" i="2"/>
  <c r="A768" i="2"/>
  <c r="A800" i="2"/>
  <c r="A806" i="2"/>
  <c r="A848" i="2"/>
  <c r="A854" i="2"/>
  <c r="A863" i="2"/>
  <c r="A874" i="2"/>
  <c r="A911" i="2"/>
  <c r="A921" i="2"/>
  <c r="A472" i="2"/>
  <c r="A474" i="2"/>
  <c r="A475" i="2"/>
  <c r="A486" i="2"/>
  <c r="A487" i="2"/>
  <c r="A510" i="2"/>
  <c r="A513" i="2"/>
  <c r="A515" i="2"/>
  <c r="A518" i="2"/>
  <c r="A534" i="2"/>
  <c r="A536" i="2"/>
  <c r="A554" i="2"/>
  <c r="A566" i="2"/>
  <c r="A573" i="2"/>
  <c r="A574" i="2"/>
  <c r="A578" i="2"/>
  <c r="A594" i="2"/>
  <c r="A609" i="2"/>
  <c r="A614" i="2"/>
  <c r="A632" i="2"/>
  <c r="A634" i="2"/>
  <c r="A635" i="2"/>
  <c r="A663" i="2"/>
  <c r="A669" i="2"/>
  <c r="A679" i="2"/>
  <c r="A680" i="2"/>
  <c r="A681" i="2"/>
  <c r="A683" i="2"/>
  <c r="B236" i="2"/>
  <c r="C236" i="2"/>
  <c r="B242" i="2"/>
  <c r="C242" i="2"/>
  <c r="C243" i="2"/>
  <c r="B246" i="2"/>
  <c r="C246" i="2" s="1"/>
  <c r="B248" i="2"/>
  <c r="C248" i="2" s="1"/>
  <c r="B251" i="2"/>
  <c r="C251" i="2" s="1"/>
  <c r="B253" i="2"/>
  <c r="C253" i="2" s="1"/>
  <c r="B254" i="2"/>
  <c r="C254" i="2"/>
  <c r="A256" i="2"/>
  <c r="B256" i="2"/>
  <c r="C256" i="2"/>
  <c r="A257" i="2"/>
  <c r="A262" i="2"/>
  <c r="B268" i="2"/>
  <c r="C268" i="2" s="1"/>
  <c r="C270" i="2"/>
  <c r="B273" i="2"/>
  <c r="C273" i="2" s="1"/>
  <c r="B274" i="2"/>
  <c r="C274" i="2" s="1"/>
  <c r="B280" i="2"/>
  <c r="C280" i="2" s="1"/>
  <c r="A281" i="2"/>
  <c r="B281" i="2"/>
  <c r="C281" i="2" s="1"/>
  <c r="B282" i="2"/>
  <c r="C282" i="2" s="1"/>
  <c r="B289" i="2"/>
  <c r="C289" i="2"/>
  <c r="A290" i="2"/>
  <c r="B290" i="2"/>
  <c r="C290" i="2" s="1"/>
  <c r="B291" i="2"/>
  <c r="C291" i="2"/>
  <c r="B298" i="2"/>
  <c r="C298" i="2" s="1"/>
  <c r="B300" i="2"/>
  <c r="C300" i="2"/>
  <c r="B301" i="2"/>
  <c r="C301" i="2" s="1"/>
  <c r="B302" i="2"/>
  <c r="C302" i="2"/>
  <c r="B307" i="2"/>
  <c r="C307" i="2"/>
  <c r="B308" i="2"/>
  <c r="C308" i="2"/>
  <c r="A309" i="2"/>
  <c r="C311" i="2"/>
  <c r="B313" i="2"/>
  <c r="C313" i="2"/>
  <c r="B314" i="2"/>
  <c r="C314" i="2"/>
  <c r="B316" i="2"/>
  <c r="C316" i="2" s="1"/>
  <c r="B317" i="2"/>
  <c r="C317" i="2" s="1"/>
  <c r="B318" i="2"/>
  <c r="C318" i="2" s="1"/>
  <c r="C319" i="2"/>
  <c r="A320" i="2"/>
  <c r="B321" i="2"/>
  <c r="C321" i="2"/>
  <c r="A322" i="2"/>
  <c r="B322" i="2"/>
  <c r="C322" i="2" s="1"/>
  <c r="B323" i="2"/>
  <c r="C323" i="2" s="1"/>
  <c r="B324" i="2"/>
  <c r="C324" i="2"/>
  <c r="C335" i="2"/>
  <c r="B336" i="2"/>
  <c r="C336" i="2" s="1"/>
  <c r="A341" i="2"/>
  <c r="A342" i="2"/>
  <c r="B344" i="2"/>
  <c r="C344" i="2" s="1"/>
  <c r="B347" i="2"/>
  <c r="C347" i="2"/>
  <c r="B348" i="2"/>
  <c r="C348" i="2" s="1"/>
  <c r="B354" i="2"/>
  <c r="C354" i="2" s="1"/>
  <c r="B356" i="2"/>
  <c r="C356" i="2" s="1"/>
  <c r="B365" i="2"/>
  <c r="C365" i="2"/>
  <c r="B366" i="2"/>
  <c r="C366" i="2" s="1"/>
  <c r="B367" i="2"/>
  <c r="C367" i="2" s="1"/>
  <c r="A370" i="2"/>
  <c r="A374" i="2"/>
  <c r="B374" i="2"/>
  <c r="C374" i="2" s="1"/>
  <c r="B375" i="2"/>
  <c r="C375" i="2" s="1"/>
  <c r="B376" i="2"/>
  <c r="C376" i="2"/>
  <c r="B378" i="2"/>
  <c r="C378" i="2" s="1"/>
  <c r="B379" i="2"/>
  <c r="C379" i="2"/>
  <c r="B380" i="2"/>
  <c r="C380" i="2" s="1"/>
  <c r="A382" i="2"/>
  <c r="B382" i="2"/>
  <c r="C382" i="2" s="1"/>
  <c r="B384" i="2"/>
  <c r="C384" i="2" s="1"/>
  <c r="A386" i="2"/>
  <c r="A388" i="2"/>
  <c r="B389" i="2"/>
  <c r="C389" i="2"/>
  <c r="B390" i="2"/>
  <c r="C390" i="2" s="1"/>
  <c r="B391" i="2"/>
  <c r="C391" i="2"/>
  <c r="A393" i="2"/>
  <c r="B393" i="2"/>
  <c r="C393" i="2" s="1"/>
  <c r="C396" i="2"/>
  <c r="B397" i="2"/>
  <c r="C397" i="2"/>
  <c r="A398" i="2"/>
  <c r="B398" i="2"/>
  <c r="C398" i="2"/>
  <c r="B399" i="2"/>
  <c r="C399" i="2" s="1"/>
  <c r="B400" i="2"/>
  <c r="C400" i="2" s="1"/>
  <c r="B407" i="2"/>
  <c r="C407" i="2" s="1"/>
  <c r="B408" i="2"/>
  <c r="C408" i="2" s="1"/>
  <c r="B412" i="2"/>
  <c r="C412" i="2" s="1"/>
  <c r="A419" i="2"/>
  <c r="C421" i="2"/>
  <c r="A422" i="2"/>
  <c r="A426" i="2"/>
  <c r="A430" i="2"/>
  <c r="B430" i="2"/>
  <c r="C430" i="2" s="1"/>
  <c r="C431" i="2"/>
  <c r="A432" i="2"/>
  <c r="B440" i="2"/>
  <c r="C440" i="2"/>
  <c r="B441" i="2"/>
  <c r="C441" i="2" s="1"/>
  <c r="B442" i="2"/>
  <c r="C442" i="2" s="1"/>
  <c r="B447" i="2"/>
  <c r="C447" i="2"/>
  <c r="A448" i="2"/>
  <c r="A449" i="2"/>
  <c r="C450" i="2"/>
  <c r="C451" i="2"/>
  <c r="B453" i="2"/>
  <c r="C453" i="2" s="1"/>
  <c r="C462" i="2"/>
  <c r="B235" i="2"/>
  <c r="C235" i="2" s="1"/>
  <c r="B11" i="2"/>
  <c r="C11" i="2"/>
  <c r="B12" i="2"/>
  <c r="C12" i="2" s="1"/>
  <c r="B13" i="2"/>
  <c r="C13" i="2"/>
  <c r="A14" i="2"/>
  <c r="A16" i="2"/>
  <c r="B20" i="2"/>
  <c r="C20" i="2"/>
  <c r="A22" i="2"/>
  <c r="B23" i="2"/>
  <c r="C23" i="2" s="1"/>
  <c r="B25" i="2"/>
  <c r="C25" i="2"/>
  <c r="B29" i="2"/>
  <c r="C29" i="2" s="1"/>
  <c r="B31" i="2"/>
  <c r="C31" i="2" s="1"/>
  <c r="C34" i="2"/>
  <c r="B37" i="2"/>
  <c r="C37" i="2" s="1"/>
  <c r="A39" i="2"/>
  <c r="B42" i="2"/>
  <c r="C42" i="2" s="1"/>
  <c r="A43" i="2"/>
  <c r="B43" i="2"/>
  <c r="C43" i="2" s="1"/>
  <c r="A44" i="2"/>
  <c r="B44" i="2"/>
  <c r="C44" i="2" s="1"/>
  <c r="A45" i="2"/>
  <c r="B48" i="2"/>
  <c r="C48" i="2" s="1"/>
  <c r="B49" i="2"/>
  <c r="C49" i="2" s="1"/>
  <c r="B51" i="2"/>
  <c r="C51" i="2"/>
  <c r="C52" i="2"/>
  <c r="B54" i="2"/>
  <c r="C54" i="2"/>
  <c r="A56" i="2"/>
  <c r="B58" i="2"/>
  <c r="C58" i="2" s="1"/>
  <c r="B66" i="2"/>
  <c r="C66" i="2" s="1"/>
  <c r="B67" i="2"/>
  <c r="C67" i="2"/>
  <c r="A71" i="2"/>
  <c r="A72" i="2"/>
  <c r="B72" i="2"/>
  <c r="C72" i="2"/>
  <c r="A75" i="2"/>
  <c r="B76" i="2"/>
  <c r="C76" i="2" s="1"/>
  <c r="B88" i="2"/>
  <c r="C88" i="2"/>
  <c r="B90" i="2"/>
  <c r="C90" i="2" s="1"/>
  <c r="A95" i="2"/>
  <c r="B95" i="2"/>
  <c r="C95" i="2" s="1"/>
  <c r="B96" i="2"/>
  <c r="C96" i="2" s="1"/>
  <c r="B97" i="2"/>
  <c r="C97" i="2" s="1"/>
  <c r="A98" i="2"/>
  <c r="A99" i="2"/>
  <c r="B104" i="2"/>
  <c r="C104" i="2" s="1"/>
  <c r="B106" i="2"/>
  <c r="C106" i="2" s="1"/>
  <c r="B118" i="2"/>
  <c r="C118" i="2" s="1"/>
  <c r="A119" i="2"/>
  <c r="A120" i="2"/>
  <c r="A126" i="2"/>
  <c r="B126" i="2"/>
  <c r="C126" i="2" s="1"/>
  <c r="B127" i="2"/>
  <c r="C127" i="2" s="1"/>
  <c r="A131" i="2"/>
  <c r="B132" i="2"/>
  <c r="C132" i="2" s="1"/>
  <c r="B134" i="2"/>
  <c r="C134" i="2" s="1"/>
  <c r="C135" i="2"/>
  <c r="A136" i="2"/>
  <c r="B136" i="2"/>
  <c r="C136" i="2" s="1"/>
  <c r="A137" i="2"/>
  <c r="B137" i="2"/>
  <c r="C137" i="2"/>
  <c r="B144" i="2"/>
  <c r="C144" i="2" s="1"/>
  <c r="B145" i="2"/>
  <c r="C145" i="2" s="1"/>
  <c r="B148" i="2"/>
  <c r="C148" i="2" s="1"/>
  <c r="C151" i="2"/>
  <c r="B153" i="2"/>
  <c r="C153" i="2"/>
  <c r="A155" i="2"/>
  <c r="A157" i="2"/>
  <c r="B158" i="2"/>
  <c r="C158" i="2" s="1"/>
  <c r="B160" i="2"/>
  <c r="C160" i="2" s="1"/>
  <c r="B162" i="2"/>
  <c r="C162" i="2"/>
  <c r="B165" i="2"/>
  <c r="C165" i="2"/>
  <c r="B166" i="2"/>
  <c r="C166" i="2"/>
  <c r="A167" i="2"/>
  <c r="A168" i="2"/>
  <c r="B173" i="2"/>
  <c r="C173" i="2"/>
  <c r="A174" i="2"/>
  <c r="B176" i="2"/>
  <c r="C176" i="2" s="1"/>
  <c r="B178" i="2"/>
  <c r="C178" i="2" s="1"/>
  <c r="B181" i="2"/>
  <c r="C181" i="2" s="1"/>
  <c r="B182" i="2"/>
  <c r="C182" i="2" s="1"/>
  <c r="A184" i="2"/>
  <c r="B185" i="2"/>
  <c r="C185" i="2" s="1"/>
  <c r="A190" i="2"/>
  <c r="B190" i="2"/>
  <c r="C190" i="2"/>
  <c r="A191" i="2"/>
  <c r="C192" i="2"/>
  <c r="B194" i="2"/>
  <c r="C194" i="2" s="1"/>
  <c r="B195" i="2"/>
  <c r="C195" i="2" s="1"/>
  <c r="A197" i="2"/>
  <c r="B199" i="2"/>
  <c r="C199" i="2"/>
  <c r="A200" i="2"/>
  <c r="B201" i="2"/>
  <c r="C201" i="2"/>
  <c r="B202" i="2"/>
  <c r="C202" i="2" s="1"/>
  <c r="B203" i="2"/>
  <c r="C203" i="2"/>
  <c r="B207" i="2"/>
  <c r="C207" i="2" s="1"/>
  <c r="B209" i="2"/>
  <c r="C209" i="2" s="1"/>
  <c r="B210" i="2"/>
  <c r="C210" i="2"/>
  <c r="B211" i="2"/>
  <c r="C211" i="2" s="1"/>
  <c r="B212" i="2"/>
  <c r="C212" i="2" s="1"/>
  <c r="B216" i="2"/>
  <c r="C216" i="2" s="1"/>
  <c r="A218" i="2"/>
  <c r="B218" i="2"/>
  <c r="C218" i="2" s="1"/>
  <c r="A219" i="2"/>
  <c r="B219" i="2"/>
  <c r="C219" i="2" s="1"/>
  <c r="B220" i="2"/>
  <c r="C220" i="2" s="1"/>
  <c r="A222" i="2"/>
  <c r="B222" i="2"/>
  <c r="C222" i="2" s="1"/>
  <c r="B223" i="2"/>
  <c r="C223" i="2" s="1"/>
  <c r="B4" i="2"/>
  <c r="C4" i="2" s="1"/>
  <c r="B229" i="1"/>
  <c r="C229" i="1"/>
  <c r="B462" i="2" s="1"/>
  <c r="G229" i="1"/>
  <c r="B228" i="1"/>
  <c r="F228" i="1"/>
  <c r="K228" i="1"/>
  <c r="M228" i="1"/>
  <c r="A228" i="1"/>
  <c r="B227" i="1"/>
  <c r="D227" i="1"/>
  <c r="E227" i="1"/>
  <c r="E226" i="1"/>
  <c r="K226" i="1"/>
  <c r="L226" i="1"/>
  <c r="M226" i="1"/>
  <c r="L225" i="1"/>
  <c r="F225" i="1"/>
  <c r="B225" i="1"/>
  <c r="B23" i="1" a="1"/>
  <c r="B23" i="1"/>
  <c r="A25" i="1"/>
  <c r="M3" i="1" a="1"/>
  <c r="M3" i="1" s="1"/>
  <c r="M4" i="1" a="1"/>
  <c r="M4" i="1"/>
  <c r="M5" i="1" a="1"/>
  <c r="M5" i="1"/>
  <c r="M6" i="1" a="1"/>
  <c r="M6" i="1"/>
  <c r="M7" i="1" a="1"/>
  <c r="M7" i="1" s="1"/>
  <c r="M8" i="1" a="1"/>
  <c r="M8" i="1" s="1"/>
  <c r="M9" i="1" a="1"/>
  <c r="M9" i="1"/>
  <c r="M10" i="1" a="1"/>
  <c r="M10" i="1"/>
  <c r="M11" i="1" a="1"/>
  <c r="M11" i="1" s="1"/>
  <c r="M12" i="1" a="1"/>
  <c r="M12" i="1"/>
  <c r="M13" i="1" a="1"/>
  <c r="M13" i="1"/>
  <c r="M14" i="1" a="1"/>
  <c r="M14" i="1"/>
  <c r="M15" i="1" a="1"/>
  <c r="M15" i="1"/>
  <c r="M16" i="1" a="1"/>
  <c r="M16" i="1"/>
  <c r="M17" i="1" a="1"/>
  <c r="M17" i="1" s="1"/>
  <c r="M18" i="1" a="1"/>
  <c r="M18" i="1" s="1"/>
  <c r="M19" i="1" a="1"/>
  <c r="M19" i="1" s="1"/>
  <c r="M20" i="1" a="1"/>
  <c r="M20" i="1"/>
  <c r="M225" i="1" s="1"/>
  <c r="M21" i="1" a="1"/>
  <c r="M21" i="1"/>
  <c r="M22" i="1" a="1"/>
  <c r="M22" i="1"/>
  <c r="M23" i="1" a="1"/>
  <c r="M23" i="1"/>
  <c r="M24" i="1" a="1"/>
  <c r="M24" i="1" s="1"/>
  <c r="M25" i="1" a="1"/>
  <c r="M25" i="1"/>
  <c r="M26" i="1" a="1"/>
  <c r="M26" i="1"/>
  <c r="M27" i="1" a="1"/>
  <c r="M27" i="1" s="1"/>
  <c r="M28" i="1" a="1"/>
  <c r="M28" i="1"/>
  <c r="M29" i="1" a="1"/>
  <c r="M29" i="1"/>
  <c r="M30" i="1" a="1"/>
  <c r="M30" i="1"/>
  <c r="M31" i="1" a="1"/>
  <c r="M31" i="1"/>
  <c r="M32" i="1" a="1"/>
  <c r="M32" i="1"/>
  <c r="M33" i="1" a="1"/>
  <c r="M33" i="1" s="1"/>
  <c r="M34" i="1" a="1"/>
  <c r="M34" i="1" s="1"/>
  <c r="M35" i="1" a="1"/>
  <c r="M35" i="1" s="1"/>
  <c r="M36" i="1" a="1"/>
  <c r="M36" i="1" s="1"/>
  <c r="M37" i="1" a="1"/>
  <c r="M37" i="1"/>
  <c r="M38" i="1" a="1"/>
  <c r="M38" i="1"/>
  <c r="M39" i="1" a="1"/>
  <c r="M39" i="1"/>
  <c r="M40" i="1" a="1"/>
  <c r="M40" i="1"/>
  <c r="M41" i="1" a="1"/>
  <c r="M41" i="1"/>
  <c r="M42" i="1" a="1"/>
  <c r="M42" i="1" s="1"/>
  <c r="M43" i="1" a="1"/>
  <c r="M43" i="1" s="1"/>
  <c r="M44" i="1" a="1"/>
  <c r="M44" i="1"/>
  <c r="M45" i="1" a="1"/>
  <c r="M45" i="1"/>
  <c r="M46" i="1" a="1"/>
  <c r="M46" i="1"/>
  <c r="M47" i="1" a="1"/>
  <c r="M47" i="1"/>
  <c r="M48" i="1" a="1"/>
  <c r="M48" i="1"/>
  <c r="M49" i="1" a="1"/>
  <c r="M49" i="1"/>
  <c r="M50" i="1" a="1"/>
  <c r="M50" i="1"/>
  <c r="M51" i="1" a="1"/>
  <c r="M51" i="1" s="1"/>
  <c r="M52" i="1" a="1"/>
  <c r="M52" i="1"/>
  <c r="M53" i="1" a="1"/>
  <c r="M53" i="1" s="1"/>
  <c r="M54" i="1" a="1"/>
  <c r="M54" i="1"/>
  <c r="M55" i="1" a="1"/>
  <c r="M55" i="1"/>
  <c r="M56" i="1" a="1"/>
  <c r="M56" i="1"/>
  <c r="M57" i="1" a="1"/>
  <c r="M57" i="1"/>
  <c r="M58" i="1" a="1"/>
  <c r="M58" i="1"/>
  <c r="M59" i="1" a="1"/>
  <c r="M59" i="1" s="1"/>
  <c r="M60" i="1" a="1"/>
  <c r="M60" i="1" s="1"/>
  <c r="M61" i="1" a="1"/>
  <c r="M61" i="1"/>
  <c r="M62" i="1" a="1"/>
  <c r="M62" i="1" s="1"/>
  <c r="M63" i="1" a="1"/>
  <c r="M63" i="1"/>
  <c r="M64" i="1" a="1"/>
  <c r="M64" i="1" s="1"/>
  <c r="M65" i="1" a="1"/>
  <c r="M65" i="1"/>
  <c r="M66" i="1" a="1"/>
  <c r="M66" i="1"/>
  <c r="M67" i="1" a="1"/>
  <c r="M67" i="1" s="1"/>
  <c r="M68" i="1" a="1"/>
  <c r="M68" i="1" s="1"/>
  <c r="M69" i="1" a="1"/>
  <c r="M69" i="1"/>
  <c r="M70" i="1" a="1"/>
  <c r="M70" i="1"/>
  <c r="M71" i="1" a="1"/>
  <c r="M71" i="1"/>
  <c r="M72" i="1" a="1"/>
  <c r="M72" i="1"/>
  <c r="M73" i="1" a="1"/>
  <c r="M73" i="1"/>
  <c r="M74" i="1" a="1"/>
  <c r="M74" i="1" s="1"/>
  <c r="M75" i="1" a="1"/>
  <c r="M75" i="1" s="1"/>
  <c r="M76" i="1" a="1"/>
  <c r="M76" i="1"/>
  <c r="M77" i="1" a="1"/>
  <c r="M77" i="1" s="1"/>
  <c r="M78" i="1" a="1"/>
  <c r="M78" i="1"/>
  <c r="M79" i="1" a="1"/>
  <c r="M79" i="1" s="1"/>
  <c r="M80" i="1" a="1"/>
  <c r="M80" i="1" s="1"/>
  <c r="M227" i="1" s="1"/>
  <c r="M81" i="1" a="1"/>
  <c r="M81" i="1"/>
  <c r="M82" i="1" a="1"/>
  <c r="M82" i="1" s="1"/>
  <c r="M83" i="1" a="1"/>
  <c r="M83" i="1" s="1"/>
  <c r="M84" i="1" a="1"/>
  <c r="M84" i="1"/>
  <c r="M85" i="1" a="1"/>
  <c r="M85" i="1" s="1"/>
  <c r="M86" i="1" a="1"/>
  <c r="M86" i="1"/>
  <c r="M87" i="1" a="1"/>
  <c r="M87" i="1" s="1"/>
  <c r="M88" i="1" a="1"/>
  <c r="M88" i="1"/>
  <c r="M89" i="1" a="1"/>
  <c r="M89" i="1"/>
  <c r="M90" i="1" a="1"/>
  <c r="M90" i="1"/>
  <c r="M91" i="1" a="1"/>
  <c r="M91" i="1" s="1"/>
  <c r="M92" i="1" a="1"/>
  <c r="M92" i="1"/>
  <c r="M93" i="1" a="1"/>
  <c r="M93" i="1" s="1"/>
  <c r="M94" i="1" a="1"/>
  <c r="M94" i="1" s="1"/>
  <c r="M95" i="1" a="1"/>
  <c r="M95" i="1"/>
  <c r="M96" i="1" a="1"/>
  <c r="M96" i="1" s="1"/>
  <c r="M97" i="1" a="1"/>
  <c r="M97" i="1"/>
  <c r="M98" i="1" a="1"/>
  <c r="M98" i="1" s="1"/>
  <c r="M99" i="1" a="1"/>
  <c r="M99" i="1" s="1"/>
  <c r="M100" i="1" a="1"/>
  <c r="M100" i="1"/>
  <c r="M101" i="1" a="1"/>
  <c r="M101" i="1"/>
  <c r="M102" i="1" a="1"/>
  <c r="M102" i="1"/>
  <c r="M103" i="1" a="1"/>
  <c r="M103" i="1"/>
  <c r="M104" i="1" a="1"/>
  <c r="M104" i="1"/>
  <c r="M105" i="1" a="1"/>
  <c r="M105" i="1"/>
  <c r="M106" i="1" a="1"/>
  <c r="M106" i="1"/>
  <c r="M107" i="1" a="1"/>
  <c r="M107" i="1" s="1"/>
  <c r="M108" i="1" a="1"/>
  <c r="M108" i="1"/>
  <c r="M109" i="1" a="1"/>
  <c r="M109" i="1" s="1"/>
  <c r="M110" i="1" a="1"/>
  <c r="M110" i="1"/>
  <c r="M111" i="1" a="1"/>
  <c r="M111" i="1" s="1"/>
  <c r="M112" i="1" a="1"/>
  <c r="M112" i="1"/>
  <c r="M113" i="1" a="1"/>
  <c r="M113" i="1" s="1"/>
  <c r="M114" i="1" a="1"/>
  <c r="M114" i="1"/>
  <c r="M115" i="1" a="1"/>
  <c r="M115" i="1" s="1"/>
  <c r="M116" i="1" a="1"/>
  <c r="M116" i="1" s="1"/>
  <c r="M117" i="1" a="1"/>
  <c r="M117" i="1"/>
  <c r="M118" i="1" a="1"/>
  <c r="M118" i="1"/>
  <c r="M119" i="1" a="1"/>
  <c r="M119" i="1"/>
  <c r="M120" i="1" a="1"/>
  <c r="M120" i="1"/>
  <c r="M121" i="1" a="1"/>
  <c r="M121" i="1"/>
  <c r="M122" i="1" a="1"/>
  <c r="M122" i="1"/>
  <c r="M123" i="1" a="1"/>
  <c r="M123" i="1" s="1"/>
  <c r="M124" i="1" a="1"/>
  <c r="M124" i="1"/>
  <c r="M125" i="1" a="1"/>
  <c r="M125" i="1" s="1"/>
  <c r="M126" i="1" a="1"/>
  <c r="M126" i="1"/>
  <c r="M127" i="1" a="1"/>
  <c r="M127" i="1" s="1"/>
  <c r="M128" i="1" a="1"/>
  <c r="M128" i="1" s="1"/>
  <c r="M129" i="1" a="1"/>
  <c r="M129" i="1"/>
  <c r="M130" i="1" a="1"/>
  <c r="M130" i="1" s="1"/>
  <c r="M131" i="1" a="1"/>
  <c r="M131" i="1" s="1"/>
  <c r="M132" i="1" a="1"/>
  <c r="M132" i="1"/>
  <c r="M133" i="1" a="1"/>
  <c r="M133" i="1" s="1"/>
  <c r="M134" i="1" a="1"/>
  <c r="M134" i="1"/>
  <c r="M135" i="1" a="1"/>
  <c r="M135" i="1"/>
  <c r="M136" i="1" a="1"/>
  <c r="M136" i="1"/>
  <c r="M137" i="1" a="1"/>
  <c r="M137" i="1"/>
  <c r="M138" i="1" a="1"/>
  <c r="M138" i="1"/>
  <c r="M139" i="1" a="1"/>
  <c r="M139" i="1" s="1"/>
  <c r="M140" i="1" a="1"/>
  <c r="M140" i="1" s="1"/>
  <c r="M141" i="1" a="1"/>
  <c r="M141" i="1"/>
  <c r="M142" i="1" a="1"/>
  <c r="M142" i="1"/>
  <c r="M143" i="1" a="1"/>
  <c r="M143" i="1" s="1"/>
  <c r="M144" i="1" a="1"/>
  <c r="M144" i="1"/>
  <c r="M145" i="1" a="1"/>
  <c r="M145" i="1" s="1"/>
  <c r="M146" i="1" a="1"/>
  <c r="M146" i="1"/>
  <c r="M147" i="1" a="1"/>
  <c r="M147" i="1" s="1"/>
  <c r="M148" i="1" a="1"/>
  <c r="M148" i="1"/>
  <c r="M149" i="1" a="1"/>
  <c r="M149" i="1"/>
  <c r="M150" i="1" a="1"/>
  <c r="M150" i="1"/>
  <c r="M151" i="1" a="1"/>
  <c r="M151" i="1" s="1"/>
  <c r="M152" i="1" a="1"/>
  <c r="M152" i="1" s="1"/>
  <c r="M153" i="1" a="1"/>
  <c r="M153" i="1"/>
  <c r="M154" i="1" a="1"/>
  <c r="M154" i="1"/>
  <c r="M155" i="1" a="1"/>
  <c r="M155" i="1" s="1"/>
  <c r="M156" i="1" a="1"/>
  <c r="M156" i="1" s="1"/>
  <c r="M157" i="1" a="1"/>
  <c r="M157" i="1"/>
  <c r="M158" i="1" a="1"/>
  <c r="M158" i="1"/>
  <c r="M159" i="1" a="1"/>
  <c r="M159" i="1"/>
  <c r="M160" i="1" a="1"/>
  <c r="M160" i="1"/>
  <c r="M229" i="1" s="1"/>
  <c r="M161" i="1" a="1"/>
  <c r="M161" i="1" s="1"/>
  <c r="M162" i="1" a="1"/>
  <c r="M162" i="1" s="1"/>
  <c r="M163" i="1" a="1"/>
  <c r="M163" i="1" s="1"/>
  <c r="M164" i="1" a="1"/>
  <c r="M164" i="1" s="1"/>
  <c r="M165" i="1" a="1"/>
  <c r="M165" i="1"/>
  <c r="M166" i="1" a="1"/>
  <c r="M166" i="1"/>
  <c r="M167" i="1" a="1"/>
  <c r="M167" i="1"/>
  <c r="M168" i="1" a="1"/>
  <c r="M168" i="1"/>
  <c r="M169" i="1" a="1"/>
  <c r="M169" i="1"/>
  <c r="M170" i="1" a="1"/>
  <c r="M170" i="1" s="1"/>
  <c r="M171" i="1" a="1"/>
  <c r="M171" i="1" s="1"/>
  <c r="M172" i="1" a="1"/>
  <c r="M172" i="1"/>
  <c r="M173" i="1" a="1"/>
  <c r="M173" i="1" s="1"/>
  <c r="M174" i="1" a="1"/>
  <c r="M174" i="1"/>
  <c r="M175" i="1" a="1"/>
  <c r="M175" i="1"/>
  <c r="M176" i="1" a="1"/>
  <c r="M176" i="1"/>
  <c r="M177" i="1" a="1"/>
  <c r="M177" i="1"/>
  <c r="M178" i="1" a="1"/>
  <c r="M178" i="1"/>
  <c r="M179" i="1" a="1"/>
  <c r="M179" i="1" s="1"/>
  <c r="M180" i="1" a="1"/>
  <c r="M180" i="1"/>
  <c r="M181" i="1" a="1"/>
  <c r="M181" i="1"/>
  <c r="M182" i="1" a="1"/>
  <c r="M182" i="1"/>
  <c r="M183" i="1" a="1"/>
  <c r="M183" i="1"/>
  <c r="M184" i="1" a="1"/>
  <c r="M184" i="1"/>
  <c r="M185" i="1" a="1"/>
  <c r="M185" i="1"/>
  <c r="M186" i="1" a="1"/>
  <c r="M186" i="1"/>
  <c r="M187" i="1" a="1"/>
  <c r="M187" i="1" s="1"/>
  <c r="M188" i="1" a="1"/>
  <c r="M188" i="1" s="1"/>
  <c r="M189" i="1" a="1"/>
  <c r="M189" i="1"/>
  <c r="M190" i="1" a="1"/>
  <c r="M190" i="1" s="1"/>
  <c r="M191" i="1" a="1"/>
  <c r="M191" i="1" s="1"/>
  <c r="M192" i="1" a="1"/>
  <c r="M192" i="1"/>
  <c r="M193" i="1" a="1"/>
  <c r="M193" i="1"/>
  <c r="M194" i="1" a="1"/>
  <c r="M194" i="1"/>
  <c r="M195" i="1" a="1"/>
  <c r="M195" i="1" s="1"/>
  <c r="M196" i="1" a="1"/>
  <c r="M196" i="1"/>
  <c r="M197" i="1" a="1"/>
  <c r="M197" i="1"/>
  <c r="M198" i="1" a="1"/>
  <c r="M198" i="1"/>
  <c r="M199" i="1" a="1"/>
  <c r="M199" i="1"/>
  <c r="M200" i="1" a="1"/>
  <c r="M200" i="1"/>
  <c r="M201" i="1" a="1"/>
  <c r="M201" i="1" s="1"/>
  <c r="M202" i="1" a="1"/>
  <c r="M202" i="1"/>
  <c r="M203" i="1" a="1"/>
  <c r="M203" i="1" s="1"/>
  <c r="M204" i="1" a="1"/>
  <c r="M204" i="1"/>
  <c r="M205" i="1" a="1"/>
  <c r="M205" i="1" s="1"/>
  <c r="M206" i="1" a="1"/>
  <c r="M206" i="1"/>
  <c r="M207" i="1" a="1"/>
  <c r="M207" i="1" s="1"/>
  <c r="M208" i="1" a="1"/>
  <c r="M208" i="1"/>
  <c r="M209" i="1" a="1"/>
  <c r="M209" i="1" s="1"/>
  <c r="M210" i="1" a="1"/>
  <c r="M210" i="1"/>
  <c r="M211" i="1" a="1"/>
  <c r="M211" i="1" s="1"/>
  <c r="M212" i="1" a="1"/>
  <c r="M212" i="1"/>
  <c r="M213" i="1" a="1"/>
  <c r="M213" i="1"/>
  <c r="M214" i="1" a="1"/>
  <c r="M214" i="1"/>
  <c r="M215" i="1" a="1"/>
  <c r="M215" i="1"/>
  <c r="M216" i="1" a="1"/>
  <c r="M216" i="1"/>
  <c r="M217" i="1" a="1"/>
  <c r="M217" i="1" s="1"/>
  <c r="M218" i="1" a="1"/>
  <c r="M218" i="1"/>
  <c r="M219" i="1" a="1"/>
  <c r="M219" i="1" s="1"/>
  <c r="M220" i="1" a="1"/>
  <c r="M220" i="1" s="1"/>
  <c r="M221" i="1" a="1"/>
  <c r="M221" i="1"/>
  <c r="M222" i="1" a="1"/>
  <c r="M222" i="1" s="1"/>
  <c r="M223" i="1" a="1"/>
  <c r="M223" i="1"/>
  <c r="M224" i="1" a="1"/>
  <c r="M224" i="1" s="1"/>
  <c r="M2" i="1" a="1"/>
  <c r="M2" i="1" s="1"/>
  <c r="L3" i="1" a="1"/>
  <c r="L3" i="1"/>
  <c r="L4" i="1" a="1"/>
  <c r="L4" i="1" s="1"/>
  <c r="L5" i="1" a="1"/>
  <c r="L5" i="1" s="1"/>
  <c r="L6" i="1" a="1"/>
  <c r="L6" i="1"/>
  <c r="L7" i="1" a="1"/>
  <c r="L7" i="1"/>
  <c r="L8" i="1" a="1"/>
  <c r="L8" i="1"/>
  <c r="L9" i="1" a="1"/>
  <c r="L9" i="1"/>
  <c r="L10" i="1" a="1"/>
  <c r="L10" i="1"/>
  <c r="L11" i="1" a="1"/>
  <c r="L11" i="1"/>
  <c r="L12" i="1" a="1"/>
  <c r="L12" i="1"/>
  <c r="L13" i="1" a="1"/>
  <c r="L13" i="1" s="1"/>
  <c r="L14" i="1" a="1"/>
  <c r="L14" i="1"/>
  <c r="L15" i="1" a="1"/>
  <c r="L15" i="1"/>
  <c r="L16" i="1" a="1"/>
  <c r="L16" i="1" s="1"/>
  <c r="L17" i="1" a="1"/>
  <c r="L17" i="1"/>
  <c r="L18" i="1" a="1"/>
  <c r="L18" i="1" s="1"/>
  <c r="L19" i="1" a="1"/>
  <c r="L19" i="1"/>
  <c r="L20" i="1" a="1"/>
  <c r="L20" i="1" s="1"/>
  <c r="L21" i="1" a="1"/>
  <c r="L21" i="1" s="1"/>
  <c r="L22" i="1" a="1"/>
  <c r="L22" i="1"/>
  <c r="L23" i="1" a="1"/>
  <c r="L23" i="1"/>
  <c r="L24" i="1" a="1"/>
  <c r="L24" i="1" s="1"/>
  <c r="L25" i="1" a="1"/>
  <c r="L25" i="1"/>
  <c r="L26" i="1" a="1"/>
  <c r="L26" i="1" s="1"/>
  <c r="L27" i="1" a="1"/>
  <c r="L27" i="1"/>
  <c r="L28" i="1" a="1"/>
  <c r="L28" i="1"/>
  <c r="L29" i="1" a="1"/>
  <c r="L29" i="1" s="1"/>
  <c r="L30" i="1" a="1"/>
  <c r="L30" i="1"/>
  <c r="L31" i="1" a="1"/>
  <c r="L31" i="1" s="1"/>
  <c r="L32" i="1" a="1"/>
  <c r="L32" i="1"/>
  <c r="L33" i="1" a="1"/>
  <c r="L33" i="1" s="1"/>
  <c r="L34" i="1" a="1"/>
  <c r="L34" i="1"/>
  <c r="L35" i="1" a="1"/>
  <c r="L35" i="1" s="1"/>
  <c r="L36" i="1" a="1"/>
  <c r="L36" i="1" s="1"/>
  <c r="L37" i="1" a="1"/>
  <c r="L37" i="1" s="1"/>
  <c r="L38" i="1" a="1"/>
  <c r="L38" i="1"/>
  <c r="L39" i="1" a="1"/>
  <c r="L39" i="1"/>
  <c r="L40" i="1" a="1"/>
  <c r="L40" i="1"/>
  <c r="L41" i="1" a="1"/>
  <c r="L41" i="1"/>
  <c r="L42" i="1" a="1"/>
  <c r="L42" i="1"/>
  <c r="L43" i="1" a="1"/>
  <c r="L43" i="1"/>
  <c r="L44" i="1" a="1"/>
  <c r="L44" i="1"/>
  <c r="L45" i="1" a="1"/>
  <c r="L45" i="1" s="1"/>
  <c r="L46" i="1" a="1"/>
  <c r="L46" i="1"/>
  <c r="L47" i="1" a="1"/>
  <c r="L47" i="1" s="1"/>
  <c r="L48" i="1" a="1"/>
  <c r="L48" i="1"/>
  <c r="L49" i="1" a="1"/>
  <c r="L49" i="1" s="1"/>
  <c r="L50" i="1" a="1"/>
  <c r="L50" i="1" s="1"/>
  <c r="L51" i="1" a="1"/>
  <c r="L51" i="1"/>
  <c r="L52" i="1" a="1"/>
  <c r="L52" i="1" s="1"/>
  <c r="L53" i="1" a="1"/>
  <c r="L53" i="1" s="1"/>
  <c r="L54" i="1" a="1"/>
  <c r="L54" i="1"/>
  <c r="L55" i="1" a="1"/>
  <c r="L55" i="1"/>
  <c r="L56" i="1" a="1"/>
  <c r="L56" i="1"/>
  <c r="L57" i="1" a="1"/>
  <c r="L57" i="1"/>
  <c r="L58" i="1" a="1"/>
  <c r="L58" i="1"/>
  <c r="L59" i="1" a="1"/>
  <c r="L59" i="1"/>
  <c r="L60" i="1" a="1"/>
  <c r="L60" i="1"/>
  <c r="L61" i="1" a="1"/>
  <c r="L61" i="1" s="1"/>
  <c r="L62" i="1" a="1"/>
  <c r="L62" i="1" s="1"/>
  <c r="L63" i="1" a="1"/>
  <c r="L63" i="1"/>
  <c r="L64" i="1" a="1"/>
  <c r="L64" i="1" s="1"/>
  <c r="L65" i="1" a="1"/>
  <c r="L65" i="1" s="1"/>
  <c r="L66" i="1" a="1"/>
  <c r="L66" i="1"/>
  <c r="L67" i="1" a="1"/>
  <c r="L67" i="1" s="1"/>
  <c r="L68" i="1" a="1"/>
  <c r="L68" i="1"/>
  <c r="L69" i="1" a="1"/>
  <c r="L69" i="1" s="1"/>
  <c r="L70" i="1" a="1"/>
  <c r="L70" i="1"/>
  <c r="L71" i="1" a="1"/>
  <c r="L71" i="1"/>
  <c r="L72" i="1" a="1"/>
  <c r="L72" i="1"/>
  <c r="L73" i="1" a="1"/>
  <c r="L73" i="1"/>
  <c r="L74" i="1" a="1"/>
  <c r="L74" i="1" s="1"/>
  <c r="L75" i="1" a="1"/>
  <c r="L75" i="1"/>
  <c r="L76" i="1" a="1"/>
  <c r="L76" i="1"/>
  <c r="L77" i="1" a="1"/>
  <c r="L77" i="1" s="1"/>
  <c r="L78" i="1" a="1"/>
  <c r="L78" i="1" s="1"/>
  <c r="L79" i="1" a="1"/>
  <c r="L79" i="1"/>
  <c r="L80" i="1" a="1"/>
  <c r="L80" i="1"/>
  <c r="L227" i="1" s="1"/>
  <c r="L81" i="1" a="1"/>
  <c r="L81" i="1" s="1"/>
  <c r="L82" i="1" a="1"/>
  <c r="L82" i="1"/>
  <c r="L83" i="1" a="1"/>
  <c r="L83" i="1" s="1"/>
  <c r="L84" i="1" a="1"/>
  <c r="L84" i="1" s="1"/>
  <c r="L85" i="1" a="1"/>
  <c r="L85" i="1" s="1"/>
  <c r="L86" i="1" a="1"/>
  <c r="L86" i="1" s="1"/>
  <c r="L87" i="1" a="1"/>
  <c r="L87" i="1"/>
  <c r="L88" i="1" a="1"/>
  <c r="L88" i="1"/>
  <c r="L89" i="1" a="1"/>
  <c r="L89" i="1"/>
  <c r="L90" i="1" a="1"/>
  <c r="L90" i="1"/>
  <c r="L91" i="1" a="1"/>
  <c r="L91" i="1" s="1"/>
  <c r="L92" i="1" a="1"/>
  <c r="L92" i="1" s="1"/>
  <c r="L93" i="1" a="1"/>
  <c r="L93" i="1" s="1"/>
  <c r="L94" i="1" a="1"/>
  <c r="L94" i="1" s="1"/>
  <c r="L95" i="1" a="1"/>
  <c r="L95" i="1" s="1"/>
  <c r="L96" i="1" a="1"/>
  <c r="L96" i="1"/>
  <c r="L97" i="1" a="1"/>
  <c r="L97" i="1"/>
  <c r="L98" i="1" a="1"/>
  <c r="L98" i="1"/>
  <c r="L99" i="1" a="1"/>
  <c r="L99" i="1"/>
  <c r="L100" i="1" a="1"/>
  <c r="L100" i="1"/>
  <c r="L101" i="1" a="1"/>
  <c r="L101" i="1" s="1"/>
  <c r="L102" i="1" a="1"/>
  <c r="L102" i="1"/>
  <c r="L103" i="1" a="1"/>
  <c r="L103" i="1" s="1"/>
  <c r="L104" i="1" a="1"/>
  <c r="L104" i="1"/>
  <c r="L105" i="1" a="1"/>
  <c r="L105" i="1"/>
  <c r="L106" i="1" a="1"/>
  <c r="L106" i="1"/>
  <c r="L107" i="1" a="1"/>
  <c r="L107" i="1"/>
  <c r="L108" i="1" a="1"/>
  <c r="L108" i="1"/>
  <c r="L109" i="1" a="1"/>
  <c r="L109" i="1" s="1"/>
  <c r="L110" i="1" a="1"/>
  <c r="L110" i="1" s="1"/>
  <c r="L111" i="1" a="1"/>
  <c r="L111" i="1"/>
  <c r="L112" i="1" a="1"/>
  <c r="L112" i="1" s="1"/>
  <c r="L113" i="1" a="1"/>
  <c r="L113" i="1" s="1"/>
  <c r="L114" i="1" a="1"/>
  <c r="L114" i="1"/>
  <c r="L115" i="1" a="1"/>
  <c r="L115" i="1"/>
  <c r="L116" i="1" a="1"/>
  <c r="L116" i="1"/>
  <c r="L117" i="1" a="1"/>
  <c r="L117" i="1" s="1"/>
  <c r="L118" i="1" a="1"/>
  <c r="L118" i="1" s="1"/>
  <c r="L119" i="1" a="1"/>
  <c r="L119" i="1"/>
  <c r="L120" i="1" a="1"/>
  <c r="L120" i="1"/>
  <c r="L228" i="1" s="1"/>
  <c r="L121" i="1" a="1"/>
  <c r="L121" i="1"/>
  <c r="L122" i="1" a="1"/>
  <c r="L122" i="1"/>
  <c r="L123" i="1" a="1"/>
  <c r="L123" i="1"/>
  <c r="L124" i="1" a="1"/>
  <c r="L124" i="1"/>
  <c r="L125" i="1" a="1"/>
  <c r="L125" i="1" s="1"/>
  <c r="L126" i="1" a="1"/>
  <c r="L126" i="1"/>
  <c r="L127" i="1" a="1"/>
  <c r="L127" i="1" s="1"/>
  <c r="L128" i="1" a="1"/>
  <c r="L128" i="1"/>
  <c r="L129" i="1" a="1"/>
  <c r="L129" i="1" s="1"/>
  <c r="L130" i="1" a="1"/>
  <c r="L130" i="1"/>
  <c r="L131" i="1" a="1"/>
  <c r="L131" i="1" s="1"/>
  <c r="L132" i="1" a="1"/>
  <c r="L132" i="1"/>
  <c r="L133" i="1" a="1"/>
  <c r="L133" i="1" s="1"/>
  <c r="L134" i="1" a="1"/>
  <c r="L134" i="1"/>
  <c r="L135" i="1" a="1"/>
  <c r="L135" i="1"/>
  <c r="L136" i="1" a="1"/>
  <c r="L136" i="1"/>
  <c r="L137" i="1" a="1"/>
  <c r="L137" i="1"/>
  <c r="L138" i="1" a="1"/>
  <c r="L138" i="1"/>
  <c r="L139" i="1" a="1"/>
  <c r="L139" i="1"/>
  <c r="L140" i="1" a="1"/>
  <c r="L140" i="1"/>
  <c r="L141" i="1" a="1"/>
  <c r="L141" i="1" s="1"/>
  <c r="L142" i="1" a="1"/>
  <c r="L142" i="1"/>
  <c r="L143" i="1" a="1"/>
  <c r="L143" i="1"/>
  <c r="L144" i="1" a="1"/>
  <c r="L144" i="1" s="1"/>
  <c r="L145" i="1" a="1"/>
  <c r="L145" i="1"/>
  <c r="L146" i="1" a="1"/>
  <c r="L146" i="1" s="1"/>
  <c r="L147" i="1" a="1"/>
  <c r="L147" i="1" s="1"/>
  <c r="L148" i="1" a="1"/>
  <c r="L148" i="1"/>
  <c r="L149" i="1" a="1"/>
  <c r="L149" i="1" s="1"/>
  <c r="L150" i="1" a="1"/>
  <c r="L150" i="1"/>
  <c r="L151" i="1" a="1"/>
  <c r="L151" i="1"/>
  <c r="L152" i="1" a="1"/>
  <c r="L152" i="1"/>
  <c r="L153" i="1" a="1"/>
  <c r="L153" i="1"/>
  <c r="L154" i="1" a="1"/>
  <c r="L154" i="1"/>
  <c r="L155" i="1" a="1"/>
  <c r="L155" i="1"/>
  <c r="L156" i="1" a="1"/>
  <c r="L156" i="1"/>
  <c r="L157" i="1" a="1"/>
  <c r="L157" i="1" s="1"/>
  <c r="L158" i="1" a="1"/>
  <c r="L158" i="1" s="1"/>
  <c r="L159" i="1" a="1"/>
  <c r="L159" i="1"/>
  <c r="L160" i="1" a="1"/>
  <c r="L160" i="1"/>
  <c r="L229" i="1" s="1"/>
  <c r="L161" i="1" a="1"/>
  <c r="L161" i="1" s="1"/>
  <c r="L162" i="1" a="1"/>
  <c r="L162" i="1"/>
  <c r="L163" i="1" a="1"/>
  <c r="L163" i="1" s="1"/>
  <c r="L164" i="1" a="1"/>
  <c r="L164" i="1"/>
  <c r="L165" i="1" a="1"/>
  <c r="L165" i="1" s="1"/>
  <c r="L166" i="1" a="1"/>
  <c r="L166" i="1"/>
  <c r="L167" i="1" a="1"/>
  <c r="L167" i="1" s="1"/>
  <c r="L168" i="1" a="1"/>
  <c r="L168" i="1"/>
  <c r="L169" i="1" a="1"/>
  <c r="L169" i="1" s="1"/>
  <c r="L170" i="1" a="1"/>
  <c r="L170" i="1"/>
  <c r="L171" i="1" a="1"/>
  <c r="L171" i="1"/>
  <c r="L172" i="1" a="1"/>
  <c r="L172" i="1"/>
  <c r="L173" i="1" a="1"/>
  <c r="L173" i="1" s="1"/>
  <c r="L174" i="1" a="1"/>
  <c r="L174" i="1" s="1"/>
  <c r="L175" i="1" a="1"/>
  <c r="L175" i="1"/>
  <c r="L176" i="1" a="1"/>
  <c r="L176" i="1" s="1"/>
  <c r="L177" i="1" a="1"/>
  <c r="L177" i="1"/>
  <c r="L178" i="1" a="1"/>
  <c r="L178" i="1" s="1"/>
  <c r="L179" i="1" a="1"/>
  <c r="L179" i="1" s="1"/>
  <c r="L180" i="1" a="1"/>
  <c r="L180" i="1" s="1"/>
  <c r="L181" i="1" a="1"/>
  <c r="L181" i="1" s="1"/>
  <c r="L182" i="1" a="1"/>
  <c r="L182" i="1"/>
  <c r="L183" i="1" a="1"/>
  <c r="L183" i="1"/>
  <c r="L184" i="1" a="1"/>
  <c r="L184" i="1"/>
  <c r="L185" i="1" a="1"/>
  <c r="L185" i="1"/>
  <c r="L186" i="1" a="1"/>
  <c r="L186" i="1"/>
  <c r="L187" i="1" a="1"/>
  <c r="L187" i="1"/>
  <c r="L188" i="1" a="1"/>
  <c r="L188" i="1" s="1"/>
  <c r="L189" i="1" a="1"/>
  <c r="L189" i="1" s="1"/>
  <c r="L190" i="1" a="1"/>
  <c r="L190" i="1"/>
  <c r="L191" i="1" a="1"/>
  <c r="L191" i="1"/>
  <c r="L192" i="1" a="1"/>
  <c r="L192" i="1" s="1"/>
  <c r="L193" i="1" a="1"/>
  <c r="L193" i="1"/>
  <c r="L194" i="1" a="1"/>
  <c r="L194" i="1" s="1"/>
  <c r="L195" i="1" a="1"/>
  <c r="L195" i="1" s="1"/>
  <c r="L196" i="1" a="1"/>
  <c r="L196" i="1" s="1"/>
  <c r="L197" i="1" a="1"/>
  <c r="L197" i="1" s="1"/>
  <c r="L198" i="1" a="1"/>
  <c r="L198" i="1"/>
  <c r="L199" i="1" a="1"/>
  <c r="L199" i="1"/>
  <c r="L200" i="1" a="1"/>
  <c r="L200" i="1"/>
  <c r="L201" i="1" a="1"/>
  <c r="L201" i="1" s="1"/>
  <c r="L202" i="1" a="1"/>
  <c r="L202" i="1"/>
  <c r="L203" i="1" a="1"/>
  <c r="L203" i="1" s="1"/>
  <c r="L204" i="1" a="1"/>
  <c r="L204" i="1"/>
  <c r="L205" i="1" a="1"/>
  <c r="L205" i="1" s="1"/>
  <c r="L206" i="1" a="1"/>
  <c r="L206" i="1" s="1"/>
  <c r="L207" i="1" a="1"/>
  <c r="L207" i="1"/>
  <c r="L208" i="1" a="1"/>
  <c r="L208" i="1"/>
  <c r="L209" i="1" a="1"/>
  <c r="L209" i="1"/>
  <c r="L210" i="1" a="1"/>
  <c r="L210" i="1" s="1"/>
  <c r="L211" i="1" a="1"/>
  <c r="L211" i="1"/>
  <c r="L212" i="1" a="1"/>
  <c r="L212" i="1" s="1"/>
  <c r="L213" i="1" a="1"/>
  <c r="L213" i="1" s="1"/>
  <c r="L214" i="1" a="1"/>
  <c r="L214" i="1"/>
  <c r="L215" i="1" a="1"/>
  <c r="L215" i="1"/>
  <c r="L216" i="1" a="1"/>
  <c r="L216" i="1" s="1"/>
  <c r="L217" i="1" a="1"/>
  <c r="L217" i="1"/>
  <c r="L218" i="1" a="1"/>
  <c r="L218" i="1" s="1"/>
  <c r="L219" i="1" a="1"/>
  <c r="L219" i="1" s="1"/>
  <c r="L220" i="1" a="1"/>
  <c r="L220" i="1"/>
  <c r="L221" i="1" a="1"/>
  <c r="L221" i="1" s="1"/>
  <c r="L222" i="1" a="1"/>
  <c r="L222" i="1"/>
  <c r="L223" i="1" a="1"/>
  <c r="L223" i="1" s="1"/>
  <c r="L224" i="1" a="1"/>
  <c r="L224" i="1"/>
  <c r="L2" i="1" a="1"/>
  <c r="L2" i="1"/>
  <c r="K3" i="1" a="1"/>
  <c r="K3" i="1"/>
  <c r="K4" i="1" a="1"/>
  <c r="K4" i="1"/>
  <c r="K5" i="1" a="1"/>
  <c r="K5" i="1" s="1"/>
  <c r="K6" i="1" a="1"/>
  <c r="K6" i="1" s="1"/>
  <c r="K7" i="1" a="1"/>
  <c r="K7" i="1"/>
  <c r="K8" i="1" a="1"/>
  <c r="K8" i="1" s="1"/>
  <c r="K9" i="1" a="1"/>
  <c r="K9" i="1"/>
  <c r="K10" i="1" a="1"/>
  <c r="K10" i="1"/>
  <c r="K11" i="1" a="1"/>
  <c r="K11" i="1"/>
  <c r="K12" i="1" a="1"/>
  <c r="K12" i="1" s="1"/>
  <c r="K13" i="1" a="1"/>
  <c r="K13" i="1"/>
  <c r="K14" i="1" a="1"/>
  <c r="K14" i="1" s="1"/>
  <c r="K15" i="1" a="1"/>
  <c r="K15" i="1"/>
  <c r="K16" i="1" a="1"/>
  <c r="K16" i="1" s="1"/>
  <c r="K17" i="1" a="1"/>
  <c r="K17" i="1" s="1"/>
  <c r="K18" i="1" a="1"/>
  <c r="K18" i="1"/>
  <c r="K19" i="1" a="1"/>
  <c r="K19" i="1"/>
  <c r="K20" i="1" a="1"/>
  <c r="K20" i="1"/>
  <c r="K225" i="1" s="1"/>
  <c r="K21" i="1" a="1"/>
  <c r="K21" i="1"/>
  <c r="K22" i="1" a="1"/>
  <c r="K22" i="1" s="1"/>
  <c r="K23" i="1" a="1"/>
  <c r="K23" i="1"/>
  <c r="K24" i="1" a="1"/>
  <c r="K24" i="1" s="1"/>
  <c r="K25" i="1" a="1"/>
  <c r="K25" i="1"/>
  <c r="K26" i="1" a="1"/>
  <c r="K26" i="1" s="1"/>
  <c r="K27" i="1" a="1"/>
  <c r="K27" i="1"/>
  <c r="K28" i="1" a="1"/>
  <c r="K28" i="1"/>
  <c r="K29" i="1" a="1"/>
  <c r="K29" i="1"/>
  <c r="K30" i="1" a="1"/>
  <c r="K30" i="1" s="1"/>
  <c r="K31" i="1" a="1"/>
  <c r="K31" i="1"/>
  <c r="K32" i="1" a="1"/>
  <c r="K32" i="1" s="1"/>
  <c r="K33" i="1" a="1"/>
  <c r="K33" i="1" s="1"/>
  <c r="K34" i="1" a="1"/>
  <c r="K34" i="1"/>
  <c r="K35" i="1" a="1"/>
  <c r="K35" i="1" s="1"/>
  <c r="K36" i="1" a="1"/>
  <c r="K36" i="1"/>
  <c r="K37" i="1" a="1"/>
  <c r="K37" i="1"/>
  <c r="K38" i="1" a="1"/>
  <c r="K38" i="1" s="1"/>
  <c r="K39" i="1" a="1"/>
  <c r="K39" i="1"/>
  <c r="K40" i="1" a="1"/>
  <c r="K40" i="1" s="1"/>
  <c r="K41" i="1" a="1"/>
  <c r="K41" i="1"/>
  <c r="K42" i="1" a="1"/>
  <c r="K42" i="1" s="1"/>
  <c r="K43" i="1" a="1"/>
  <c r="K43" i="1"/>
  <c r="K44" i="1" a="1"/>
  <c r="K44" i="1" s="1"/>
  <c r="K45" i="1" a="1"/>
  <c r="K45" i="1"/>
  <c r="K46" i="1" a="1"/>
  <c r="K46" i="1" s="1"/>
  <c r="K47" i="1" a="1"/>
  <c r="K47" i="1"/>
  <c r="K48" i="1" a="1"/>
  <c r="K48" i="1" s="1"/>
  <c r="K49" i="1" a="1"/>
  <c r="K49" i="1"/>
  <c r="K50" i="1" a="1"/>
  <c r="K50" i="1"/>
  <c r="K51" i="1" a="1"/>
  <c r="K51" i="1" s="1"/>
  <c r="K52" i="1" a="1"/>
  <c r="K52" i="1"/>
  <c r="K53" i="1" a="1"/>
  <c r="K53" i="1" s="1"/>
  <c r="K54" i="1" a="1"/>
  <c r="K54" i="1" s="1"/>
  <c r="K55" i="1" a="1"/>
  <c r="K55" i="1"/>
  <c r="K56" i="1" a="1"/>
  <c r="K56" i="1" s="1"/>
  <c r="K57" i="1" a="1"/>
  <c r="K57" i="1"/>
  <c r="K58" i="1" a="1"/>
  <c r="K58" i="1"/>
  <c r="K59" i="1" a="1"/>
  <c r="K59" i="1"/>
  <c r="K60" i="1" a="1"/>
  <c r="K60" i="1" s="1"/>
  <c r="K61" i="1" a="1"/>
  <c r="K61" i="1"/>
  <c r="K62" i="1" a="1"/>
  <c r="K62" i="1" s="1"/>
  <c r="K63" i="1" a="1"/>
  <c r="K63" i="1"/>
  <c r="K64" i="1" a="1"/>
  <c r="K64" i="1" s="1"/>
  <c r="K65" i="1" a="1"/>
  <c r="K65" i="1"/>
  <c r="K66" i="1" a="1"/>
  <c r="K66" i="1"/>
  <c r="K67" i="1" a="1"/>
  <c r="K67" i="1"/>
  <c r="K68" i="1" a="1"/>
  <c r="K68" i="1"/>
  <c r="K69" i="1" a="1"/>
  <c r="K69" i="1" s="1"/>
  <c r="K70" i="1" a="1"/>
  <c r="K70" i="1" s="1"/>
  <c r="K71" i="1" a="1"/>
  <c r="K71" i="1"/>
  <c r="K72" i="1" a="1"/>
  <c r="K72" i="1" s="1"/>
  <c r="K73" i="1" a="1"/>
  <c r="K73" i="1"/>
  <c r="K74" i="1" a="1"/>
  <c r="K74" i="1"/>
  <c r="K75" i="1" a="1"/>
  <c r="K75" i="1" s="1"/>
  <c r="K76" i="1" a="1"/>
  <c r="K76" i="1"/>
  <c r="K77" i="1" a="1"/>
  <c r="K77" i="1"/>
  <c r="K78" i="1" a="1"/>
  <c r="K78" i="1" s="1"/>
  <c r="K79" i="1" a="1"/>
  <c r="K79" i="1"/>
  <c r="K80" i="1" a="1"/>
  <c r="K80" i="1" s="1"/>
  <c r="K227" i="1" s="1"/>
  <c r="K81" i="1" a="1"/>
  <c r="K81" i="1" s="1"/>
  <c r="K82" i="1" a="1"/>
  <c r="K82" i="1"/>
  <c r="K83" i="1" a="1"/>
  <c r="K83" i="1"/>
  <c r="K84" i="1" a="1"/>
  <c r="K84" i="1"/>
  <c r="K85" i="1" a="1"/>
  <c r="K85" i="1"/>
  <c r="K86" i="1" a="1"/>
  <c r="K86" i="1" s="1"/>
  <c r="K87" i="1" a="1"/>
  <c r="K87" i="1"/>
  <c r="K88" i="1" a="1"/>
  <c r="K88" i="1" s="1"/>
  <c r="K89" i="1" a="1"/>
  <c r="K89" i="1"/>
  <c r="K90" i="1" a="1"/>
  <c r="K90" i="1" s="1"/>
  <c r="K91" i="1" a="1"/>
  <c r="K91" i="1"/>
  <c r="K92" i="1" a="1"/>
  <c r="K92" i="1" s="1"/>
  <c r="K93" i="1" a="1"/>
  <c r="K93" i="1"/>
  <c r="K94" i="1" a="1"/>
  <c r="K94" i="1" s="1"/>
  <c r="K95" i="1" a="1"/>
  <c r="K95" i="1"/>
  <c r="K96" i="1" a="1"/>
  <c r="K96" i="1" s="1"/>
  <c r="K97" i="1" a="1"/>
  <c r="K97" i="1" s="1"/>
  <c r="K98" i="1" a="1"/>
  <c r="K98" i="1"/>
  <c r="K99" i="1" a="1"/>
  <c r="K99" i="1" s="1"/>
  <c r="K100" i="1" a="1"/>
  <c r="K100" i="1"/>
  <c r="K101" i="1" a="1"/>
  <c r="K101" i="1"/>
  <c r="K102" i="1" a="1"/>
  <c r="K102" i="1" s="1"/>
  <c r="K103" i="1" a="1"/>
  <c r="K103" i="1"/>
  <c r="K104" i="1" a="1"/>
  <c r="K104" i="1" s="1"/>
  <c r="K105" i="1" a="1"/>
  <c r="K105" i="1" s="1"/>
  <c r="K106" i="1" a="1"/>
  <c r="K106" i="1" s="1"/>
  <c r="K107" i="1" a="1"/>
  <c r="K107" i="1"/>
  <c r="K108" i="1" a="1"/>
  <c r="K108" i="1" s="1"/>
  <c r="K109" i="1" a="1"/>
  <c r="K109" i="1"/>
  <c r="K110" i="1" a="1"/>
  <c r="K110" i="1" s="1"/>
  <c r="K111" i="1" a="1"/>
  <c r="K111" i="1"/>
  <c r="K112" i="1" a="1"/>
  <c r="K112" i="1" s="1"/>
  <c r="K113" i="1" a="1"/>
  <c r="K113" i="1" s="1"/>
  <c r="K114" i="1" a="1"/>
  <c r="K114" i="1"/>
  <c r="K115" i="1" a="1"/>
  <c r="K115" i="1" s="1"/>
  <c r="K116" i="1" a="1"/>
  <c r="K116" i="1"/>
  <c r="K117" i="1" a="1"/>
  <c r="K117" i="1" s="1"/>
  <c r="K118" i="1" a="1"/>
  <c r="K118" i="1" s="1"/>
  <c r="K119" i="1" a="1"/>
  <c r="K119" i="1"/>
  <c r="K120" i="1" a="1"/>
  <c r="K120" i="1" s="1"/>
  <c r="K121" i="1" a="1"/>
  <c r="K121" i="1"/>
  <c r="K122" i="1" a="1"/>
  <c r="K122" i="1"/>
  <c r="K123" i="1" a="1"/>
  <c r="K123" i="1" s="1"/>
  <c r="K124" i="1" a="1"/>
  <c r="K124" i="1" s="1"/>
  <c r="K125" i="1" a="1"/>
  <c r="K125" i="1"/>
  <c r="K126" i="1" a="1"/>
  <c r="K126" i="1" s="1"/>
  <c r="K127" i="1" a="1"/>
  <c r="K127" i="1"/>
  <c r="K128" i="1" a="1"/>
  <c r="K128" i="1" s="1"/>
  <c r="K129" i="1" a="1"/>
  <c r="K129" i="1"/>
  <c r="K130" i="1" a="1"/>
  <c r="K130" i="1"/>
  <c r="K131" i="1" a="1"/>
  <c r="K131" i="1"/>
  <c r="K132" i="1" a="1"/>
  <c r="K132" i="1"/>
  <c r="K133" i="1" a="1"/>
  <c r="K133" i="1" s="1"/>
  <c r="K134" i="1" a="1"/>
  <c r="K134" i="1" s="1"/>
  <c r="K135" i="1" a="1"/>
  <c r="K135" i="1"/>
  <c r="K136" i="1" a="1"/>
  <c r="K136" i="1" s="1"/>
  <c r="K137" i="1" a="1"/>
  <c r="K137" i="1"/>
  <c r="K138" i="1" a="1"/>
  <c r="K138" i="1"/>
  <c r="K139" i="1" a="1"/>
  <c r="K139" i="1"/>
  <c r="K140" i="1" a="1"/>
  <c r="K140" i="1"/>
  <c r="K141" i="1" a="1"/>
  <c r="K141" i="1"/>
  <c r="K142" i="1" a="1"/>
  <c r="K142" i="1" s="1"/>
  <c r="K143" i="1" a="1"/>
  <c r="K143" i="1"/>
  <c r="K144" i="1" a="1"/>
  <c r="K144" i="1" s="1"/>
  <c r="K145" i="1" a="1"/>
  <c r="K145" i="1" s="1"/>
  <c r="K146" i="1" a="1"/>
  <c r="K146" i="1"/>
  <c r="K147" i="1" a="1"/>
  <c r="K147" i="1"/>
  <c r="K148" i="1" a="1"/>
  <c r="K148" i="1"/>
  <c r="K149" i="1" a="1"/>
  <c r="K149" i="1"/>
  <c r="K150" i="1" a="1"/>
  <c r="K150" i="1" s="1"/>
  <c r="K151" i="1" a="1"/>
  <c r="K151" i="1"/>
  <c r="K152" i="1" a="1"/>
  <c r="K152" i="1" s="1"/>
  <c r="K153" i="1" a="1"/>
  <c r="K153" i="1"/>
  <c r="K154" i="1" a="1"/>
  <c r="K154" i="1" s="1"/>
  <c r="K155" i="1" a="1"/>
  <c r="K155" i="1"/>
  <c r="K156" i="1" a="1"/>
  <c r="K156" i="1"/>
  <c r="K157" i="1" a="1"/>
  <c r="K157" i="1"/>
  <c r="K158" i="1" a="1"/>
  <c r="K158" i="1" s="1"/>
  <c r="K159" i="1" a="1"/>
  <c r="K159" i="1"/>
  <c r="K160" i="1" a="1"/>
  <c r="K160" i="1" s="1"/>
  <c r="K229" i="1" s="1"/>
  <c r="K161" i="1" a="1"/>
  <c r="K161" i="1" s="1"/>
  <c r="K162" i="1" a="1"/>
  <c r="K162" i="1"/>
  <c r="K163" i="1" a="1"/>
  <c r="K163" i="1" s="1"/>
  <c r="K164" i="1" a="1"/>
  <c r="K164" i="1"/>
  <c r="K165" i="1" a="1"/>
  <c r="K165" i="1" s="1"/>
  <c r="K166" i="1" a="1"/>
  <c r="K166" i="1" s="1"/>
  <c r="K167" i="1" a="1"/>
  <c r="K167" i="1"/>
  <c r="K168" i="1" a="1"/>
  <c r="K168" i="1" s="1"/>
  <c r="K169" i="1" a="1"/>
  <c r="K169" i="1"/>
  <c r="K170" i="1" a="1"/>
  <c r="K170" i="1" s="1"/>
  <c r="K171" i="1" a="1"/>
  <c r="K171" i="1"/>
  <c r="K172" i="1" a="1"/>
  <c r="K172" i="1" s="1"/>
  <c r="K173" i="1" a="1"/>
  <c r="K173" i="1"/>
  <c r="K174" i="1" a="1"/>
  <c r="K174" i="1" s="1"/>
  <c r="K175" i="1" a="1"/>
  <c r="K175" i="1"/>
  <c r="K176" i="1" a="1"/>
  <c r="K176" i="1" s="1"/>
  <c r="K177" i="1" a="1"/>
  <c r="K177" i="1"/>
  <c r="K178" i="1" a="1"/>
  <c r="K178" i="1"/>
  <c r="K179" i="1" a="1"/>
  <c r="K179" i="1" s="1"/>
  <c r="K180" i="1" a="1"/>
  <c r="K180" i="1"/>
  <c r="K181" i="1" a="1"/>
  <c r="K181" i="1" s="1"/>
  <c r="K182" i="1" a="1"/>
  <c r="K182" i="1" s="1"/>
  <c r="K183" i="1" a="1"/>
  <c r="K183" i="1"/>
  <c r="K184" i="1" a="1"/>
  <c r="K184" i="1" s="1"/>
  <c r="K185" i="1" a="1"/>
  <c r="K185" i="1"/>
  <c r="K186" i="1" a="1"/>
  <c r="K186" i="1" s="1"/>
  <c r="K187" i="1" a="1"/>
  <c r="K187" i="1"/>
  <c r="K188" i="1" a="1"/>
  <c r="K188" i="1" s="1"/>
  <c r="K189" i="1" a="1"/>
  <c r="K189" i="1"/>
  <c r="K190" i="1" a="1"/>
  <c r="K190" i="1" s="1"/>
  <c r="K191" i="1" a="1"/>
  <c r="K191" i="1"/>
  <c r="K192" i="1" a="1"/>
  <c r="K192" i="1" s="1"/>
  <c r="K193" i="1" a="1"/>
  <c r="K193" i="1"/>
  <c r="K194" i="1" a="1"/>
  <c r="K194" i="1"/>
  <c r="K195" i="1" a="1"/>
  <c r="K195" i="1"/>
  <c r="K196" i="1" a="1"/>
  <c r="K196" i="1"/>
  <c r="K197" i="1" a="1"/>
  <c r="K197" i="1" s="1"/>
  <c r="K198" i="1" a="1"/>
  <c r="K198" i="1" s="1"/>
  <c r="K199" i="1" a="1"/>
  <c r="K199" i="1"/>
  <c r="K200" i="1" a="1"/>
  <c r="K200" i="1" s="1"/>
  <c r="K201" i="1" a="1"/>
  <c r="K201" i="1"/>
  <c r="K202" i="1" a="1"/>
  <c r="K202" i="1"/>
  <c r="K203" i="1" a="1"/>
  <c r="K203" i="1" s="1"/>
  <c r="K204" i="1" a="1"/>
  <c r="K204" i="1"/>
  <c r="K205" i="1" a="1"/>
  <c r="K205" i="1" s="1"/>
  <c r="K206" i="1" a="1"/>
  <c r="K206" i="1" s="1"/>
  <c r="K207" i="1" a="1"/>
  <c r="K207" i="1"/>
  <c r="K208" i="1" a="1"/>
  <c r="K208" i="1" s="1"/>
  <c r="K209" i="1" a="1"/>
  <c r="K209" i="1" s="1"/>
  <c r="K210" i="1" a="1"/>
  <c r="K210" i="1"/>
  <c r="K211" i="1" a="1"/>
  <c r="K211" i="1"/>
  <c r="K212" i="1" a="1"/>
  <c r="K212" i="1"/>
  <c r="K213" i="1" a="1"/>
  <c r="K213" i="1"/>
  <c r="K214" i="1" a="1"/>
  <c r="K214" i="1" s="1"/>
  <c r="K215" i="1" a="1"/>
  <c r="K215" i="1" s="1"/>
  <c r="K216" i="1" a="1"/>
  <c r="K216" i="1" s="1"/>
  <c r="K217" i="1" a="1"/>
  <c r="K217" i="1"/>
  <c r="K218" i="1" a="1"/>
  <c r="K218" i="1" s="1"/>
  <c r="K219" i="1" a="1"/>
  <c r="K219" i="1"/>
  <c r="K220" i="1" a="1"/>
  <c r="K220" i="1"/>
  <c r="K221" i="1" a="1"/>
  <c r="K221" i="1"/>
  <c r="K222" i="1" a="1"/>
  <c r="K222" i="1" s="1"/>
  <c r="K223" i="1" a="1"/>
  <c r="K223" i="1"/>
  <c r="K224" i="1" a="1"/>
  <c r="K224" i="1" s="1"/>
  <c r="K2" i="1" a="1"/>
  <c r="K2" i="1" s="1"/>
  <c r="J214" i="1"/>
  <c r="I14" i="1"/>
  <c r="I15" i="1"/>
  <c r="J15" i="1" s="1"/>
  <c r="I25" i="1"/>
  <c r="I41" i="1"/>
  <c r="J41" i="1" s="1"/>
  <c r="I42" i="1"/>
  <c r="I110" i="1"/>
  <c r="I116" i="1"/>
  <c r="I142" i="1"/>
  <c r="J142" i="1" s="1"/>
  <c r="I180" i="1"/>
  <c r="K208" i="2" s="1"/>
  <c r="L208" i="2" s="1"/>
  <c r="H47" i="1"/>
  <c r="H3" i="1"/>
  <c r="H4" i="1"/>
  <c r="H5" i="1"/>
  <c r="H6" i="1"/>
  <c r="H7" i="1"/>
  <c r="H8" i="1"/>
  <c r="H9" i="1"/>
  <c r="H10" i="1"/>
  <c r="H11" i="1"/>
  <c r="H12" i="1"/>
  <c r="H13" i="1"/>
  <c r="H14" i="1"/>
  <c r="H15" i="1"/>
  <c r="H16" i="1"/>
  <c r="H18" i="1"/>
  <c r="H19" i="1"/>
  <c r="H20" i="1"/>
  <c r="H225" i="1" s="1"/>
  <c r="H21" i="1"/>
  <c r="H22" i="1"/>
  <c r="H23" i="1"/>
  <c r="H24" i="1"/>
  <c r="H25" i="1"/>
  <c r="H26" i="1"/>
  <c r="H27" i="1"/>
  <c r="H28" i="1"/>
  <c r="H29" i="1"/>
  <c r="H30" i="1"/>
  <c r="H31" i="1"/>
  <c r="H33" i="1"/>
  <c r="H34" i="1"/>
  <c r="H35" i="1"/>
  <c r="H36" i="1"/>
  <c r="H37" i="1"/>
  <c r="H38" i="1"/>
  <c r="H39" i="1"/>
  <c r="H40" i="1"/>
  <c r="H41" i="1"/>
  <c r="H42" i="1"/>
  <c r="H43" i="1"/>
  <c r="H44" i="1"/>
  <c r="H45" i="1"/>
  <c r="H226" i="1" s="1"/>
  <c r="H46" i="1"/>
  <c r="H48" i="1"/>
  <c r="H49" i="1"/>
  <c r="H50" i="1"/>
  <c r="H51" i="1"/>
  <c r="H52" i="1"/>
  <c r="H53" i="1"/>
  <c r="H54" i="1"/>
  <c r="H55" i="1"/>
  <c r="H56" i="1"/>
  <c r="H57" i="1"/>
  <c r="H58" i="1"/>
  <c r="H59" i="1"/>
  <c r="H60" i="1"/>
  <c r="H61" i="1"/>
  <c r="H62" i="1"/>
  <c r="H63" i="1"/>
  <c r="H64" i="1"/>
  <c r="H65" i="1"/>
  <c r="H66" i="1"/>
  <c r="H67" i="1"/>
  <c r="H68" i="1"/>
  <c r="H69" i="1"/>
  <c r="H70" i="1"/>
  <c r="H71" i="1"/>
  <c r="H72" i="1"/>
  <c r="H73" i="1"/>
  <c r="H74" i="1"/>
  <c r="H76" i="1"/>
  <c r="H77" i="1"/>
  <c r="H78" i="1"/>
  <c r="H79" i="1"/>
  <c r="H80" i="1"/>
  <c r="H227" i="1" s="1"/>
  <c r="H81" i="1"/>
  <c r="H82" i="1"/>
  <c r="H83" i="1"/>
  <c r="H84" i="1"/>
  <c r="H85" i="1"/>
  <c r="H86" i="1"/>
  <c r="H87" i="1"/>
  <c r="H88"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228" i="1" s="1"/>
  <c r="H121" i="1"/>
  <c r="H122" i="1"/>
  <c r="H123" i="1"/>
  <c r="H124" i="1"/>
  <c r="H125" i="1"/>
  <c r="H126" i="1"/>
  <c r="H127" i="1"/>
  <c r="H128" i="1"/>
  <c r="H129" i="1"/>
  <c r="H130" i="1"/>
  <c r="H131" i="1"/>
  <c r="H132" i="1"/>
  <c r="H133" i="1"/>
  <c r="H134" i="1"/>
  <c r="H135" i="1"/>
  <c r="H136" i="1"/>
  <c r="H138" i="1"/>
  <c r="H139" i="1"/>
  <c r="H140" i="1"/>
  <c r="H141" i="1"/>
  <c r="H142" i="1"/>
  <c r="H144" i="1"/>
  <c r="H145" i="1"/>
  <c r="H146" i="1"/>
  <c r="H147" i="1"/>
  <c r="H148" i="1"/>
  <c r="H149" i="1"/>
  <c r="H150" i="1"/>
  <c r="H151" i="1"/>
  <c r="H152" i="1"/>
  <c r="H153" i="1"/>
  <c r="H154" i="1"/>
  <c r="H155" i="1"/>
  <c r="H156" i="1"/>
  <c r="H157" i="1"/>
  <c r="H158" i="1"/>
  <c r="H159" i="1"/>
  <c r="H160" i="1"/>
  <c r="H229" i="1" s="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2" i="1"/>
  <c r="H193" i="1"/>
  <c r="H194" i="1"/>
  <c r="H195" i="1"/>
  <c r="H196" i="1"/>
  <c r="H197"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 i="1"/>
  <c r="G3" i="1"/>
  <c r="G4" i="1"/>
  <c r="G5" i="1"/>
  <c r="G6" i="1"/>
  <c r="G7" i="1"/>
  <c r="G8" i="1"/>
  <c r="G9" i="1"/>
  <c r="G10" i="1"/>
  <c r="G11" i="1"/>
  <c r="G12" i="1"/>
  <c r="G13" i="1"/>
  <c r="G14" i="1"/>
  <c r="G15" i="1"/>
  <c r="G16" i="1"/>
  <c r="G17" i="1"/>
  <c r="G18" i="1"/>
  <c r="I18" i="1" s="1"/>
  <c r="G19" i="1"/>
  <c r="G20" i="1"/>
  <c r="G225" i="1" s="1"/>
  <c r="G21" i="1"/>
  <c r="G22" i="1"/>
  <c r="G23" i="1"/>
  <c r="G24" i="1"/>
  <c r="G25" i="1"/>
  <c r="G26" i="1"/>
  <c r="G27" i="1"/>
  <c r="G28" i="1"/>
  <c r="G29" i="1"/>
  <c r="G30" i="1"/>
  <c r="G31" i="1"/>
  <c r="G32" i="1"/>
  <c r="I32" i="1" s="1"/>
  <c r="G33" i="1"/>
  <c r="G34" i="1"/>
  <c r="I34" i="1" s="1"/>
  <c r="G35" i="1"/>
  <c r="G36" i="1"/>
  <c r="G38" i="1"/>
  <c r="G39" i="1"/>
  <c r="G40" i="1"/>
  <c r="G41" i="1"/>
  <c r="G42" i="1"/>
  <c r="G43" i="1"/>
  <c r="G44" i="1"/>
  <c r="G45" i="1"/>
  <c r="G226" i="1" s="1"/>
  <c r="G46" i="1"/>
  <c r="G47" i="1"/>
  <c r="G48" i="1"/>
  <c r="G49" i="1"/>
  <c r="G50" i="1"/>
  <c r="G51" i="1"/>
  <c r="G52" i="1"/>
  <c r="G53" i="1"/>
  <c r="G54" i="1"/>
  <c r="G55" i="1"/>
  <c r="G56" i="1"/>
  <c r="G57" i="1"/>
  <c r="G58" i="1"/>
  <c r="G59" i="1"/>
  <c r="G60" i="1"/>
  <c r="G62" i="1"/>
  <c r="G63" i="1"/>
  <c r="G64" i="1"/>
  <c r="G65" i="1"/>
  <c r="G66" i="1"/>
  <c r="G67" i="1"/>
  <c r="G68" i="1"/>
  <c r="G69" i="1"/>
  <c r="G70" i="1"/>
  <c r="G71" i="1"/>
  <c r="G72" i="1"/>
  <c r="G73" i="1"/>
  <c r="G74" i="1"/>
  <c r="G75" i="1"/>
  <c r="G76" i="1"/>
  <c r="G77" i="1"/>
  <c r="G78" i="1"/>
  <c r="G79" i="1"/>
  <c r="G80" i="1"/>
  <c r="G227" i="1" s="1"/>
  <c r="G81" i="1"/>
  <c r="G82" i="1"/>
  <c r="I82" i="1" s="1"/>
  <c r="G83" i="1"/>
  <c r="G84" i="1"/>
  <c r="I84" i="1" s="1"/>
  <c r="G85" i="1"/>
  <c r="I85" i="1" s="1"/>
  <c r="G87" i="1"/>
  <c r="I87" i="1" s="1"/>
  <c r="G88" i="1"/>
  <c r="G89" i="1"/>
  <c r="G90" i="1"/>
  <c r="G91"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228" i="1" s="1"/>
  <c r="G121" i="1"/>
  <c r="G122" i="1"/>
  <c r="G123" i="1"/>
  <c r="G124" i="1"/>
  <c r="G125" i="1"/>
  <c r="G126" i="1"/>
  <c r="G127" i="1"/>
  <c r="G128" i="1"/>
  <c r="G129" i="1"/>
  <c r="G130" i="1"/>
  <c r="G131" i="1"/>
  <c r="G132" i="1"/>
  <c r="G133" i="1"/>
  <c r="I133" i="1" s="1"/>
  <c r="G134" i="1"/>
  <c r="I134" i="1" s="1"/>
  <c r="G135" i="1"/>
  <c r="I135" i="1" s="1"/>
  <c r="G136" i="1"/>
  <c r="G137" i="1"/>
  <c r="G138" i="1"/>
  <c r="G139" i="1"/>
  <c r="G140" i="1"/>
  <c r="G141" i="1"/>
  <c r="G142" i="1"/>
  <c r="G143" i="1"/>
  <c r="G144" i="1"/>
  <c r="G145" i="1"/>
  <c r="G146" i="1"/>
  <c r="G147" i="1"/>
  <c r="G149" i="1"/>
  <c r="G150"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4" i="1"/>
  <c r="G195" i="1"/>
  <c r="G196" i="1"/>
  <c r="I196" i="1" s="1"/>
  <c r="G197" i="1"/>
  <c r="G198" i="1"/>
  <c r="G199" i="1"/>
  <c r="G200" i="1"/>
  <c r="G201" i="1"/>
  <c r="I201" i="1" s="1"/>
  <c r="G202" i="1"/>
  <c r="G203" i="1"/>
  <c r="G204" i="1"/>
  <c r="G205" i="1"/>
  <c r="G206" i="1"/>
  <c r="G208" i="1"/>
  <c r="G209" i="1"/>
  <c r="G210" i="1"/>
  <c r="G211" i="1"/>
  <c r="G212" i="1"/>
  <c r="G213" i="1"/>
  <c r="G214" i="1"/>
  <c r="G215" i="1"/>
  <c r="G216" i="1"/>
  <c r="G217" i="1"/>
  <c r="G218" i="1"/>
  <c r="G219" i="1"/>
  <c r="G220" i="1"/>
  <c r="G221" i="1"/>
  <c r="G222" i="1"/>
  <c r="G223" i="1"/>
  <c r="G224" i="1"/>
  <c r="G2" i="1"/>
  <c r="F3" i="1"/>
  <c r="F4" i="1"/>
  <c r="F5" i="1"/>
  <c r="F6" i="1"/>
  <c r="L293" i="2" s="1"/>
  <c r="F7" i="1"/>
  <c r="F8" i="1"/>
  <c r="F9" i="1"/>
  <c r="F10" i="1"/>
  <c r="I10" i="1" s="1"/>
  <c r="F11" i="1"/>
  <c r="I11" i="1" s="1"/>
  <c r="F12" i="1"/>
  <c r="I12" i="1" s="1"/>
  <c r="F13" i="1"/>
  <c r="F14" i="1"/>
  <c r="F15" i="1"/>
  <c r="F16" i="1"/>
  <c r="F17" i="1"/>
  <c r="F18" i="1"/>
  <c r="F19" i="1"/>
  <c r="F20" i="1"/>
  <c r="F21" i="1"/>
  <c r="F22" i="1"/>
  <c r="F23" i="1"/>
  <c r="F24" i="1"/>
  <c r="F26" i="1"/>
  <c r="I26" i="1" s="1"/>
  <c r="F27" i="1"/>
  <c r="I27" i="1" s="1"/>
  <c r="F28" i="1"/>
  <c r="I28" i="1" s="1"/>
  <c r="F29" i="1"/>
  <c r="F30" i="1"/>
  <c r="I30" i="1" s="1"/>
  <c r="F31" i="1"/>
  <c r="F32" i="1"/>
  <c r="F33" i="1"/>
  <c r="F34" i="1"/>
  <c r="F35" i="1"/>
  <c r="F36" i="1"/>
  <c r="F37" i="1"/>
  <c r="F38" i="1"/>
  <c r="F39" i="1"/>
  <c r="F40" i="1"/>
  <c r="F41" i="1"/>
  <c r="F43" i="1"/>
  <c r="I43" i="1" s="1"/>
  <c r="F44" i="1"/>
  <c r="F45" i="1"/>
  <c r="F226" i="1" s="1"/>
  <c r="F46" i="1"/>
  <c r="I46" i="1" s="1"/>
  <c r="F47" i="1"/>
  <c r="I47" i="1" s="1"/>
  <c r="F48" i="1"/>
  <c r="F49" i="1"/>
  <c r="F50" i="1"/>
  <c r="F51" i="1"/>
  <c r="F52" i="1"/>
  <c r="F53" i="1"/>
  <c r="F54" i="1"/>
  <c r="F55" i="1"/>
  <c r="F56" i="1"/>
  <c r="F57" i="1"/>
  <c r="F58" i="1"/>
  <c r="F59" i="1"/>
  <c r="I59" i="1" s="1"/>
  <c r="F60" i="1"/>
  <c r="I60" i="1" s="1"/>
  <c r="F61" i="1"/>
  <c r="F62" i="1"/>
  <c r="I62" i="1" s="1"/>
  <c r="F63" i="1"/>
  <c r="I63" i="1" s="1"/>
  <c r="F64" i="1"/>
  <c r="F65" i="1"/>
  <c r="F66" i="1"/>
  <c r="F67" i="1"/>
  <c r="F68" i="1"/>
  <c r="F69" i="1"/>
  <c r="F70" i="1"/>
  <c r="F71" i="1"/>
  <c r="F72" i="1"/>
  <c r="F73" i="1"/>
  <c r="F74" i="1"/>
  <c r="F75" i="1"/>
  <c r="I75" i="1" s="1"/>
  <c r="B540" i="2" s="1"/>
  <c r="C540" i="2" s="1"/>
  <c r="F76" i="1"/>
  <c r="F77" i="1"/>
  <c r="I77" i="1" s="1"/>
  <c r="F78" i="1"/>
  <c r="I78" i="1" s="1"/>
  <c r="F79" i="1"/>
  <c r="I79" i="1" s="1"/>
  <c r="F80" i="1"/>
  <c r="F227" i="1" s="1"/>
  <c r="F81" i="1"/>
  <c r="F82" i="1"/>
  <c r="F83" i="1"/>
  <c r="F85" i="1"/>
  <c r="F86" i="1"/>
  <c r="F87" i="1"/>
  <c r="F88" i="1"/>
  <c r="F89" i="1"/>
  <c r="F90" i="1"/>
  <c r="F91" i="1"/>
  <c r="F92" i="1"/>
  <c r="I92" i="1" s="1"/>
  <c r="F93" i="1"/>
  <c r="F94" i="1"/>
  <c r="F95" i="1"/>
  <c r="I95" i="1" s="1"/>
  <c r="F96" i="1"/>
  <c r="I96" i="1" s="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I127" i="1" s="1"/>
  <c r="F128" i="1"/>
  <c r="I128" i="1" s="1"/>
  <c r="F129" i="1"/>
  <c r="I129" i="1" s="1"/>
  <c r="F130" i="1"/>
  <c r="F131" i="1"/>
  <c r="F132" i="1"/>
  <c r="F133" i="1"/>
  <c r="F134" i="1"/>
  <c r="F135" i="1"/>
  <c r="F136" i="1"/>
  <c r="F137" i="1"/>
  <c r="F138" i="1"/>
  <c r="F139" i="1"/>
  <c r="F140" i="1"/>
  <c r="F141" i="1"/>
  <c r="F143" i="1"/>
  <c r="I143" i="1" s="1"/>
  <c r="F144" i="1"/>
  <c r="F145" i="1"/>
  <c r="F146" i="1"/>
  <c r="F147" i="1"/>
  <c r="F148" i="1"/>
  <c r="F149" i="1"/>
  <c r="F150" i="1"/>
  <c r="F151" i="1"/>
  <c r="F152" i="1"/>
  <c r="F154" i="1"/>
  <c r="F155" i="1"/>
  <c r="F156" i="1"/>
  <c r="F157" i="1"/>
  <c r="F158" i="1"/>
  <c r="F159" i="1"/>
  <c r="F160" i="1"/>
  <c r="F229" i="1" s="1"/>
  <c r="F161" i="1"/>
  <c r="F162" i="1"/>
  <c r="I162" i="1" s="1"/>
  <c r="F163" i="1"/>
  <c r="I163" i="1" s="1"/>
  <c r="B628" i="2" s="1"/>
  <c r="C628" i="2" s="1"/>
  <c r="F164" i="1"/>
  <c r="F165" i="1"/>
  <c r="F166" i="1"/>
  <c r="F167" i="1"/>
  <c r="F168" i="1"/>
  <c r="F169" i="1"/>
  <c r="F170" i="1"/>
  <c r="F171" i="1"/>
  <c r="F172" i="1"/>
  <c r="F173" i="1"/>
  <c r="F174" i="1"/>
  <c r="F175" i="1"/>
  <c r="I175" i="1" s="1"/>
  <c r="F176" i="1"/>
  <c r="I176" i="1" s="1"/>
  <c r="F177" i="1"/>
  <c r="F178" i="1"/>
  <c r="I178" i="1" s="1"/>
  <c r="F179" i="1"/>
  <c r="I179" i="1" s="1"/>
  <c r="F180" i="1"/>
  <c r="F181" i="1"/>
  <c r="F182" i="1"/>
  <c r="F183" i="1"/>
  <c r="I183" i="1" s="1"/>
  <c r="F184" i="1"/>
  <c r="F185" i="1"/>
  <c r="F186" i="1"/>
  <c r="F187" i="1"/>
  <c r="F188" i="1"/>
  <c r="F189" i="1"/>
  <c r="F190" i="1"/>
  <c r="F191" i="1"/>
  <c r="I191" i="1" s="1"/>
  <c r="F192" i="1"/>
  <c r="F193" i="1"/>
  <c r="F194" i="1"/>
  <c r="I194" i="1" s="1"/>
  <c r="F195" i="1"/>
  <c r="I195" i="1" s="1"/>
  <c r="K223" i="2" s="1"/>
  <c r="L223" i="2" s="1"/>
  <c r="F197" i="1"/>
  <c r="F198" i="1"/>
  <c r="F199" i="1"/>
  <c r="F200" i="1"/>
  <c r="F201" i="1"/>
  <c r="F202" i="1"/>
  <c r="F203" i="1"/>
  <c r="F204" i="1"/>
  <c r="F205" i="1"/>
  <c r="F206" i="1"/>
  <c r="F207" i="1"/>
  <c r="F208" i="1"/>
  <c r="F209" i="1"/>
  <c r="F210" i="1"/>
  <c r="I210" i="1" s="1"/>
  <c r="F212" i="1"/>
  <c r="I212" i="1" s="1"/>
  <c r="F213" i="1"/>
  <c r="I213" i="1" s="1"/>
  <c r="F214" i="1"/>
  <c r="F215" i="1"/>
  <c r="F216" i="1"/>
  <c r="F217" i="1"/>
  <c r="F218" i="1"/>
  <c r="F219" i="1"/>
  <c r="F220" i="1"/>
  <c r="F221" i="1"/>
  <c r="F222" i="1"/>
  <c r="F223" i="1"/>
  <c r="F224" i="1"/>
  <c r="F2" i="1"/>
  <c r="E3" i="1"/>
  <c r="E4" i="1"/>
  <c r="E5" i="1"/>
  <c r="I5" i="1" s="1"/>
  <c r="E6" i="1"/>
  <c r="I6" i="1" s="1"/>
  <c r="E7" i="1"/>
  <c r="E8" i="1"/>
  <c r="E9" i="1"/>
  <c r="E10" i="1"/>
  <c r="E11" i="1"/>
  <c r="E12" i="1"/>
  <c r="E13" i="1"/>
  <c r="E14" i="1"/>
  <c r="E15" i="1"/>
  <c r="E16" i="1"/>
  <c r="E17" i="1"/>
  <c r="E19" i="1"/>
  <c r="E20" i="1"/>
  <c r="E21" i="1"/>
  <c r="I21" i="1" s="1"/>
  <c r="B719" i="2" s="1"/>
  <c r="C719" i="2" s="1"/>
  <c r="E22" i="1"/>
  <c r="I22" i="1" s="1"/>
  <c r="E23" i="1"/>
  <c r="I23" i="1" s="1"/>
  <c r="E24" i="1"/>
  <c r="E25" i="1"/>
  <c r="E26" i="1"/>
  <c r="E27" i="1"/>
  <c r="E29" i="1"/>
  <c r="E30" i="1"/>
  <c r="E31" i="1"/>
  <c r="E32" i="1"/>
  <c r="E33" i="1"/>
  <c r="E34" i="1"/>
  <c r="E35" i="1"/>
  <c r="E36" i="1"/>
  <c r="E37" i="1"/>
  <c r="I37" i="1" s="1"/>
  <c r="E38" i="1"/>
  <c r="I38" i="1" s="1"/>
  <c r="E39" i="1"/>
  <c r="I39" i="1" s="1"/>
  <c r="E40" i="1"/>
  <c r="I40" i="1" s="1"/>
  <c r="J40" i="1" s="1"/>
  <c r="E41" i="1"/>
  <c r="E42" i="1"/>
  <c r="E43" i="1"/>
  <c r="E44" i="1"/>
  <c r="E45" i="1"/>
  <c r="E46" i="1"/>
  <c r="E47" i="1"/>
  <c r="E48" i="1"/>
  <c r="E49" i="1"/>
  <c r="E50" i="1"/>
  <c r="E51" i="1"/>
  <c r="E52" i="1"/>
  <c r="E53" i="1"/>
  <c r="E54" i="1"/>
  <c r="I54" i="1" s="1"/>
  <c r="E55" i="1"/>
  <c r="I55" i="1" s="1"/>
  <c r="E56" i="1"/>
  <c r="I56" i="1" s="1"/>
  <c r="E57" i="1"/>
  <c r="E58" i="1"/>
  <c r="E59" i="1"/>
  <c r="E60" i="1"/>
  <c r="E61" i="1"/>
  <c r="E62" i="1"/>
  <c r="E63" i="1"/>
  <c r="E64" i="1"/>
  <c r="I64" i="1" s="1"/>
  <c r="E65" i="1"/>
  <c r="E66" i="1"/>
  <c r="E67" i="1"/>
  <c r="E68" i="1"/>
  <c r="E69" i="1"/>
  <c r="E70" i="1"/>
  <c r="E71" i="1"/>
  <c r="I71" i="1" s="1"/>
  <c r="E72" i="1"/>
  <c r="I72" i="1" s="1"/>
  <c r="E73" i="1"/>
  <c r="E74" i="1"/>
  <c r="E75" i="1"/>
  <c r="E76" i="1"/>
  <c r="E78" i="1"/>
  <c r="E79" i="1"/>
  <c r="E80" i="1"/>
  <c r="E81" i="1"/>
  <c r="E82" i="1"/>
  <c r="E84" i="1"/>
  <c r="E85" i="1"/>
  <c r="E86" i="1"/>
  <c r="I86" i="1" s="1"/>
  <c r="E87" i="1"/>
  <c r="E88" i="1"/>
  <c r="I88" i="1" s="1"/>
  <c r="J88" i="1" s="1"/>
  <c r="E89" i="1"/>
  <c r="I89" i="1" s="1"/>
  <c r="J89" i="1" s="1"/>
  <c r="E90" i="1"/>
  <c r="I90" i="1" s="1"/>
  <c r="E91" i="1"/>
  <c r="E92" i="1"/>
  <c r="E93" i="1"/>
  <c r="E94" i="1"/>
  <c r="E95" i="1"/>
  <c r="E96" i="1"/>
  <c r="E97" i="1"/>
  <c r="E98" i="1"/>
  <c r="I98" i="1" s="1"/>
  <c r="E99" i="1"/>
  <c r="I99" i="1" s="1"/>
  <c r="E100" i="1"/>
  <c r="E101" i="1"/>
  <c r="E102" i="1"/>
  <c r="E103" i="1"/>
  <c r="E104" i="1"/>
  <c r="E105" i="1"/>
  <c r="I105" i="1" s="1"/>
  <c r="E106" i="1"/>
  <c r="I106" i="1" s="1"/>
  <c r="E107" i="1"/>
  <c r="E108" i="1"/>
  <c r="E109" i="1"/>
  <c r="E110" i="1"/>
  <c r="E111" i="1"/>
  <c r="E112" i="1"/>
  <c r="E113" i="1"/>
  <c r="E114" i="1"/>
  <c r="E115" i="1"/>
  <c r="I115" i="1" s="1"/>
  <c r="J115" i="1" s="1"/>
  <c r="E116" i="1"/>
  <c r="E117" i="1"/>
  <c r="E118" i="1"/>
  <c r="E119" i="1"/>
  <c r="E120" i="1"/>
  <c r="E121" i="1"/>
  <c r="I121" i="1" s="1"/>
  <c r="E122" i="1"/>
  <c r="I122" i="1" s="1"/>
  <c r="E123" i="1"/>
  <c r="E124" i="1"/>
  <c r="E125" i="1"/>
  <c r="E126" i="1"/>
  <c r="E127" i="1"/>
  <c r="E128" i="1"/>
  <c r="E130" i="1"/>
  <c r="E131" i="1"/>
  <c r="E132" i="1"/>
  <c r="E133" i="1"/>
  <c r="E134" i="1"/>
  <c r="E135" i="1"/>
  <c r="E136" i="1"/>
  <c r="E137" i="1"/>
  <c r="I137" i="1" s="1"/>
  <c r="E138" i="1"/>
  <c r="I138" i="1" s="1"/>
  <c r="E140" i="1"/>
  <c r="I140" i="1" s="1"/>
  <c r="E141" i="1"/>
  <c r="E142" i="1"/>
  <c r="E143" i="1"/>
  <c r="E144" i="1"/>
  <c r="E145" i="1"/>
  <c r="E146" i="1"/>
  <c r="E147" i="1"/>
  <c r="E148" i="1"/>
  <c r="E149" i="1"/>
  <c r="E150" i="1"/>
  <c r="E151" i="1"/>
  <c r="I151" i="1" s="1"/>
  <c r="E152" i="1"/>
  <c r="E153" i="1"/>
  <c r="E154" i="1"/>
  <c r="E155" i="1"/>
  <c r="I155" i="1" s="1"/>
  <c r="E156" i="1"/>
  <c r="I156" i="1" s="1"/>
  <c r="E157" i="1"/>
  <c r="E158" i="1"/>
  <c r="I158" i="1" s="1"/>
  <c r="E159" i="1"/>
  <c r="I159" i="1" s="1"/>
  <c r="E160" i="1"/>
  <c r="E229" i="1" s="1"/>
  <c r="E161" i="1"/>
  <c r="E162" i="1"/>
  <c r="E163" i="1"/>
  <c r="E164" i="1"/>
  <c r="E165" i="1"/>
  <c r="I165" i="1" s="1"/>
  <c r="E166" i="1"/>
  <c r="E167" i="1"/>
  <c r="E168" i="1"/>
  <c r="E169" i="1"/>
  <c r="E170" i="1"/>
  <c r="E171" i="1"/>
  <c r="I171" i="1" s="1"/>
  <c r="E172" i="1"/>
  <c r="I172" i="1" s="1"/>
  <c r="E173" i="1"/>
  <c r="E174" i="1"/>
  <c r="E175" i="1"/>
  <c r="E176" i="1"/>
  <c r="E177" i="1"/>
  <c r="E178" i="1"/>
  <c r="E179" i="1"/>
  <c r="E180" i="1"/>
  <c r="E181" i="1"/>
  <c r="E182" i="1"/>
  <c r="E183" i="1"/>
  <c r="E184" i="1"/>
  <c r="I184" i="1" s="1"/>
  <c r="E185" i="1"/>
  <c r="E186" i="1"/>
  <c r="E187" i="1"/>
  <c r="I187" i="1" s="1"/>
  <c r="J187" i="1" s="1"/>
  <c r="E188" i="1"/>
  <c r="I188" i="1" s="1"/>
  <c r="E189" i="1"/>
  <c r="E190" i="1"/>
  <c r="E191" i="1"/>
  <c r="E192" i="1"/>
  <c r="E193" i="1"/>
  <c r="E195" i="1"/>
  <c r="E196" i="1"/>
  <c r="E197" i="1"/>
  <c r="I197" i="1" s="1"/>
  <c r="E198" i="1"/>
  <c r="I198" i="1" s="1"/>
  <c r="E199" i="1"/>
  <c r="E200" i="1"/>
  <c r="E202" i="1"/>
  <c r="E203" i="1"/>
  <c r="E204" i="1"/>
  <c r="I204" i="1" s="1"/>
  <c r="E205" i="1"/>
  <c r="I205" i="1" s="1"/>
  <c r="E206" i="1"/>
  <c r="I206" i="1" s="1"/>
  <c r="E207" i="1"/>
  <c r="E208" i="1"/>
  <c r="E209" i="1"/>
  <c r="E210" i="1"/>
  <c r="E211" i="1"/>
  <c r="E212" i="1"/>
  <c r="E213" i="1"/>
  <c r="E214" i="1"/>
  <c r="I214" i="1" s="1"/>
  <c r="E215" i="1"/>
  <c r="I215" i="1" s="1"/>
  <c r="J215" i="1" s="1"/>
  <c r="E216" i="1"/>
  <c r="E217" i="1"/>
  <c r="E218" i="1"/>
  <c r="E219" i="1"/>
  <c r="E220" i="1"/>
  <c r="E221" i="1"/>
  <c r="I221" i="1" s="1"/>
  <c r="E222" i="1"/>
  <c r="I222" i="1" s="1"/>
  <c r="E223" i="1"/>
  <c r="E224" i="1"/>
  <c r="E2" i="1"/>
  <c r="D3" i="1" a="1"/>
  <c r="D3" i="1" s="1"/>
  <c r="D4" i="1" a="1"/>
  <c r="D4" i="1"/>
  <c r="D5" i="1" a="1"/>
  <c r="D5" i="1"/>
  <c r="D6" i="1" a="1"/>
  <c r="D6" i="1"/>
  <c r="D7" i="1" a="1"/>
  <c r="D7" i="1"/>
  <c r="D8" i="1" a="1"/>
  <c r="D8" i="1"/>
  <c r="D9" i="1" a="1"/>
  <c r="D9" i="1"/>
  <c r="D10" i="1" a="1"/>
  <c r="D10" i="1"/>
  <c r="D11" i="1" a="1"/>
  <c r="D11" i="1" s="1"/>
  <c r="D12" i="1" a="1"/>
  <c r="D12" i="1" s="1"/>
  <c r="D13" i="1" a="1"/>
  <c r="D13" i="1" s="1"/>
  <c r="D14" i="1" a="1"/>
  <c r="D14" i="1"/>
  <c r="D15" i="1" a="1"/>
  <c r="D15" i="1"/>
  <c r="D16" i="1" a="1"/>
  <c r="D16" i="1"/>
  <c r="D17" i="1" a="1"/>
  <c r="D17" i="1"/>
  <c r="D18" i="1" a="1"/>
  <c r="D18" i="1"/>
  <c r="D19" i="1" a="1"/>
  <c r="D19" i="1" s="1"/>
  <c r="D20" i="1" a="1"/>
  <c r="D20" i="1"/>
  <c r="D225" i="1" s="1"/>
  <c r="D21" i="1" a="1"/>
  <c r="D21" i="1" s="1"/>
  <c r="D22" i="1" a="1"/>
  <c r="D22" i="1"/>
  <c r="D23" i="1" a="1"/>
  <c r="D23" i="1"/>
  <c r="D24" i="1" a="1"/>
  <c r="D24" i="1"/>
  <c r="D25" i="1" a="1"/>
  <c r="D25" i="1"/>
  <c r="D26" i="1" a="1"/>
  <c r="D26" i="1"/>
  <c r="D27" i="1" a="1"/>
  <c r="D27" i="1" s="1"/>
  <c r="D28" i="1" a="1"/>
  <c r="D28" i="1" s="1"/>
  <c r="D29" i="1" a="1"/>
  <c r="D29" i="1"/>
  <c r="D30" i="1" a="1"/>
  <c r="D30" i="1" s="1"/>
  <c r="D32" i="1" a="1"/>
  <c r="D32" i="1"/>
  <c r="D33" i="1" a="1"/>
  <c r="D33" i="1"/>
  <c r="D34" i="1" a="1"/>
  <c r="D34" i="1"/>
  <c r="D35" i="1" a="1"/>
  <c r="D35" i="1" s="1"/>
  <c r="D36" i="1" a="1"/>
  <c r="D36" i="1"/>
  <c r="D37" i="1" a="1"/>
  <c r="D37" i="1"/>
  <c r="D38" i="1" a="1"/>
  <c r="D38" i="1"/>
  <c r="D39" i="1" a="1"/>
  <c r="D39" i="1"/>
  <c r="D40" i="1" a="1"/>
  <c r="D40" i="1"/>
  <c r="D41" i="1" a="1"/>
  <c r="D41" i="1"/>
  <c r="D42" i="1" a="1"/>
  <c r="D42" i="1"/>
  <c r="D43" i="1" a="1"/>
  <c r="D43" i="1" s="1"/>
  <c r="D44" i="1" a="1"/>
  <c r="D44" i="1"/>
  <c r="D45" i="1" a="1"/>
  <c r="D45" i="1"/>
  <c r="D226" i="1" s="1"/>
  <c r="D46" i="1" a="1"/>
  <c r="D46" i="1" s="1"/>
  <c r="D47" i="1" a="1"/>
  <c r="D47" i="1" s="1"/>
  <c r="D48" i="1" a="1"/>
  <c r="D48" i="1" s="1"/>
  <c r="D49" i="1" a="1"/>
  <c r="D49" i="1" s="1"/>
  <c r="D50" i="1" a="1"/>
  <c r="D50" i="1"/>
  <c r="D51" i="1" a="1"/>
  <c r="D51" i="1" s="1"/>
  <c r="D52" i="1" a="1"/>
  <c r="D52" i="1"/>
  <c r="D53" i="1" a="1"/>
  <c r="D53" i="1"/>
  <c r="D54" i="1" a="1"/>
  <c r="D54" i="1"/>
  <c r="D55" i="1" a="1"/>
  <c r="D55" i="1"/>
  <c r="D56" i="1" a="1"/>
  <c r="D56" i="1" s="1"/>
  <c r="D57" i="1" a="1"/>
  <c r="D57" i="1"/>
  <c r="D58" i="1" a="1"/>
  <c r="D58" i="1" s="1"/>
  <c r="D59" i="1" a="1"/>
  <c r="D59" i="1" s="1"/>
  <c r="D60" i="1" a="1"/>
  <c r="D60" i="1"/>
  <c r="D61" i="1" a="1"/>
  <c r="D61" i="1" s="1"/>
  <c r="D62" i="1" a="1"/>
  <c r="D62" i="1"/>
  <c r="D63" i="1" a="1"/>
  <c r="D63" i="1" s="1"/>
  <c r="D64" i="1" a="1"/>
  <c r="D64" i="1"/>
  <c r="D65" i="1" a="1"/>
  <c r="D65" i="1" s="1"/>
  <c r="D66" i="1" a="1"/>
  <c r="D66" i="1"/>
  <c r="D67" i="1" a="1"/>
  <c r="D67" i="1" s="1"/>
  <c r="D68" i="1" a="1"/>
  <c r="D68" i="1" s="1"/>
  <c r="D69" i="1" a="1"/>
  <c r="D69" i="1"/>
  <c r="D70" i="1" a="1"/>
  <c r="D70" i="1"/>
  <c r="D71" i="1" a="1"/>
  <c r="D71" i="1" s="1"/>
  <c r="D72" i="1" a="1"/>
  <c r="D72" i="1"/>
  <c r="D73" i="1" a="1"/>
  <c r="D73" i="1"/>
  <c r="D74" i="1" a="1"/>
  <c r="D74" i="1"/>
  <c r="D75" i="1" a="1"/>
  <c r="D75" i="1" s="1"/>
  <c r="D77" i="1" a="1"/>
  <c r="D77" i="1"/>
  <c r="D78" i="1" a="1"/>
  <c r="D78" i="1"/>
  <c r="D79" i="1" a="1"/>
  <c r="D79" i="1"/>
  <c r="D80" i="1" a="1"/>
  <c r="D80" i="1"/>
  <c r="D81" i="1" a="1"/>
  <c r="D81" i="1" s="1"/>
  <c r="D82" i="1" a="1"/>
  <c r="D82" i="1"/>
  <c r="D83" i="1" a="1"/>
  <c r="D83" i="1" s="1"/>
  <c r="D84" i="1" a="1"/>
  <c r="D84" i="1"/>
  <c r="D85" i="1" a="1"/>
  <c r="D85" i="1"/>
  <c r="D86" i="1" a="1"/>
  <c r="D86" i="1"/>
  <c r="D87" i="1" a="1"/>
  <c r="D87" i="1"/>
  <c r="D88" i="1" a="1"/>
  <c r="D88" i="1"/>
  <c r="D89" i="1" a="1"/>
  <c r="D89" i="1"/>
  <c r="D90" i="1" a="1"/>
  <c r="D90" i="1"/>
  <c r="D91" i="1" a="1"/>
  <c r="D91" i="1" s="1"/>
  <c r="D92" i="1" a="1"/>
  <c r="D92" i="1" s="1"/>
  <c r="D93" i="1" a="1"/>
  <c r="D93" i="1"/>
  <c r="D94" i="1" a="1"/>
  <c r="D94" i="1"/>
  <c r="D95" i="1" a="1"/>
  <c r="D95" i="1"/>
  <c r="D96" i="1" a="1"/>
  <c r="D96" i="1"/>
  <c r="D97" i="1" a="1"/>
  <c r="D97" i="1"/>
  <c r="D98" i="1" a="1"/>
  <c r="D98" i="1" s="1"/>
  <c r="D99" i="1" a="1"/>
  <c r="D99" i="1" s="1"/>
  <c r="D100" i="1" a="1"/>
  <c r="D100" i="1"/>
  <c r="D101" i="1" a="1"/>
  <c r="D101" i="1"/>
  <c r="D102" i="1" a="1"/>
  <c r="D102" i="1"/>
  <c r="D103" i="1" a="1"/>
  <c r="D103" i="1"/>
  <c r="D104" i="1" a="1"/>
  <c r="D104" i="1"/>
  <c r="D105" i="1" a="1"/>
  <c r="D105" i="1"/>
  <c r="D106" i="1" a="1"/>
  <c r="D106" i="1"/>
  <c r="D107" i="1" a="1"/>
  <c r="D107" i="1" s="1"/>
  <c r="D108" i="1" a="1"/>
  <c r="D108" i="1" s="1"/>
  <c r="D109" i="1" a="1"/>
  <c r="D109" i="1" s="1"/>
  <c r="D110" i="1" a="1"/>
  <c r="D110" i="1"/>
  <c r="D111" i="1" a="1"/>
  <c r="D111" i="1"/>
  <c r="D112" i="1" a="1"/>
  <c r="D112" i="1"/>
  <c r="D113" i="1" a="1"/>
  <c r="D113" i="1"/>
  <c r="D114" i="1" a="1"/>
  <c r="D114" i="1"/>
  <c r="D115" i="1" a="1"/>
  <c r="D115" i="1" s="1"/>
  <c r="D116" i="1" a="1"/>
  <c r="D116" i="1"/>
  <c r="D117" i="1" a="1"/>
  <c r="D117" i="1" s="1"/>
  <c r="D118" i="1" a="1"/>
  <c r="D118" i="1"/>
  <c r="D119" i="1" a="1"/>
  <c r="D119" i="1"/>
  <c r="D120" i="1" a="1"/>
  <c r="D120" i="1" s="1"/>
  <c r="D228" i="1" s="1"/>
  <c r="D121" i="1" a="1"/>
  <c r="D121" i="1"/>
  <c r="D122" i="1" a="1"/>
  <c r="D122" i="1" s="1"/>
  <c r="D123" i="1" a="1"/>
  <c r="D123" i="1" s="1"/>
  <c r="D124" i="1" a="1"/>
  <c r="D124" i="1" s="1"/>
  <c r="D125" i="1" a="1"/>
  <c r="D125" i="1" s="1"/>
  <c r="D126" i="1" a="1"/>
  <c r="D126" i="1" s="1"/>
  <c r="D127" i="1" a="1"/>
  <c r="D127" i="1"/>
  <c r="D128" i="1" a="1"/>
  <c r="D128" i="1"/>
  <c r="D129" i="1" a="1"/>
  <c r="D129" i="1"/>
  <c r="D130" i="1" a="1"/>
  <c r="D130" i="1"/>
  <c r="D131" i="1" a="1"/>
  <c r="D131" i="1" s="1"/>
  <c r="D132" i="1" a="1"/>
  <c r="D132" i="1" s="1"/>
  <c r="D133" i="1" a="1"/>
  <c r="D133" i="1"/>
  <c r="D135" i="1" a="1"/>
  <c r="D135" i="1"/>
  <c r="D136" i="1" a="1"/>
  <c r="D136" i="1"/>
  <c r="D137" i="1" a="1"/>
  <c r="D137" i="1"/>
  <c r="D138" i="1" a="1"/>
  <c r="D138" i="1"/>
  <c r="D139" i="1" a="1"/>
  <c r="D139" i="1" s="1"/>
  <c r="D140" i="1" a="1"/>
  <c r="D140" i="1"/>
  <c r="D141" i="1" a="1"/>
  <c r="D141" i="1"/>
  <c r="D142" i="1" a="1"/>
  <c r="D142" i="1" s="1"/>
  <c r="D143" i="1" a="1"/>
  <c r="D143" i="1"/>
  <c r="D144" i="1" a="1"/>
  <c r="D144" i="1" s="1"/>
  <c r="D145" i="1" a="1"/>
  <c r="D145" i="1" s="1"/>
  <c r="D146" i="1" a="1"/>
  <c r="D146" i="1"/>
  <c r="D147" i="1" a="1"/>
  <c r="D147" i="1" s="1"/>
  <c r="D148" i="1" a="1"/>
  <c r="D148" i="1"/>
  <c r="D149" i="1" a="1"/>
  <c r="D149" i="1" s="1"/>
  <c r="D150" i="1" a="1"/>
  <c r="D150" i="1"/>
  <c r="D151" i="1" a="1"/>
  <c r="D151" i="1"/>
  <c r="D152" i="1" a="1"/>
  <c r="D152" i="1"/>
  <c r="D153" i="1" a="1"/>
  <c r="D153" i="1"/>
  <c r="D154" i="1" a="1"/>
  <c r="D154" i="1" s="1"/>
  <c r="D155" i="1" a="1"/>
  <c r="D155" i="1" s="1"/>
  <c r="D156" i="1" a="1"/>
  <c r="D156" i="1"/>
  <c r="D157" i="1" a="1"/>
  <c r="D157" i="1"/>
  <c r="D158" i="1" a="1"/>
  <c r="D158" i="1"/>
  <c r="D159" i="1" a="1"/>
  <c r="D159" i="1" s="1"/>
  <c r="D160" i="1" a="1"/>
  <c r="D160" i="1" s="1"/>
  <c r="D229" i="1" s="1"/>
  <c r="D161" i="1" a="1"/>
  <c r="D161" i="1" s="1"/>
  <c r="D162" i="1" a="1"/>
  <c r="D162" i="1"/>
  <c r="D163" i="1" a="1"/>
  <c r="D163" i="1" s="1"/>
  <c r="D164" i="1" a="1"/>
  <c r="D164" i="1"/>
  <c r="D165" i="1" a="1"/>
  <c r="D165" i="1"/>
  <c r="D166" i="1" a="1"/>
  <c r="D166" i="1"/>
  <c r="D167" i="1" a="1"/>
  <c r="D167" i="1" s="1"/>
  <c r="D168" i="1" a="1"/>
  <c r="D168" i="1"/>
  <c r="D169" i="1" a="1"/>
  <c r="D169" i="1" s="1"/>
  <c r="D170" i="1" a="1"/>
  <c r="D170" i="1"/>
  <c r="D171" i="1" a="1"/>
  <c r="D171" i="1" s="1"/>
  <c r="D172" i="1" a="1"/>
  <c r="D172" i="1"/>
  <c r="D173" i="1" a="1"/>
  <c r="D173" i="1" s="1"/>
  <c r="D174" i="1" a="1"/>
  <c r="D174" i="1" s="1"/>
  <c r="D175" i="1" a="1"/>
  <c r="D175" i="1"/>
  <c r="D176" i="1" a="1"/>
  <c r="D176" i="1" s="1"/>
  <c r="D177" i="1" a="1"/>
  <c r="D177" i="1"/>
  <c r="D178" i="1" a="1"/>
  <c r="D178" i="1" s="1"/>
  <c r="D179" i="1" a="1"/>
  <c r="D179" i="1" s="1"/>
  <c r="D180" i="1" a="1"/>
  <c r="D180" i="1"/>
  <c r="D181" i="1" a="1"/>
  <c r="D181" i="1"/>
  <c r="D182" i="1" a="1"/>
  <c r="D182" i="1"/>
  <c r="D183" i="1" a="1"/>
  <c r="D183" i="1" s="1"/>
  <c r="D184" i="1" a="1"/>
  <c r="D184" i="1"/>
  <c r="D185" i="1" a="1"/>
  <c r="D185" i="1"/>
  <c r="D186" i="1" a="1"/>
  <c r="D186" i="1"/>
  <c r="D187" i="1" a="1"/>
  <c r="D187" i="1" s="1"/>
  <c r="D188" i="1" a="1"/>
  <c r="D188" i="1"/>
  <c r="D189" i="1" a="1"/>
  <c r="D189" i="1"/>
  <c r="D190" i="1" a="1"/>
  <c r="D190" i="1"/>
  <c r="D192" i="1" a="1"/>
  <c r="D192" i="1"/>
  <c r="D193" i="1" a="1"/>
  <c r="D193" i="1" s="1"/>
  <c r="D194" i="1" a="1"/>
  <c r="D194" i="1" s="1"/>
  <c r="D195" i="1" a="1"/>
  <c r="D195" i="1" s="1"/>
  <c r="D196" i="1" a="1"/>
  <c r="D196" i="1"/>
  <c r="D197" i="1" a="1"/>
  <c r="D197" i="1"/>
  <c r="D198" i="1" a="1"/>
  <c r="D198" i="1"/>
  <c r="D199" i="1" a="1"/>
  <c r="D199" i="1"/>
  <c r="D200" i="1" a="1"/>
  <c r="D200" i="1"/>
  <c r="D201" i="1" a="1"/>
  <c r="D201" i="1"/>
  <c r="D202" i="1" a="1"/>
  <c r="D202" i="1" s="1"/>
  <c r="D203" i="1" a="1"/>
  <c r="D203" i="1" s="1"/>
  <c r="D204" i="1" a="1"/>
  <c r="D204" i="1" s="1"/>
  <c r="D205" i="1" a="1"/>
  <c r="D205" i="1" s="1"/>
  <c r="D206" i="1" a="1"/>
  <c r="D206" i="1"/>
  <c r="D207" i="1" a="1"/>
  <c r="D207" i="1"/>
  <c r="D208" i="1" a="1"/>
  <c r="D208" i="1"/>
  <c r="D209" i="1" a="1"/>
  <c r="D209" i="1"/>
  <c r="D210" i="1" a="1"/>
  <c r="D210" i="1" s="1"/>
  <c r="D211" i="1" a="1"/>
  <c r="D211" i="1" s="1"/>
  <c r="D212" i="1" a="1"/>
  <c r="D212" i="1"/>
  <c r="D213" i="1" a="1"/>
  <c r="D213" i="1" s="1"/>
  <c r="D214" i="1" a="1"/>
  <c r="D214" i="1"/>
  <c r="D215" i="1" a="1"/>
  <c r="D215" i="1" s="1"/>
  <c r="D216" i="1" a="1"/>
  <c r="D216" i="1"/>
  <c r="D217" i="1" a="1"/>
  <c r="D217" i="1"/>
  <c r="D218" i="1" a="1"/>
  <c r="D218" i="1"/>
  <c r="D219" i="1" a="1"/>
  <c r="D219" i="1" s="1"/>
  <c r="D220" i="1" a="1"/>
  <c r="D220" i="1" s="1"/>
  <c r="D221" i="1" a="1"/>
  <c r="D221" i="1"/>
  <c r="D222" i="1" a="1"/>
  <c r="D222" i="1" s="1"/>
  <c r="D223" i="1" a="1"/>
  <c r="D223" i="1"/>
  <c r="D224" i="1" a="1"/>
  <c r="D224" i="1"/>
  <c r="D2" i="1" a="1"/>
  <c r="D2" i="1"/>
  <c r="C3" i="1" a="1"/>
  <c r="C3" i="1"/>
  <c r="C4" i="1" a="1"/>
  <c r="C4" i="1"/>
  <c r="B237" i="2" s="1"/>
  <c r="C237" i="2" s="1"/>
  <c r="C5" i="1" a="1"/>
  <c r="C5" i="1" s="1"/>
  <c r="B7" i="2" s="1"/>
  <c r="C7" i="2" s="1"/>
  <c r="C6" i="1" a="1"/>
  <c r="C6" i="1"/>
  <c r="C7" i="1" a="1"/>
  <c r="C7" i="1" s="1"/>
  <c r="C8" i="1" a="1"/>
  <c r="C8" i="1"/>
  <c r="C9" i="1" a="1"/>
  <c r="C9" i="1"/>
  <c r="C10" i="1" a="1"/>
  <c r="C10" i="1"/>
  <c r="B243" i="2" s="1"/>
  <c r="C11" i="1" a="1"/>
  <c r="C11" i="1"/>
  <c r="B244" i="2" s="1"/>
  <c r="C244" i="2" s="1"/>
  <c r="C12" i="1" a="1"/>
  <c r="C12" i="1"/>
  <c r="C13" i="1" a="1"/>
  <c r="C13" i="1" s="1"/>
  <c r="B15" i="2" s="1"/>
  <c r="C15" i="2" s="1"/>
  <c r="C14" i="1" a="1"/>
  <c r="C14" i="1"/>
  <c r="B247" i="2" s="1"/>
  <c r="C247" i="2" s="1"/>
  <c r="C15" i="1" a="1"/>
  <c r="C15" i="1" s="1"/>
  <c r="B17" i="2" s="1"/>
  <c r="C17" i="2" s="1"/>
  <c r="C16" i="1" a="1"/>
  <c r="C16" i="1" s="1"/>
  <c r="C17" i="1" a="1"/>
  <c r="C17" i="1"/>
  <c r="C18" i="1" a="1"/>
  <c r="C18" i="1"/>
  <c r="C19" i="1" a="1"/>
  <c r="C19" i="1"/>
  <c r="C20" i="1" a="1"/>
  <c r="C20" i="1"/>
  <c r="C21" i="1" a="1"/>
  <c r="C21" i="1" s="1"/>
  <c r="C22" i="1" a="1"/>
  <c r="C22" i="1"/>
  <c r="C23" i="1" a="1"/>
  <c r="C23" i="1" s="1"/>
  <c r="C24" i="1" a="1"/>
  <c r="C24" i="1"/>
  <c r="B257" i="2" s="1"/>
  <c r="C257" i="2" s="1"/>
  <c r="C25" i="1" a="1"/>
  <c r="C25" i="1" s="1"/>
  <c r="C26" i="1" a="1"/>
  <c r="C26" i="1"/>
  <c r="C27" i="1" a="1"/>
  <c r="C27" i="1"/>
  <c r="B260" i="2" s="1"/>
  <c r="C260" i="2" s="1"/>
  <c r="C28" i="1" a="1"/>
  <c r="C28" i="1"/>
  <c r="C29" i="1" a="1"/>
  <c r="C29" i="1" s="1"/>
  <c r="B262" i="2" s="1"/>
  <c r="C262" i="2" s="1"/>
  <c r="C30" i="1" a="1"/>
  <c r="C30" i="1"/>
  <c r="C31" i="1" a="1"/>
  <c r="C31" i="1" s="1"/>
  <c r="C32" i="1" a="1"/>
  <c r="C32" i="1"/>
  <c r="B34" i="2" s="1"/>
  <c r="C33" i="1" a="1"/>
  <c r="C33" i="1"/>
  <c r="C34" i="1" a="1"/>
  <c r="C34" i="1" s="1"/>
  <c r="C36" i="1" a="1"/>
  <c r="C36" i="1"/>
  <c r="C37" i="1" a="1"/>
  <c r="C37" i="1"/>
  <c r="B270" i="2" s="1"/>
  <c r="C38" i="1" a="1"/>
  <c r="C38" i="1" s="1"/>
  <c r="B40" i="2" s="1"/>
  <c r="C40" i="2" s="1"/>
  <c r="C39" i="1" a="1"/>
  <c r="C39" i="1" s="1"/>
  <c r="B272" i="2" s="1"/>
  <c r="C272" i="2" s="1"/>
  <c r="C40" i="1" a="1"/>
  <c r="C40" i="1" s="1"/>
  <c r="C41" i="1" a="1"/>
  <c r="C41" i="1"/>
  <c r="C42" i="1" a="1"/>
  <c r="C42" i="1"/>
  <c r="B275" i="2" s="1"/>
  <c r="C275" i="2" s="1"/>
  <c r="C43" i="1" a="1"/>
  <c r="C43" i="1"/>
  <c r="B45" i="2" s="1"/>
  <c r="C45" i="2" s="1"/>
  <c r="C44" i="1" a="1"/>
  <c r="C44" i="1"/>
  <c r="C45" i="1" a="1"/>
  <c r="C45" i="1"/>
  <c r="C46" i="1" a="1"/>
  <c r="C46" i="1" s="1"/>
  <c r="B279" i="2" s="1"/>
  <c r="C279" i="2" s="1"/>
  <c r="C47" i="1" a="1"/>
  <c r="C47" i="1"/>
  <c r="C48" i="1" a="1"/>
  <c r="C48" i="1" s="1"/>
  <c r="B50" i="2" s="1"/>
  <c r="C50" i="2" s="1"/>
  <c r="C49" i="1" a="1"/>
  <c r="C49" i="1"/>
  <c r="C50" i="1" a="1"/>
  <c r="C50" i="1"/>
  <c r="B52" i="2" s="1"/>
  <c r="C51" i="1" a="1"/>
  <c r="C51" i="1"/>
  <c r="C52" i="1" a="1"/>
  <c r="C52" i="1"/>
  <c r="B285" i="2" s="1"/>
  <c r="C285" i="2" s="1"/>
  <c r="C53" i="1" a="1"/>
  <c r="C53" i="1"/>
  <c r="C54" i="1" a="1"/>
  <c r="C54" i="1" s="1"/>
  <c r="C55" i="1" a="1"/>
  <c r="C55" i="1" s="1"/>
  <c r="C56" i="1" a="1"/>
  <c r="C56" i="1" s="1"/>
  <c r="C57" i="1" a="1"/>
  <c r="C57" i="1"/>
  <c r="B59" i="2" s="1"/>
  <c r="C59" i="2" s="1"/>
  <c r="C58" i="1" a="1"/>
  <c r="C58" i="1"/>
  <c r="B60" i="2" s="1"/>
  <c r="C60" i="2" s="1"/>
  <c r="C59" i="1" a="1"/>
  <c r="C59" i="1"/>
  <c r="C60" i="1" a="1"/>
  <c r="C60" i="1"/>
  <c r="C61" i="1" a="1"/>
  <c r="C61" i="1"/>
  <c r="B63" i="2" s="1"/>
  <c r="C63" i="2" s="1"/>
  <c r="C62" i="1" a="1"/>
  <c r="C62" i="1" s="1"/>
  <c r="C63" i="1" a="1"/>
  <c r="C63" i="1"/>
  <c r="B296" i="2" s="1"/>
  <c r="C296" i="2" s="1"/>
  <c r="C64" i="1" a="1"/>
  <c r="C64" i="1" s="1"/>
  <c r="B297" i="2" s="1"/>
  <c r="C297" i="2" s="1"/>
  <c r="C65" i="1" a="1"/>
  <c r="C65" i="1"/>
  <c r="C66" i="1" a="1"/>
  <c r="C66" i="1"/>
  <c r="C67" i="1" a="1"/>
  <c r="C67" i="1"/>
  <c r="B69" i="2" s="1"/>
  <c r="C69" i="2" s="1"/>
  <c r="C68" i="1" a="1"/>
  <c r="C68" i="1"/>
  <c r="B70" i="2" s="1"/>
  <c r="C70" i="2" s="1"/>
  <c r="C69" i="1" a="1"/>
  <c r="C69" i="1"/>
  <c r="B71" i="2" s="1"/>
  <c r="C71" i="2" s="1"/>
  <c r="C70" i="1" a="1"/>
  <c r="C70" i="1" s="1"/>
  <c r="B303" i="2" s="1"/>
  <c r="C303" i="2" s="1"/>
  <c r="C71" i="1" a="1"/>
  <c r="C71" i="1"/>
  <c r="C72" i="1" a="1"/>
  <c r="C72" i="1" s="1"/>
  <c r="C73" i="1" a="1"/>
  <c r="C73" i="1" s="1"/>
  <c r="C74" i="1" a="1"/>
  <c r="C74" i="1"/>
  <c r="C75" i="1" a="1"/>
  <c r="C75" i="1"/>
  <c r="B77" i="2" s="1"/>
  <c r="C77" i="2" s="1"/>
  <c r="C76" i="1" a="1"/>
  <c r="C76" i="1"/>
  <c r="B309" i="2" s="1"/>
  <c r="C309" i="2" s="1"/>
  <c r="C77" i="1" a="1"/>
  <c r="C77" i="1"/>
  <c r="B310" i="2" s="1"/>
  <c r="C310" i="2" s="1"/>
  <c r="C78" i="1" a="1"/>
  <c r="C78" i="1" s="1"/>
  <c r="B311" i="2" s="1"/>
  <c r="C79" i="1" a="1"/>
  <c r="C79" i="1"/>
  <c r="B312" i="2" s="1"/>
  <c r="C312" i="2" s="1"/>
  <c r="C80" i="1" a="1"/>
  <c r="C80" i="1" s="1"/>
  <c r="C227" i="1" s="1"/>
  <c r="C81" i="1" a="1"/>
  <c r="C81" i="1"/>
  <c r="B83" i="2" s="1"/>
  <c r="C83" i="2" s="1"/>
  <c r="C82" i="1" a="1"/>
  <c r="C82" i="1" s="1"/>
  <c r="C83" i="1" a="1"/>
  <c r="C83" i="1"/>
  <c r="B85" i="2" s="1"/>
  <c r="C85" i="2" s="1"/>
  <c r="C84" i="1" a="1"/>
  <c r="C84" i="1"/>
  <c r="B86" i="2" s="1"/>
  <c r="C86" i="2" s="1"/>
  <c r="C85" i="1" a="1"/>
  <c r="C85" i="1"/>
  <c r="B87" i="2" s="1"/>
  <c r="C87" i="2" s="1"/>
  <c r="C86" i="1" a="1"/>
  <c r="C86" i="1" s="1"/>
  <c r="B319" i="2" s="1"/>
  <c r="C87" i="1" a="1"/>
  <c r="C87" i="1"/>
  <c r="B320" i="2" s="1"/>
  <c r="C320" i="2" s="1"/>
  <c r="C89" i="1" a="1"/>
  <c r="C89" i="1" s="1"/>
  <c r="B91" i="2" s="1"/>
  <c r="C91" i="2" s="1"/>
  <c r="C90" i="1" a="1"/>
  <c r="C90" i="1"/>
  <c r="B92" i="2" s="1"/>
  <c r="C92" i="2" s="1"/>
  <c r="C91" i="1" a="1"/>
  <c r="C91" i="1"/>
  <c r="B93" i="2" s="1"/>
  <c r="C93" i="2" s="1"/>
  <c r="C92" i="1" a="1"/>
  <c r="C92" i="1" s="1"/>
  <c r="C93" i="1" a="1"/>
  <c r="C93" i="1"/>
  <c r="B326" i="2" s="1"/>
  <c r="C326" i="2" s="1"/>
  <c r="C94" i="1" a="1"/>
  <c r="C94" i="1"/>
  <c r="B327" i="2" s="1"/>
  <c r="C327" i="2" s="1"/>
  <c r="C95" i="1" a="1"/>
  <c r="C95" i="1" s="1"/>
  <c r="B328" i="2" s="1"/>
  <c r="C328" i="2" s="1"/>
  <c r="C96" i="1" a="1"/>
  <c r="C96" i="1"/>
  <c r="C97" i="1" a="1"/>
  <c r="C97" i="1" s="1"/>
  <c r="B330" i="2" s="1"/>
  <c r="C330" i="2" s="1"/>
  <c r="C98" i="1" a="1"/>
  <c r="C98" i="1"/>
  <c r="B100" i="2" s="1"/>
  <c r="C100" i="2" s="1"/>
  <c r="C99" i="1" a="1"/>
  <c r="C99" i="1"/>
  <c r="B332" i="2" s="1"/>
  <c r="C332" i="2" s="1"/>
  <c r="C100" i="1" a="1"/>
  <c r="C100" i="1"/>
  <c r="B102" i="2" s="1"/>
  <c r="C102" i="2" s="1"/>
  <c r="C101" i="1" a="1"/>
  <c r="C101" i="1" s="1"/>
  <c r="C102" i="1" a="1"/>
  <c r="C102" i="1"/>
  <c r="B335" i="2" s="1"/>
  <c r="C103" i="1" a="1"/>
  <c r="C103" i="1" s="1"/>
  <c r="B105" i="2" s="1"/>
  <c r="C105" i="2" s="1"/>
  <c r="C104" i="1" a="1"/>
  <c r="C104" i="1" s="1"/>
  <c r="B337" i="2" s="1"/>
  <c r="C337" i="2" s="1"/>
  <c r="C105" i="1" a="1"/>
  <c r="C105" i="1" s="1"/>
  <c r="B338" i="2" s="1"/>
  <c r="C338" i="2" s="1"/>
  <c r="C106" i="1" a="1"/>
  <c r="C106" i="1" s="1"/>
  <c r="C107" i="1" a="1"/>
  <c r="C107" i="1"/>
  <c r="B109" i="2" s="1"/>
  <c r="C109" i="2" s="1"/>
  <c r="C108" i="1" a="1"/>
  <c r="C108" i="1"/>
  <c r="B110" i="2" s="1"/>
  <c r="C110" i="2" s="1"/>
  <c r="C109" i="1" a="1"/>
  <c r="C109" i="1"/>
  <c r="C110" i="1" a="1"/>
  <c r="C110" i="1"/>
  <c r="C111" i="1" a="1"/>
  <c r="C111" i="1" s="1"/>
  <c r="B113" i="2" s="1"/>
  <c r="C113" i="2" s="1"/>
  <c r="C112" i="1" a="1"/>
  <c r="C112" i="1"/>
  <c r="C113" i="1" a="1"/>
  <c r="C113" i="1" s="1"/>
  <c r="C114" i="1" a="1"/>
  <c r="C114" i="1"/>
  <c r="B116" i="2" s="1"/>
  <c r="C116" i="2" s="1"/>
  <c r="C115" i="1" a="1"/>
  <c r="C115" i="1" s="1"/>
  <c r="B117" i="2" s="1"/>
  <c r="C117" i="2" s="1"/>
  <c r="C116" i="1" a="1"/>
  <c r="C116" i="1"/>
  <c r="B349" i="2" s="1"/>
  <c r="C349" i="2" s="1"/>
  <c r="C117" i="1" a="1"/>
  <c r="C117" i="1"/>
  <c r="B350" i="2" s="1"/>
  <c r="C350" i="2" s="1"/>
  <c r="C118" i="1" a="1"/>
  <c r="C118" i="1"/>
  <c r="B351" i="2" s="1"/>
  <c r="C351" i="2" s="1"/>
  <c r="C119" i="1" a="1"/>
  <c r="C119" i="1" s="1"/>
  <c r="B352" i="2" s="1"/>
  <c r="C352" i="2" s="1"/>
  <c r="C120" i="1" a="1"/>
  <c r="C120" i="1" s="1"/>
  <c r="C121" i="1" a="1"/>
  <c r="C121" i="1" s="1"/>
  <c r="B123" i="2" s="1"/>
  <c r="C123" i="2" s="1"/>
  <c r="C122" i="1" a="1"/>
  <c r="C122" i="1" s="1"/>
  <c r="C123" i="1" a="1"/>
  <c r="C123" i="1"/>
  <c r="B125" i="2" s="1"/>
  <c r="C125" i="2" s="1"/>
  <c r="C124" i="1" a="1"/>
  <c r="C124" i="1"/>
  <c r="B357" i="2" s="1"/>
  <c r="C357" i="2" s="1"/>
  <c r="C125" i="1" a="1"/>
  <c r="C125" i="1"/>
  <c r="B358" i="2" s="1"/>
  <c r="C358" i="2" s="1"/>
  <c r="C126" i="1" a="1"/>
  <c r="C126" i="1"/>
  <c r="C127" i="1" a="1"/>
  <c r="C127" i="1" s="1"/>
  <c r="B129" i="2" s="1"/>
  <c r="C129" i="2" s="1"/>
  <c r="C128" i="1" a="1"/>
  <c r="C128" i="1"/>
  <c r="C129" i="1" a="1"/>
  <c r="C129" i="1" s="1"/>
  <c r="B131" i="2" s="1"/>
  <c r="C131" i="2" s="1"/>
  <c r="C130" i="1" a="1"/>
  <c r="C130" i="1"/>
  <c r="B363" i="2" s="1"/>
  <c r="C363" i="2" s="1"/>
  <c r="C131" i="1" a="1"/>
  <c r="C131" i="1" s="1"/>
  <c r="C132" i="1" a="1"/>
  <c r="C132" i="1"/>
  <c r="C133" i="1" a="1"/>
  <c r="C133" i="1"/>
  <c r="B135" i="2" s="1"/>
  <c r="C134" i="1" a="1"/>
  <c r="C134" i="1"/>
  <c r="C135" i="1" a="1"/>
  <c r="C135" i="1" s="1"/>
  <c r="B368" i="2" s="1"/>
  <c r="C368" i="2" s="1"/>
  <c r="C136" i="1" a="1"/>
  <c r="C136" i="1"/>
  <c r="C137" i="1" a="1"/>
  <c r="C137" i="1" s="1"/>
  <c r="B370" i="2" s="1"/>
  <c r="C370" i="2" s="1"/>
  <c r="C138" i="1" a="1"/>
  <c r="C138" i="1"/>
  <c r="C139" i="1" a="1"/>
  <c r="C139" i="1"/>
  <c r="C140" i="1" a="1"/>
  <c r="C140" i="1" s="1"/>
  <c r="C141" i="1" a="1"/>
  <c r="C141" i="1"/>
  <c r="B143" i="2" s="1"/>
  <c r="C143" i="2" s="1"/>
  <c r="C142" i="1" a="1"/>
  <c r="C142" i="1"/>
  <c r="C143" i="1" a="1"/>
  <c r="C143" i="1" s="1"/>
  <c r="C144" i="1" a="1"/>
  <c r="C144" i="1"/>
  <c r="C145" i="1" a="1"/>
  <c r="C145" i="1" s="1"/>
  <c r="B147" i="2" s="1"/>
  <c r="C147" i="2" s="1"/>
  <c r="C147" i="1" a="1"/>
  <c r="C147" i="1"/>
  <c r="B149" i="2" s="1"/>
  <c r="C149" i="2" s="1"/>
  <c r="C148" i="1" a="1"/>
  <c r="C148" i="1"/>
  <c r="B381" i="2" s="1"/>
  <c r="C381" i="2" s="1"/>
  <c r="C149" i="1" a="1"/>
  <c r="C149" i="1"/>
  <c r="B151" i="2" s="1"/>
  <c r="C150" i="1" a="1"/>
  <c r="C150" i="1" s="1"/>
  <c r="C151" i="1" a="1"/>
  <c r="C151" i="1"/>
  <c r="C152" i="1" a="1"/>
  <c r="C152" i="1" s="1"/>
  <c r="C153" i="1" a="1"/>
  <c r="C153" i="1" s="1"/>
  <c r="C154" i="1" a="1"/>
  <c r="C154" i="1" s="1"/>
  <c r="C155" i="1" a="1"/>
  <c r="C155" i="1"/>
  <c r="C156" i="1" a="1"/>
  <c r="C156" i="1"/>
  <c r="C157" i="1" a="1"/>
  <c r="C157" i="1"/>
  <c r="B159" i="2" s="1"/>
  <c r="C159" i="2" s="1"/>
  <c r="C158" i="1" a="1"/>
  <c r="C158" i="1"/>
  <c r="C159" i="1" a="1"/>
  <c r="C159" i="1"/>
  <c r="C160" i="1" a="1"/>
  <c r="C160" i="1" s="1"/>
  <c r="C161" i="1" a="1"/>
  <c r="C161" i="1"/>
  <c r="C162" i="1" a="1"/>
  <c r="C162" i="1" s="1"/>
  <c r="C163" i="1" a="1"/>
  <c r="C163" i="1"/>
  <c r="B396" i="2" s="1"/>
  <c r="C164" i="1" a="1"/>
  <c r="C164" i="1"/>
  <c r="C165" i="1" a="1"/>
  <c r="C165" i="1"/>
  <c r="B167" i="2" s="1"/>
  <c r="C167" i="2" s="1"/>
  <c r="C166" i="1" a="1"/>
  <c r="C166" i="1"/>
  <c r="B168" i="2" s="1"/>
  <c r="C168" i="2" s="1"/>
  <c r="C167" i="1" a="1"/>
  <c r="C167" i="1"/>
  <c r="B169" i="2" s="1"/>
  <c r="C169" i="2" s="1"/>
  <c r="C168" i="1" a="1"/>
  <c r="C168" i="1" s="1"/>
  <c r="C169" i="1" a="1"/>
  <c r="C169" i="1" s="1"/>
  <c r="C170" i="1" a="1"/>
  <c r="C170" i="1" s="1"/>
  <c r="B403" i="2" s="1"/>
  <c r="C403" i="2" s="1"/>
  <c r="C171" i="1" a="1"/>
  <c r="C171" i="1"/>
  <c r="B404" i="2" s="1"/>
  <c r="C404" i="2" s="1"/>
  <c r="C172" i="1" a="1"/>
  <c r="C172" i="1" s="1"/>
  <c r="C173" i="1" a="1"/>
  <c r="C173" i="1"/>
  <c r="C174" i="1" a="1"/>
  <c r="C174" i="1"/>
  <c r="C175" i="1" a="1"/>
  <c r="C175" i="1"/>
  <c r="B177" i="2" s="1"/>
  <c r="C177" i="2" s="1"/>
  <c r="C176" i="1" a="1"/>
  <c r="C176" i="1" s="1"/>
  <c r="B409" i="2" s="1"/>
  <c r="C409" i="2" s="1"/>
  <c r="C177" i="1" a="1"/>
  <c r="C177" i="1"/>
  <c r="B179" i="2" s="1"/>
  <c r="C179" i="2" s="1"/>
  <c r="C178" i="1" a="1"/>
  <c r="C178" i="1" s="1"/>
  <c r="C179" i="1" a="1"/>
  <c r="C179" i="1"/>
  <c r="C180" i="1" a="1"/>
  <c r="C180" i="1"/>
  <c r="B413" i="2" s="1"/>
  <c r="C413" i="2" s="1"/>
  <c r="C181" i="1" a="1"/>
  <c r="C181" i="1" s="1"/>
  <c r="C182" i="1" a="1"/>
  <c r="C182" i="1"/>
  <c r="C183" i="1" a="1"/>
  <c r="C183" i="1"/>
  <c r="B416" i="2" s="1"/>
  <c r="C416" i="2" s="1"/>
  <c r="C184" i="1" a="1"/>
  <c r="C184" i="1" s="1"/>
  <c r="C185" i="1" a="1"/>
  <c r="C185" i="1" s="1"/>
  <c r="B187" i="2" s="1"/>
  <c r="C187" i="2" s="1"/>
  <c r="C186" i="1" a="1"/>
  <c r="C186" i="1" s="1"/>
  <c r="B188" i="2" s="1"/>
  <c r="C188" i="2" s="1"/>
  <c r="C187" i="1" a="1"/>
  <c r="C187" i="1"/>
  <c r="C188" i="1" a="1"/>
  <c r="C188" i="1"/>
  <c r="B421" i="2" s="1"/>
  <c r="C189" i="1" a="1"/>
  <c r="C189" i="1"/>
  <c r="C190" i="1" a="1"/>
  <c r="C190" i="1"/>
  <c r="B192" i="2" s="1"/>
  <c r="C191" i="1" a="1"/>
  <c r="C191" i="1"/>
  <c r="C192" i="1" a="1"/>
  <c r="C192" i="1" s="1"/>
  <c r="B425" i="2" s="1"/>
  <c r="C425" i="2" s="1"/>
  <c r="C193" i="1" a="1"/>
  <c r="C193" i="1"/>
  <c r="B426" i="2" s="1"/>
  <c r="C426" i="2" s="1"/>
  <c r="C194" i="1" a="1"/>
  <c r="C194" i="1" s="1"/>
  <c r="B196" i="2" s="1"/>
  <c r="C196" i="2" s="1"/>
  <c r="C195" i="1" a="1"/>
  <c r="C195" i="1"/>
  <c r="C196" i="1" a="1"/>
  <c r="C196" i="1"/>
  <c r="C198" i="1" a="1"/>
  <c r="C198" i="1"/>
  <c r="B431" i="2" s="1"/>
  <c r="C199" i="1" a="1"/>
  <c r="C199" i="1"/>
  <c r="B432" i="2" s="1"/>
  <c r="C432" i="2" s="1"/>
  <c r="C200" i="1" a="1"/>
  <c r="C200" i="1"/>
  <c r="B433" i="2" s="1"/>
  <c r="C433" i="2" s="1"/>
  <c r="C201" i="1" a="1"/>
  <c r="C201" i="1" s="1"/>
  <c r="B434" i="2" s="1"/>
  <c r="C434" i="2" s="1"/>
  <c r="C202" i="1" a="1"/>
  <c r="C202" i="1"/>
  <c r="C203" i="1" a="1"/>
  <c r="C203" i="1" s="1"/>
  <c r="B436" i="2" s="1"/>
  <c r="C436" i="2" s="1"/>
  <c r="C204" i="1" a="1"/>
  <c r="C204" i="1"/>
  <c r="B206" i="2" s="1"/>
  <c r="C206" i="2" s="1"/>
  <c r="C205" i="1" a="1"/>
  <c r="C205" i="1"/>
  <c r="B438" i="2" s="1"/>
  <c r="C438" i="2" s="1"/>
  <c r="C206" i="1" a="1"/>
  <c r="C206" i="1"/>
  <c r="C207" i="1" a="1"/>
  <c r="C207" i="1"/>
  <c r="C208" i="1" a="1"/>
  <c r="C208" i="1"/>
  <c r="C209" i="1" a="1"/>
  <c r="C209" i="1" s="1"/>
  <c r="C210" i="1" a="1"/>
  <c r="C210" i="1" s="1"/>
  <c r="B443" i="2" s="1"/>
  <c r="C443" i="2" s="1"/>
  <c r="C211" i="1" a="1"/>
  <c r="C211" i="1" s="1"/>
  <c r="C212" i="1" a="1"/>
  <c r="C212" i="1"/>
  <c r="B445" i="2" s="1"/>
  <c r="C445" i="2" s="1"/>
  <c r="C213" i="1" a="1"/>
  <c r="C213" i="1"/>
  <c r="B215" i="2" s="1"/>
  <c r="C215" i="2" s="1"/>
  <c r="C214" i="1" a="1"/>
  <c r="C214" i="1"/>
  <c r="C215" i="1" a="1"/>
  <c r="C215" i="1"/>
  <c r="C216" i="1" a="1"/>
  <c r="C216" i="1"/>
  <c r="B449" i="2" s="1"/>
  <c r="C449" i="2" s="1"/>
  <c r="C217" i="1" a="1"/>
  <c r="C217" i="1" s="1"/>
  <c r="B450" i="2" s="1"/>
  <c r="C218" i="1" a="1"/>
  <c r="C218" i="1"/>
  <c r="B451" i="2" s="1"/>
  <c r="C219" i="1" a="1"/>
  <c r="C219" i="1" s="1"/>
  <c r="C220" i="1" a="1"/>
  <c r="C220" i="1"/>
  <c r="C221" i="1" a="1"/>
  <c r="C221" i="1"/>
  <c r="B454" i="2" s="1"/>
  <c r="C454" i="2" s="1"/>
  <c r="C222" i="1" a="1"/>
  <c r="C222" i="1"/>
  <c r="B224" i="2" s="1"/>
  <c r="C224" i="2" s="1"/>
  <c r="C223" i="1" a="1"/>
  <c r="C223" i="1"/>
  <c r="C224" i="1" a="1"/>
  <c r="C224" i="1"/>
  <c r="C2" i="1" a="1"/>
  <c r="C2" i="1" s="1"/>
  <c r="B15" i="1" a="1"/>
  <c r="B15" i="1" s="1"/>
  <c r="B3" i="1" a="1"/>
  <c r="B3" i="1" s="1"/>
  <c r="B4" i="1" a="1"/>
  <c r="B4" i="1" s="1"/>
  <c r="B5" i="1" a="1"/>
  <c r="B5" i="1"/>
  <c r="B6" i="1" a="1"/>
  <c r="B6" i="1"/>
  <c r="B7" i="1" a="1"/>
  <c r="B7" i="1"/>
  <c r="B8" i="1" a="1"/>
  <c r="B8" i="1"/>
  <c r="B9" i="1" a="1"/>
  <c r="B9" i="1"/>
  <c r="B10" i="1" a="1"/>
  <c r="B10" i="1" s="1"/>
  <c r="B11" i="1" a="1"/>
  <c r="B11" i="1" s="1"/>
  <c r="B12" i="1" a="1"/>
  <c r="B12" i="1" s="1"/>
  <c r="B13" i="1" a="1"/>
  <c r="B13" i="1" s="1"/>
  <c r="B14" i="1" a="1"/>
  <c r="B14" i="1"/>
  <c r="B17" i="1" a="1"/>
  <c r="B17" i="1" s="1"/>
  <c r="B18" i="1" a="1"/>
  <c r="B18" i="1"/>
  <c r="B19" i="1" a="1"/>
  <c r="B19" i="1"/>
  <c r="B20" i="1" a="1"/>
  <c r="B20" i="1" s="1"/>
  <c r="B21" i="1" a="1"/>
  <c r="B21" i="1"/>
  <c r="B22" i="1" a="1"/>
  <c r="B22" i="1" s="1"/>
  <c r="B24" i="1" a="1"/>
  <c r="B24" i="1"/>
  <c r="B25" i="1" a="1"/>
  <c r="B25" i="1" s="1"/>
  <c r="B26" i="1" a="1"/>
  <c r="B26" i="1"/>
  <c r="B28" i="1" a="1"/>
  <c r="B28" i="1" s="1"/>
  <c r="B29" i="1" a="1"/>
  <c r="B29" i="1"/>
  <c r="B30" i="1" a="1"/>
  <c r="B30" i="1" s="1"/>
  <c r="B31" i="1" a="1"/>
  <c r="B31" i="1" s="1"/>
  <c r="B32" i="1" a="1"/>
  <c r="B32" i="1" s="1"/>
  <c r="B33" i="1" a="1"/>
  <c r="B33" i="1"/>
  <c r="B34" i="1" a="1"/>
  <c r="B34" i="1"/>
  <c r="B35" i="1" a="1"/>
  <c r="B35" i="1"/>
  <c r="B36" i="1" a="1"/>
  <c r="B36" i="1"/>
  <c r="B37" i="1" a="1"/>
  <c r="B37" i="1"/>
  <c r="B38" i="1" a="1"/>
  <c r="B38" i="1" s="1"/>
  <c r="B39" i="1" a="1"/>
  <c r="B39" i="1"/>
  <c r="B40" i="1" a="1"/>
  <c r="B40" i="1" s="1"/>
  <c r="B41" i="1" a="1"/>
  <c r="B41" i="1"/>
  <c r="B42" i="1" a="1"/>
  <c r="B42" i="1"/>
  <c r="B43" i="1" a="1"/>
  <c r="B43" i="1"/>
  <c r="B44" i="1" a="1"/>
  <c r="B44" i="1"/>
  <c r="B45" i="1" a="1"/>
  <c r="B45" i="1"/>
  <c r="B226" i="1" s="1"/>
  <c r="B46" i="1" a="1"/>
  <c r="B46" i="1" s="1"/>
  <c r="B47" i="1" a="1"/>
  <c r="B47" i="1" s="1"/>
  <c r="B48" i="1" a="1"/>
  <c r="B48" i="1" s="1"/>
  <c r="B49" i="1" a="1"/>
  <c r="B49" i="1"/>
  <c r="B50" i="1" a="1"/>
  <c r="B50" i="1"/>
  <c r="B51" i="1" a="1"/>
  <c r="B51" i="1"/>
  <c r="B53" i="1" a="1"/>
  <c r="B53" i="1"/>
  <c r="B54" i="1" a="1"/>
  <c r="B54" i="1"/>
  <c r="B55" i="1" a="1"/>
  <c r="B55" i="1" s="1"/>
  <c r="B56" i="1" a="1"/>
  <c r="B56" i="1"/>
  <c r="B57" i="1" a="1"/>
  <c r="B57" i="1" s="1"/>
  <c r="B58" i="1" a="1"/>
  <c r="B58" i="1"/>
  <c r="B59" i="1" a="1"/>
  <c r="B59" i="1"/>
  <c r="B60" i="1" a="1"/>
  <c r="B60" i="1"/>
  <c r="B61" i="1" a="1"/>
  <c r="B61" i="1"/>
  <c r="B62" i="1" a="1"/>
  <c r="B62" i="1"/>
  <c r="B63" i="1" a="1"/>
  <c r="B63" i="1" s="1"/>
  <c r="B65" i="1" a="1"/>
  <c r="B65" i="1" s="1"/>
  <c r="B66" i="1" a="1"/>
  <c r="B66" i="1" s="1"/>
  <c r="B67" i="1" a="1"/>
  <c r="B67" i="1" s="1"/>
  <c r="B68" i="1" a="1"/>
  <c r="B68" i="1" s="1"/>
  <c r="B69" i="1" a="1"/>
  <c r="B69" i="1"/>
  <c r="B70" i="1" a="1"/>
  <c r="B70" i="1" s="1"/>
  <c r="B71" i="1" a="1"/>
  <c r="B71" i="1"/>
  <c r="B72" i="1" a="1"/>
  <c r="B72" i="1" s="1"/>
  <c r="B73" i="1" a="1"/>
  <c r="B73" i="1"/>
  <c r="B74" i="1" a="1"/>
  <c r="B74" i="1" s="1"/>
  <c r="B75" i="1" a="1"/>
  <c r="B75" i="1" s="1"/>
  <c r="B76" i="1" a="1"/>
  <c r="B76" i="1"/>
  <c r="B77" i="1" a="1"/>
  <c r="B77" i="1"/>
  <c r="B79" i="1" a="1"/>
  <c r="B79" i="1"/>
  <c r="B80" i="1" a="1"/>
  <c r="B80" i="1"/>
  <c r="B81" i="1" a="1"/>
  <c r="B81" i="1"/>
  <c r="B82" i="1" a="1"/>
  <c r="B82" i="1" s="1"/>
  <c r="B83" i="1" a="1"/>
  <c r="B83" i="1" s="1"/>
  <c r="B84" i="1" a="1"/>
  <c r="B84" i="1"/>
  <c r="B85" i="1" a="1"/>
  <c r="B85" i="1"/>
  <c r="B86" i="1" a="1"/>
  <c r="B86" i="1"/>
  <c r="B87" i="1" a="1"/>
  <c r="B87" i="1"/>
  <c r="B88" i="1" a="1"/>
  <c r="B88" i="1"/>
  <c r="B89" i="1" a="1"/>
  <c r="B89" i="1"/>
  <c r="B90" i="1" a="1"/>
  <c r="B90" i="1"/>
  <c r="B92" i="1" a="1"/>
  <c r="B92" i="1"/>
  <c r="B93" i="1" a="1"/>
  <c r="B93" i="1"/>
  <c r="B94" i="1" a="1"/>
  <c r="B94" i="1"/>
  <c r="B95" i="1" a="1"/>
  <c r="B95" i="1"/>
  <c r="B96" i="1" a="1"/>
  <c r="B96" i="1"/>
  <c r="B97" i="1" a="1"/>
  <c r="B97" i="1"/>
  <c r="B98" i="1" a="1"/>
  <c r="B98" i="1"/>
  <c r="B99" i="1" a="1"/>
  <c r="B99" i="1" s="1"/>
  <c r="B100" i="1" a="1"/>
  <c r="B100" i="1" s="1"/>
  <c r="B101" i="1" a="1"/>
  <c r="B101" i="1"/>
  <c r="B102" i="1" a="1"/>
  <c r="B102" i="1" s="1"/>
  <c r="B103" i="1" a="1"/>
  <c r="B103" i="1" s="1"/>
  <c r="B104" i="1" a="1"/>
  <c r="B104" i="1" s="1"/>
  <c r="B105" i="1" a="1"/>
  <c r="B105" i="1"/>
  <c r="B106" i="1" a="1"/>
  <c r="B106" i="1" s="1"/>
  <c r="B107" i="1" a="1"/>
  <c r="B107" i="1" s="1"/>
  <c r="B108" i="1" a="1"/>
  <c r="B108" i="1"/>
  <c r="B110" i="1" a="1"/>
  <c r="B110" i="1"/>
  <c r="B111" i="1" a="1"/>
  <c r="B111" i="1"/>
  <c r="B112" i="1" a="1"/>
  <c r="B112" i="1"/>
  <c r="B113" i="1" a="1"/>
  <c r="B113" i="1"/>
  <c r="B114" i="1" a="1"/>
  <c r="B114" i="1"/>
  <c r="B115" i="1" a="1"/>
  <c r="B115" i="1" s="1"/>
  <c r="B116" i="1" a="1"/>
  <c r="B116" i="1" s="1"/>
  <c r="B117" i="1" a="1"/>
  <c r="B117" i="1" s="1"/>
  <c r="B118" i="1" a="1"/>
  <c r="B118" i="1" s="1"/>
  <c r="B119" i="1" a="1"/>
  <c r="B119" i="1"/>
  <c r="B120" i="1" a="1"/>
  <c r="B120" i="1" s="1"/>
  <c r="B121" i="1" a="1"/>
  <c r="B121" i="1"/>
  <c r="B122" i="1" a="1"/>
  <c r="B122" i="1" s="1"/>
  <c r="B123" i="1" a="1"/>
  <c r="B123" i="1" s="1"/>
  <c r="B124" i="1" a="1"/>
  <c r="B124" i="1" s="1"/>
  <c r="B125" i="1" a="1"/>
  <c r="B125" i="1"/>
  <c r="B126" i="1" a="1"/>
  <c r="B126" i="1" s="1"/>
  <c r="B127" i="1" a="1"/>
  <c r="B127" i="1"/>
  <c r="B128" i="1" a="1"/>
  <c r="B128" i="1"/>
  <c r="B129" i="1" a="1"/>
  <c r="B129" i="1"/>
  <c r="B130" i="1" a="1"/>
  <c r="B130" i="1"/>
  <c r="B131" i="1" a="1"/>
  <c r="B131" i="1" s="1"/>
  <c r="B132" i="1" a="1"/>
  <c r="B132" i="1" s="1"/>
  <c r="B133" i="1" a="1"/>
  <c r="B133" i="1"/>
  <c r="B134" i="1" a="1"/>
  <c r="B134" i="1"/>
  <c r="B135" i="1" a="1"/>
  <c r="B135" i="1" s="1"/>
  <c r="B136" i="1" a="1"/>
  <c r="B136" i="1"/>
  <c r="B137" i="1" a="1"/>
  <c r="B137" i="1" s="1"/>
  <c r="B138" i="1" a="1"/>
  <c r="B138" i="1" s="1"/>
  <c r="B139" i="1" a="1"/>
  <c r="B139" i="1" s="1"/>
  <c r="B140" i="1" a="1"/>
  <c r="B140" i="1"/>
  <c r="B141" i="1" a="1"/>
  <c r="B141" i="1"/>
  <c r="B142" i="1" a="1"/>
  <c r="B142" i="1" s="1"/>
  <c r="B144" i="1" a="1"/>
  <c r="B144" i="1"/>
  <c r="B145" i="1" a="1"/>
  <c r="B145" i="1"/>
  <c r="B146" i="1" a="1"/>
  <c r="B146" i="1"/>
  <c r="B147" i="1" a="1"/>
  <c r="B147" i="1" s="1"/>
  <c r="B148" i="1" a="1"/>
  <c r="B148" i="1" s="1"/>
  <c r="B149" i="1" a="1"/>
  <c r="B149" i="1"/>
  <c r="B150" i="1" a="1"/>
  <c r="B150" i="1"/>
  <c r="B151" i="1" a="1"/>
  <c r="B151" i="1"/>
  <c r="B152" i="1" a="1"/>
  <c r="B152" i="1" s="1"/>
  <c r="B153" i="1" a="1"/>
  <c r="B153" i="1" s="1"/>
  <c r="B154" i="1" a="1"/>
  <c r="B154" i="1"/>
  <c r="B155" i="1" a="1"/>
  <c r="B155" i="1" s="1"/>
  <c r="B156" i="1" a="1"/>
  <c r="B156" i="1"/>
  <c r="B158" i="1" a="1"/>
  <c r="B158" i="1" s="1"/>
  <c r="B159" i="1" a="1"/>
  <c r="B159" i="1"/>
  <c r="B160" i="1" a="1"/>
  <c r="B160" i="1"/>
  <c r="B161" i="1" a="1"/>
  <c r="B161" i="1"/>
  <c r="B162" i="1" a="1"/>
  <c r="B162" i="1"/>
  <c r="B163" i="1" a="1"/>
  <c r="B163" i="1" s="1"/>
  <c r="B164" i="1" a="1"/>
  <c r="B164" i="1"/>
  <c r="B165" i="1" a="1"/>
  <c r="B165" i="1" s="1"/>
  <c r="B166" i="1" a="1"/>
  <c r="B166" i="1"/>
  <c r="B167" i="1" a="1"/>
  <c r="B167" i="1" s="1"/>
  <c r="B168" i="1" a="1"/>
  <c r="B168" i="1"/>
  <c r="B169" i="1" a="1"/>
  <c r="B169" i="1"/>
  <c r="B170" i="1" a="1"/>
  <c r="B170" i="1"/>
  <c r="B171" i="1" a="1"/>
  <c r="B171" i="1" s="1"/>
  <c r="B172" i="1" a="1"/>
  <c r="B172" i="1"/>
  <c r="B173" i="1" a="1"/>
  <c r="B173" i="1" s="1"/>
  <c r="B174" i="1" a="1"/>
  <c r="B174" i="1"/>
  <c r="B175" i="1" a="1"/>
  <c r="B175" i="1" s="1"/>
  <c r="B176" i="1" a="1"/>
  <c r="B176" i="1"/>
  <c r="B177" i="1" a="1"/>
  <c r="B177" i="1"/>
  <c r="B178" i="1" a="1"/>
  <c r="B178" i="1"/>
  <c r="B179" i="1" a="1"/>
  <c r="B179" i="1" s="1"/>
  <c r="B180" i="1" a="1"/>
  <c r="B180" i="1" s="1"/>
  <c r="B181" i="1" a="1"/>
  <c r="B181" i="1"/>
  <c r="B182" i="1" a="1"/>
  <c r="B182" i="1" s="1"/>
  <c r="B183" i="1" a="1"/>
  <c r="B183" i="1" s="1"/>
  <c r="B184" i="1" a="1"/>
  <c r="B184" i="1"/>
  <c r="B185" i="1" a="1"/>
  <c r="B185" i="1" s="1"/>
  <c r="B186" i="1" a="1"/>
  <c r="B186" i="1"/>
  <c r="B187" i="1" a="1"/>
  <c r="B187" i="1" s="1"/>
  <c r="B188" i="1" a="1"/>
  <c r="B188" i="1"/>
  <c r="B189" i="1" a="1"/>
  <c r="B189" i="1"/>
  <c r="B191" i="1" a="1"/>
  <c r="B191" i="1"/>
  <c r="B192" i="1" a="1"/>
  <c r="B192" i="1"/>
  <c r="B193" i="1" a="1"/>
  <c r="B193" i="1"/>
  <c r="B194" i="1" a="1"/>
  <c r="B194" i="1"/>
  <c r="B195" i="1" a="1"/>
  <c r="B195" i="1" s="1"/>
  <c r="B196" i="1" a="1"/>
  <c r="B196" i="1"/>
  <c r="B197" i="1" a="1"/>
  <c r="B197" i="1"/>
  <c r="B198" i="1" a="1"/>
  <c r="B198" i="1" s="1"/>
  <c r="B199" i="1" a="1"/>
  <c r="B199" i="1"/>
  <c r="B200" i="1" a="1"/>
  <c r="B200" i="1" s="1"/>
  <c r="B201" i="1" a="1"/>
  <c r="B201" i="1"/>
  <c r="B202" i="1" a="1"/>
  <c r="B202" i="1" s="1"/>
  <c r="B204" i="1" a="1"/>
  <c r="B204" i="1"/>
  <c r="B205" i="1" a="1"/>
  <c r="B205" i="1" s="1"/>
  <c r="B206" i="1" a="1"/>
  <c r="B206" i="1"/>
  <c r="B207" i="1" a="1"/>
  <c r="B207" i="1" s="1"/>
  <c r="B208" i="1" a="1"/>
  <c r="B208" i="1"/>
  <c r="B209" i="1" a="1"/>
  <c r="B209" i="1" s="1"/>
  <c r="B210" i="1" a="1"/>
  <c r="B210" i="1"/>
  <c r="B211" i="1" a="1"/>
  <c r="B211" i="1" s="1"/>
  <c r="B212" i="1" a="1"/>
  <c r="B212" i="1"/>
  <c r="B213" i="1" a="1"/>
  <c r="B213" i="1"/>
  <c r="B214" i="1" a="1"/>
  <c r="B214" i="1" s="1"/>
  <c r="B215" i="1" a="1"/>
  <c r="B215" i="1"/>
  <c r="B216" i="1" a="1"/>
  <c r="B216" i="1"/>
  <c r="B217" i="1" a="1"/>
  <c r="B217" i="1"/>
  <c r="B218" i="1" a="1"/>
  <c r="B218" i="1"/>
  <c r="B219" i="1" a="1"/>
  <c r="B219" i="1" s="1"/>
  <c r="B220" i="1" a="1"/>
  <c r="B220" i="1"/>
  <c r="B221" i="1" a="1"/>
  <c r="B221" i="1" s="1"/>
  <c r="B222" i="1" a="1"/>
  <c r="B222" i="1"/>
  <c r="B223" i="1" a="1"/>
  <c r="B223" i="1" s="1"/>
  <c r="B224" i="1" a="1"/>
  <c r="B224" i="1" s="1"/>
  <c r="B2" i="1" a="1"/>
  <c r="B2" i="1"/>
  <c r="A3" i="1"/>
  <c r="A236" i="2" s="1"/>
  <c r="A4" i="1"/>
  <c r="A237" i="2" s="1"/>
  <c r="A5" i="1"/>
  <c r="A6" i="1"/>
  <c r="A239" i="2" s="1"/>
  <c r="A7" i="1"/>
  <c r="A8" i="1"/>
  <c r="A9" i="1"/>
  <c r="A10" i="1"/>
  <c r="A11" i="1"/>
  <c r="A12" i="1"/>
  <c r="J40" i="2" s="1"/>
  <c r="A13" i="1"/>
  <c r="A14" i="1"/>
  <c r="A15" i="1"/>
  <c r="A713" i="2" s="1"/>
  <c r="A16" i="1"/>
  <c r="J44" i="2" s="1"/>
  <c r="A17" i="1"/>
  <c r="A19" i="2" s="1"/>
  <c r="A18" i="1"/>
  <c r="A19" i="1"/>
  <c r="A20" i="1"/>
  <c r="A21" i="1"/>
  <c r="A22" i="1"/>
  <c r="J50" i="2" s="1"/>
  <c r="A23" i="1"/>
  <c r="A25" i="2" s="1"/>
  <c r="A24" i="1"/>
  <c r="J52" i="2" s="1"/>
  <c r="A26" i="1"/>
  <c r="A27" i="1"/>
  <c r="A28" i="1"/>
  <c r="A30" i="2" s="1"/>
  <c r="A29" i="1"/>
  <c r="A30" i="1"/>
  <c r="A31" i="1"/>
  <c r="A32" i="1"/>
  <c r="J60" i="2" s="1"/>
  <c r="A33" i="1"/>
  <c r="A731" i="2" s="1"/>
  <c r="A34" i="1"/>
  <c r="A267" i="2" s="1"/>
  <c r="A35" i="1"/>
  <c r="A268" i="2" s="1"/>
  <c r="A36" i="1"/>
  <c r="A501" i="2" s="1"/>
  <c r="A37" i="1"/>
  <c r="A735" i="2" s="1"/>
  <c r="A38" i="1"/>
  <c r="A39" i="1"/>
  <c r="A40" i="1"/>
  <c r="A41" i="1"/>
  <c r="J69" i="2" s="1"/>
  <c r="A42" i="1"/>
  <c r="A43" i="1"/>
  <c r="A44" i="1"/>
  <c r="A45" i="1"/>
  <c r="J73" i="2" s="1"/>
  <c r="A46" i="1"/>
  <c r="A47" i="1"/>
  <c r="A48" i="1"/>
  <c r="A49" i="1"/>
  <c r="A51" i="2" s="1"/>
  <c r="A50" i="1"/>
  <c r="A283" i="2" s="1"/>
  <c r="A51" i="1"/>
  <c r="A749" i="2" s="1"/>
  <c r="A52" i="1"/>
  <c r="A285" i="2" s="1"/>
  <c r="A53" i="1"/>
  <c r="J81" i="2" s="1"/>
  <c r="A54" i="1"/>
  <c r="A55" i="1"/>
  <c r="A56" i="1"/>
  <c r="A289" i="2" s="1"/>
  <c r="A57" i="1"/>
  <c r="A58" i="1"/>
  <c r="A523" i="2" s="1"/>
  <c r="A59" i="1"/>
  <c r="A757" i="2" s="1"/>
  <c r="A60" i="1"/>
  <c r="A61" i="1"/>
  <c r="A62" i="1"/>
  <c r="A63" i="1"/>
  <c r="A64" i="1"/>
  <c r="A65" i="1"/>
  <c r="A763" i="2" s="1"/>
  <c r="A66" i="1"/>
  <c r="A67" i="1"/>
  <c r="A300" i="2" s="1"/>
  <c r="A68" i="1"/>
  <c r="A69" i="1"/>
  <c r="A70" i="1"/>
  <c r="A71" i="1"/>
  <c r="J99" i="2" s="1"/>
  <c r="A72" i="1"/>
  <c r="A537" i="2" s="1"/>
  <c r="A73" i="1"/>
  <c r="A74" i="1"/>
  <c r="A75" i="1"/>
  <c r="A540" i="2" s="1"/>
  <c r="A76" i="1"/>
  <c r="A78" i="2" s="1"/>
  <c r="A77" i="1"/>
  <c r="A78" i="1"/>
  <c r="A79" i="1"/>
  <c r="A80" i="1"/>
  <c r="A81" i="1"/>
  <c r="A82" i="1"/>
  <c r="A84" i="2" s="1"/>
  <c r="A83" i="1"/>
  <c r="A85" i="2" s="1"/>
  <c r="A84" i="1"/>
  <c r="A782" i="2" s="1"/>
  <c r="A85" i="1"/>
  <c r="A86" i="1"/>
  <c r="A87" i="1"/>
  <c r="A552" i="2" s="1"/>
  <c r="A88" i="1"/>
  <c r="A90" i="2" s="1"/>
  <c r="A89" i="1"/>
  <c r="A90" i="1"/>
  <c r="A91" i="1"/>
  <c r="J119" i="2" s="1"/>
  <c r="A92" i="1"/>
  <c r="A94" i="2" s="1"/>
  <c r="A93" i="1"/>
  <c r="A94" i="1"/>
  <c r="A95" i="1"/>
  <c r="A96" i="1"/>
  <c r="J124" i="2" s="1"/>
  <c r="A97" i="1"/>
  <c r="A795" i="2" s="1"/>
  <c r="A98" i="1"/>
  <c r="A331" i="2" s="1"/>
  <c r="A99" i="1"/>
  <c r="A564" i="2" s="1"/>
  <c r="A100" i="1"/>
  <c r="A565" i="2" s="1"/>
  <c r="A101" i="1"/>
  <c r="A102" i="1"/>
  <c r="A103" i="1"/>
  <c r="A105" i="2" s="1"/>
  <c r="A104" i="1"/>
  <c r="A106" i="2" s="1"/>
  <c r="A105" i="1"/>
  <c r="A106" i="1"/>
  <c r="J134" i="2" s="1"/>
  <c r="A107" i="1"/>
  <c r="A108" i="1"/>
  <c r="A110" i="2" s="1"/>
  <c r="A109" i="1"/>
  <c r="A111" i="2" s="1"/>
  <c r="A110" i="1"/>
  <c r="A111" i="1"/>
  <c r="A112" i="1"/>
  <c r="A577" i="2" s="1"/>
  <c r="A113" i="1"/>
  <c r="A346" i="2" s="1"/>
  <c r="A114" i="1"/>
  <c r="A579" i="2" s="1"/>
  <c r="A115" i="1"/>
  <c r="A117" i="2" s="1"/>
  <c r="A116" i="1"/>
  <c r="A117" i="1"/>
  <c r="A582" i="2" s="1"/>
  <c r="A118" i="1"/>
  <c r="A816" i="2" s="1"/>
  <c r="A119" i="1"/>
  <c r="A120" i="1"/>
  <c r="A121" i="1"/>
  <c r="A122" i="1"/>
  <c r="A123" i="1"/>
  <c r="A124" i="1"/>
  <c r="A125" i="1"/>
  <c r="A126" i="1"/>
  <c r="A127" i="1"/>
  <c r="A128" i="1"/>
  <c r="J156" i="2" s="1"/>
  <c r="A129" i="1"/>
  <c r="A362" i="2" s="1"/>
  <c r="A130" i="1"/>
  <c r="A131" i="1"/>
  <c r="A132" i="1"/>
  <c r="A133" i="1"/>
  <c r="A134" i="1"/>
  <c r="A135" i="1"/>
  <c r="A368" i="2" s="1"/>
  <c r="A136" i="1"/>
  <c r="A601" i="2" s="1"/>
  <c r="A137" i="1"/>
  <c r="A138" i="1"/>
  <c r="J166" i="2" s="1"/>
  <c r="A139" i="1"/>
  <c r="A140" i="1"/>
  <c r="A141" i="1"/>
  <c r="J169" i="2" s="1"/>
  <c r="A142" i="1"/>
  <c r="A143" i="1"/>
  <c r="A144" i="1"/>
  <c r="A145" i="1"/>
  <c r="A147" i="2" s="1"/>
  <c r="A146" i="1"/>
  <c r="A147" i="1"/>
  <c r="A612" i="2" s="1"/>
  <c r="A148" i="1"/>
  <c r="A149" i="1"/>
  <c r="A150" i="1"/>
  <c r="A151" i="1"/>
  <c r="A152" i="1"/>
  <c r="A153" i="1"/>
  <c r="A154" i="1"/>
  <c r="J182" i="2" s="1"/>
  <c r="A155" i="1"/>
  <c r="A156" i="1"/>
  <c r="A158" i="2" s="1"/>
  <c r="A157" i="1"/>
  <c r="J185" i="2" s="1"/>
  <c r="A158" i="1"/>
  <c r="A391" i="2" s="1"/>
  <c r="A159" i="1"/>
  <c r="A160" i="1"/>
  <c r="J188" i="2" s="1"/>
  <c r="A161" i="1"/>
  <c r="A162" i="1"/>
  <c r="A163" i="1"/>
  <c r="A861" i="2" s="1"/>
  <c r="A164" i="1"/>
  <c r="A165" i="1"/>
  <c r="A166" i="1"/>
  <c r="A399" i="2" s="1"/>
  <c r="A167" i="1"/>
  <c r="A168" i="1"/>
  <c r="A169" i="1"/>
  <c r="A170" i="1"/>
  <c r="A171" i="1"/>
  <c r="A172" i="1"/>
  <c r="A637" i="2" s="1"/>
  <c r="A173" i="1"/>
  <c r="A174" i="1"/>
  <c r="A175" i="1"/>
  <c r="A176" i="1"/>
  <c r="A177" i="1"/>
  <c r="A178" i="1"/>
  <c r="A179" i="1"/>
  <c r="A181" i="2" s="1"/>
  <c r="A180" i="1"/>
  <c r="A181" i="1"/>
  <c r="A182" i="1"/>
  <c r="A647" i="2" s="1"/>
  <c r="A183" i="1"/>
  <c r="A881" i="2" s="1"/>
  <c r="A184" i="1"/>
  <c r="A185" i="1"/>
  <c r="J213" i="2" s="1"/>
  <c r="A186" i="1"/>
  <c r="J214" i="2" s="1"/>
  <c r="A187" i="1"/>
  <c r="A189" i="2" s="1"/>
  <c r="A188" i="1"/>
  <c r="A189" i="1"/>
  <c r="A887" i="2" s="1"/>
  <c r="A190" i="1"/>
  <c r="A191" i="1"/>
  <c r="A192" i="1"/>
  <c r="A194" i="2" s="1"/>
  <c r="A193" i="1"/>
  <c r="A194" i="1"/>
  <c r="A195" i="1"/>
  <c r="J223" i="2" s="1"/>
  <c r="A196" i="1"/>
  <c r="A197" i="1"/>
  <c r="A198" i="1"/>
  <c r="A896" i="2" s="1"/>
  <c r="A199" i="1"/>
  <c r="A200" i="1"/>
  <c r="A202" i="2" s="1"/>
  <c r="A201" i="1"/>
  <c r="A202" i="1"/>
  <c r="A900" i="2" s="1"/>
  <c r="A203" i="1"/>
  <c r="A204" i="1"/>
  <c r="A205" i="1"/>
  <c r="A438" i="2" s="1"/>
  <c r="A206" i="1"/>
  <c r="A207" i="1"/>
  <c r="A208" i="1"/>
  <c r="A441" i="2" s="1"/>
  <c r="A209" i="1"/>
  <c r="A210" i="1"/>
  <c r="A211" i="1"/>
  <c r="J239" i="2" s="1"/>
  <c r="A212" i="1"/>
  <c r="A213" i="1"/>
  <c r="A214" i="1"/>
  <c r="A215" i="1"/>
  <c r="J243" i="2" s="1"/>
  <c r="A216" i="1"/>
  <c r="A217" i="1"/>
  <c r="A218" i="1"/>
  <c r="A219" i="1"/>
  <c r="A220" i="1"/>
  <c r="A221" i="1"/>
  <c r="A222" i="1"/>
  <c r="A223" i="1"/>
  <c r="A224" i="1"/>
  <c r="A2" i="1"/>
  <c r="A533" i="2" l="1"/>
  <c r="A766" i="2"/>
  <c r="A364" i="2"/>
  <c r="A829" i="2"/>
  <c r="A483" i="2"/>
  <c r="A716" i="2"/>
  <c r="K191" i="2"/>
  <c r="L191" i="2" s="1"/>
  <c r="J238" i="2"/>
  <c r="A212" i="2"/>
  <c r="J206" i="2"/>
  <c r="A643" i="2"/>
  <c r="J174" i="2"/>
  <c r="A148" i="2"/>
  <c r="A844" i="2"/>
  <c r="A132" i="2"/>
  <c r="A828" i="2"/>
  <c r="A764" i="2"/>
  <c r="A68" i="2"/>
  <c r="J53" i="2"/>
  <c r="A490" i="2"/>
  <c r="A723" i="2"/>
  <c r="A211" i="2"/>
  <c r="A442" i="2"/>
  <c r="J221" i="2"/>
  <c r="A195" i="2"/>
  <c r="A658" i="2"/>
  <c r="A642" i="2"/>
  <c r="A179" i="2"/>
  <c r="J189" i="2"/>
  <c r="A163" i="2"/>
  <c r="A779" i="2"/>
  <c r="A83" i="2"/>
  <c r="A922" i="2"/>
  <c r="A689" i="2"/>
  <c r="A457" i="2"/>
  <c r="A226" i="2"/>
  <c r="A778" i="2"/>
  <c r="J108" i="2"/>
  <c r="A746" i="2"/>
  <c r="J76" i="2"/>
  <c r="A50" i="2"/>
  <c r="A411" i="2"/>
  <c r="A249" i="2"/>
  <c r="A673" i="2"/>
  <c r="J140" i="2"/>
  <c r="I66" i="1"/>
  <c r="K94" i="2" s="1"/>
  <c r="L94" i="2" s="1"/>
  <c r="A732" i="2"/>
  <c r="A686" i="2"/>
  <c r="A919" i="2"/>
  <c r="A127" i="2"/>
  <c r="A590" i="2"/>
  <c r="A775" i="2"/>
  <c r="A79" i="2"/>
  <c r="A542" i="2"/>
  <c r="J105" i="2"/>
  <c r="A494" i="2"/>
  <c r="A31" i="2"/>
  <c r="A481" i="2"/>
  <c r="A839" i="2"/>
  <c r="J248" i="2"/>
  <c r="A685" i="2"/>
  <c r="A918" i="2"/>
  <c r="A437" i="2"/>
  <c r="A902" i="2"/>
  <c r="A653" i="2"/>
  <c r="A421" i="2"/>
  <c r="J152" i="2"/>
  <c r="A822" i="2"/>
  <c r="A357" i="2"/>
  <c r="A589" i="2"/>
  <c r="A62" i="2"/>
  <c r="J88" i="2"/>
  <c r="J72" i="2"/>
  <c r="A509" i="2"/>
  <c r="B460" i="2"/>
  <c r="C460" i="2" s="1"/>
  <c r="B229" i="2"/>
  <c r="C229" i="2" s="1"/>
  <c r="L292" i="2"/>
  <c r="A143" i="2"/>
  <c r="A36" i="2"/>
  <c r="A654" i="2"/>
  <c r="A563" i="2"/>
  <c r="A480" i="2"/>
  <c r="A730" i="2"/>
  <c r="L291" i="2"/>
  <c r="A53" i="2"/>
  <c r="A245" i="2"/>
  <c r="A557" i="2"/>
  <c r="A810" i="2"/>
  <c r="A715" i="2"/>
  <c r="A185" i="2"/>
  <c r="A115" i="2"/>
  <c r="A34" i="2"/>
  <c r="A330" i="2"/>
  <c r="A265" i="2"/>
  <c r="A807" i="2"/>
  <c r="J233" i="2"/>
  <c r="J109" i="2"/>
  <c r="A198" i="2"/>
  <c r="A661" i="2"/>
  <c r="A629" i="2"/>
  <c r="A166" i="2"/>
  <c r="A397" i="2"/>
  <c r="A830" i="2"/>
  <c r="A365" i="2"/>
  <c r="A134" i="2"/>
  <c r="A266" i="2"/>
  <c r="A498" i="2"/>
  <c r="I136" i="1"/>
  <c r="J136" i="1" s="1"/>
  <c r="A18" i="2"/>
  <c r="A859" i="2"/>
  <c r="A641" i="2"/>
  <c r="A409" i="2"/>
  <c r="A377" i="2"/>
  <c r="A146" i="2"/>
  <c r="J172" i="2"/>
  <c r="A842" i="2"/>
  <c r="A762" i="2"/>
  <c r="A297" i="2"/>
  <c r="A66" i="2"/>
  <c r="L289" i="2"/>
  <c r="I9" i="1"/>
  <c r="L296" i="2"/>
  <c r="A345" i="2"/>
  <c r="A674" i="2"/>
  <c r="A497" i="2"/>
  <c r="A858" i="2"/>
  <c r="I111" i="1"/>
  <c r="A114" i="2"/>
  <c r="A5" i="2"/>
  <c r="A313" i="2"/>
  <c r="A546" i="2"/>
  <c r="A258" i="2"/>
  <c r="A833" i="2"/>
  <c r="A600" i="2"/>
  <c r="A73" i="2"/>
  <c r="A626" i="2"/>
  <c r="A796" i="2"/>
  <c r="J61" i="2"/>
  <c r="A23" i="2"/>
  <c r="A254" i="2"/>
  <c r="A719" i="2"/>
  <c r="I208" i="1"/>
  <c r="L294" i="2"/>
  <c r="A358" i="2"/>
  <c r="A531" i="2"/>
  <c r="J217" i="2"/>
  <c r="A678" i="2"/>
  <c r="J241" i="2"/>
  <c r="A895" i="2"/>
  <c r="A199" i="2"/>
  <c r="A662" i="2"/>
  <c r="A879" i="2"/>
  <c r="A183" i="2"/>
  <c r="J177" i="2"/>
  <c r="A847" i="2"/>
  <c r="A151" i="2"/>
  <c r="J161" i="2"/>
  <c r="A598" i="2"/>
  <c r="A799" i="2"/>
  <c r="A334" i="2"/>
  <c r="J113" i="2"/>
  <c r="A550" i="2"/>
  <c r="A87" i="2"/>
  <c r="A783" i="2"/>
  <c r="A318" i="2"/>
  <c r="A767" i="2"/>
  <c r="J97" i="2"/>
  <c r="A302" i="2"/>
  <c r="I207" i="1"/>
  <c r="J207" i="1" s="1"/>
  <c r="A178" i="2"/>
  <c r="A103" i="2"/>
  <c r="A453" i="2"/>
  <c r="A429" i="2"/>
  <c r="A286" i="2"/>
  <c r="A530" i="2"/>
  <c r="A875" i="2"/>
  <c r="A790" i="2"/>
  <c r="J204" i="2"/>
  <c r="I224" i="1"/>
  <c r="B922" i="2" s="1"/>
  <c r="C922" i="2" s="1"/>
  <c r="I190" i="1"/>
  <c r="B655" i="2" s="1"/>
  <c r="C655" i="2" s="1"/>
  <c r="I174" i="1"/>
  <c r="B872" i="2" s="1"/>
  <c r="C872" i="2" s="1"/>
  <c r="I124" i="1"/>
  <c r="I91" i="1"/>
  <c r="K119" i="2" s="1"/>
  <c r="L119" i="2" s="1"/>
  <c r="I74" i="1"/>
  <c r="B772" i="2" s="1"/>
  <c r="C772" i="2" s="1"/>
  <c r="I24" i="1"/>
  <c r="B489" i="2" s="1"/>
  <c r="C489" i="2" s="1"/>
  <c r="I8" i="1"/>
  <c r="B473" i="2" s="1"/>
  <c r="C473" i="2" s="1"/>
  <c r="I147" i="1"/>
  <c r="K175" i="2" s="1"/>
  <c r="L175" i="2" s="1"/>
  <c r="I31" i="1"/>
  <c r="B729" i="2" s="1"/>
  <c r="C729" i="2" s="1"/>
  <c r="I216" i="1"/>
  <c r="I166" i="1"/>
  <c r="J166" i="1" s="1"/>
  <c r="I100" i="1"/>
  <c r="B565" i="2" s="1"/>
  <c r="C565" i="2" s="1"/>
  <c r="I223" i="1"/>
  <c r="J223" i="1" s="1"/>
  <c r="I139" i="1"/>
  <c r="J139" i="1" s="1"/>
  <c r="I123" i="1"/>
  <c r="I73" i="1"/>
  <c r="K101" i="2" s="1"/>
  <c r="L101" i="2" s="1"/>
  <c r="I7" i="1"/>
  <c r="J7" i="1" s="1"/>
  <c r="I130" i="1"/>
  <c r="L295" i="2"/>
  <c r="I48" i="1"/>
  <c r="B746" i="2" s="1"/>
  <c r="C746" i="2" s="1"/>
  <c r="A324" i="2"/>
  <c r="B672" i="2"/>
  <c r="C672" i="2" s="1"/>
  <c r="I148" i="1"/>
  <c r="J148" i="1" s="1"/>
  <c r="I83" i="1"/>
  <c r="J83" i="1" s="1"/>
  <c r="B905" i="2"/>
  <c r="C905" i="2" s="1"/>
  <c r="B334" i="2"/>
  <c r="C334" i="2" s="1"/>
  <c r="B103" i="2"/>
  <c r="C103" i="2" s="1"/>
  <c r="B124" i="2"/>
  <c r="C124" i="2" s="1"/>
  <c r="B355" i="2"/>
  <c r="C355" i="2" s="1"/>
  <c r="B133" i="2"/>
  <c r="C133" i="2" s="1"/>
  <c r="B364" i="2"/>
  <c r="C364" i="2" s="1"/>
  <c r="B373" i="2"/>
  <c r="C373" i="2" s="1"/>
  <c r="B142" i="2"/>
  <c r="C142" i="2" s="1"/>
  <c r="B383" i="2"/>
  <c r="C383" i="2" s="1"/>
  <c r="B152" i="2"/>
  <c r="C152" i="2" s="1"/>
  <c r="B761" i="2"/>
  <c r="C761" i="2" s="1"/>
  <c r="K91" i="2"/>
  <c r="L91" i="2" s="1"/>
  <c r="B528" i="2"/>
  <c r="C528" i="2" s="1"/>
  <c r="J63" i="1"/>
  <c r="B785" i="2"/>
  <c r="C785" i="2" s="1"/>
  <c r="K115" i="2"/>
  <c r="L115" i="2" s="1"/>
  <c r="J87" i="1"/>
  <c r="B552" i="2"/>
  <c r="C552" i="2" s="1"/>
  <c r="B249" i="2"/>
  <c r="C249" i="2" s="1"/>
  <c r="B18" i="2"/>
  <c r="C18" i="2" s="1"/>
  <c r="K166" i="2"/>
  <c r="L166" i="2" s="1"/>
  <c r="B603" i="2"/>
  <c r="C603" i="2" s="1"/>
  <c r="B836" i="2"/>
  <c r="C836" i="2" s="1"/>
  <c r="J138" i="1"/>
  <c r="K240" i="2"/>
  <c r="L240" i="2" s="1"/>
  <c r="B677" i="2"/>
  <c r="C677" i="2" s="1"/>
  <c r="B910" i="2"/>
  <c r="C910" i="2" s="1"/>
  <c r="J212" i="1"/>
  <c r="B860" i="2"/>
  <c r="C860" i="2" s="1"/>
  <c r="K190" i="2"/>
  <c r="L190" i="2" s="1"/>
  <c r="B627" i="2"/>
  <c r="C627" i="2" s="1"/>
  <c r="J162" i="1"/>
  <c r="B527" i="2"/>
  <c r="C527" i="2" s="1"/>
  <c r="B760" i="2"/>
  <c r="C760" i="2" s="1"/>
  <c r="J62" i="1"/>
  <c r="K90" i="2"/>
  <c r="L90" i="2" s="1"/>
  <c r="K163" i="2"/>
  <c r="L163" i="2" s="1"/>
  <c r="B833" i="2"/>
  <c r="C833" i="2" s="1"/>
  <c r="J135" i="1"/>
  <c r="B600" i="2"/>
  <c r="C600" i="2" s="1"/>
  <c r="B550" i="2"/>
  <c r="C550" i="2" s="1"/>
  <c r="K113" i="2"/>
  <c r="L113" i="2" s="1"/>
  <c r="J85" i="1"/>
  <c r="B783" i="2"/>
  <c r="C783" i="2" s="1"/>
  <c r="B94" i="2"/>
  <c r="C94" i="2" s="1"/>
  <c r="B325" i="2"/>
  <c r="C325" i="2" s="1"/>
  <c r="B258" i="2"/>
  <c r="C258" i="2" s="1"/>
  <c r="B27" i="2"/>
  <c r="C27" i="2" s="1"/>
  <c r="K165" i="2"/>
  <c r="L165" i="2" s="1"/>
  <c r="B835" i="2"/>
  <c r="C835" i="2" s="1"/>
  <c r="B602" i="2"/>
  <c r="C602" i="2" s="1"/>
  <c r="J137" i="1"/>
  <c r="B736" i="2"/>
  <c r="C736" i="2" s="1"/>
  <c r="B503" i="2"/>
  <c r="C503" i="2" s="1"/>
  <c r="J38" i="1"/>
  <c r="K66" i="2"/>
  <c r="L66" i="2" s="1"/>
  <c r="B908" i="2"/>
  <c r="C908" i="2" s="1"/>
  <c r="B675" i="2"/>
  <c r="C675" i="2" s="1"/>
  <c r="J210" i="1"/>
  <c r="K238" i="2"/>
  <c r="L238" i="2" s="1"/>
  <c r="B267" i="2"/>
  <c r="C267" i="2" s="1"/>
  <c r="B36" i="2"/>
  <c r="C36" i="2" s="1"/>
  <c r="K164" i="2"/>
  <c r="L164" i="2" s="1"/>
  <c r="B834" i="2"/>
  <c r="C834" i="2" s="1"/>
  <c r="B735" i="2"/>
  <c r="C735" i="2" s="1"/>
  <c r="K65" i="2"/>
  <c r="L65" i="2" s="1"/>
  <c r="J37" i="1"/>
  <c r="B502" i="2"/>
  <c r="C502" i="2" s="1"/>
  <c r="B306" i="2"/>
  <c r="C306" i="2" s="1"/>
  <c r="B75" i="2"/>
  <c r="C75" i="2" s="1"/>
  <c r="B315" i="2"/>
  <c r="C315" i="2" s="1"/>
  <c r="B84" i="2"/>
  <c r="C84" i="2" s="1"/>
  <c r="B286" i="2"/>
  <c r="C286" i="2" s="1"/>
  <c r="B55" i="2"/>
  <c r="C55" i="2" s="1"/>
  <c r="B46" i="2"/>
  <c r="C46" i="2" s="1"/>
  <c r="B277" i="2"/>
  <c r="C277" i="2" s="1"/>
  <c r="K216" i="2"/>
  <c r="L216" i="2" s="1"/>
  <c r="B886" i="2"/>
  <c r="C886" i="2" s="1"/>
  <c r="J188" i="1"/>
  <c r="B653" i="2"/>
  <c r="C653" i="2" s="1"/>
  <c r="B712" i="2"/>
  <c r="C712" i="2" s="1"/>
  <c r="B479" i="2"/>
  <c r="C479" i="2" s="1"/>
  <c r="K42" i="2"/>
  <c r="L42" i="2" s="1"/>
  <c r="J14" i="1"/>
  <c r="B343" i="2"/>
  <c r="C343" i="2" s="1"/>
  <c r="B112" i="2"/>
  <c r="C112" i="2" s="1"/>
  <c r="K138" i="2"/>
  <c r="L138" i="2" s="1"/>
  <c r="B575" i="2"/>
  <c r="C575" i="2" s="1"/>
  <c r="B808" i="2"/>
  <c r="C808" i="2" s="1"/>
  <c r="J110" i="1"/>
  <c r="B411" i="2"/>
  <c r="C411" i="2" s="1"/>
  <c r="B180" i="2"/>
  <c r="C180" i="2" s="1"/>
  <c r="B353" i="2"/>
  <c r="C353" i="2" s="1"/>
  <c r="C228" i="1"/>
  <c r="B461" i="2" s="1"/>
  <c r="C461" i="2" s="1"/>
  <c r="B122" i="2"/>
  <c r="C122" i="2" s="1"/>
  <c r="B920" i="2"/>
  <c r="C920" i="2" s="1"/>
  <c r="J222" i="1"/>
  <c r="B687" i="2"/>
  <c r="C687" i="2" s="1"/>
  <c r="K250" i="2"/>
  <c r="L250" i="2" s="1"/>
  <c r="B854" i="2"/>
  <c r="C854" i="2" s="1"/>
  <c r="K184" i="2"/>
  <c r="L184" i="2" s="1"/>
  <c r="J156" i="1"/>
  <c r="B621" i="2"/>
  <c r="C621" i="2" s="1"/>
  <c r="B820" i="2"/>
  <c r="C820" i="2" s="1"/>
  <c r="J122" i="1"/>
  <c r="K150" i="2"/>
  <c r="L150" i="2" s="1"/>
  <c r="B587" i="2"/>
  <c r="C587" i="2" s="1"/>
  <c r="K118" i="2"/>
  <c r="L118" i="2" s="1"/>
  <c r="B788" i="2"/>
  <c r="C788" i="2" s="1"/>
  <c r="B555" i="2"/>
  <c r="C555" i="2" s="1"/>
  <c r="K84" i="2"/>
  <c r="L84" i="2" s="1"/>
  <c r="B521" i="2"/>
  <c r="C521" i="2" s="1"/>
  <c r="J56" i="1"/>
  <c r="B754" i="2"/>
  <c r="C754" i="2" s="1"/>
  <c r="K51" i="2"/>
  <c r="L51" i="2" s="1"/>
  <c r="B488" i="2"/>
  <c r="C488" i="2" s="1"/>
  <c r="B721" i="2"/>
  <c r="C721" i="2" s="1"/>
  <c r="J23" i="1"/>
  <c r="B911" i="2"/>
  <c r="C911" i="2" s="1"/>
  <c r="K241" i="2"/>
  <c r="L241" i="2" s="1"/>
  <c r="B678" i="2"/>
  <c r="C678" i="2" s="1"/>
  <c r="K107" i="2"/>
  <c r="L107" i="2" s="1"/>
  <c r="J79" i="1"/>
  <c r="B544" i="2"/>
  <c r="C544" i="2" s="1"/>
  <c r="B777" i="2"/>
  <c r="C777" i="2" s="1"/>
  <c r="K75" i="2"/>
  <c r="L75" i="2" s="1"/>
  <c r="B512" i="2"/>
  <c r="C512" i="2" s="1"/>
  <c r="J47" i="1"/>
  <c r="B745" i="2"/>
  <c r="C745" i="2" s="1"/>
  <c r="J184" i="1"/>
  <c r="B882" i="2"/>
  <c r="C882" i="2" s="1"/>
  <c r="K212" i="2"/>
  <c r="L212" i="2" s="1"/>
  <c r="B709" i="2"/>
  <c r="C709" i="2" s="1"/>
  <c r="B476" i="2"/>
  <c r="C476" i="2" s="1"/>
  <c r="K39" i="2"/>
  <c r="L39" i="2" s="1"/>
  <c r="J11" i="1"/>
  <c r="A688" i="2"/>
  <c r="J251" i="2"/>
  <c r="A456" i="2"/>
  <c r="A225" i="2"/>
  <c r="A889" i="2"/>
  <c r="J219" i="2"/>
  <c r="A424" i="2"/>
  <c r="A656" i="2"/>
  <c r="A193" i="2"/>
  <c r="J187" i="2"/>
  <c r="A857" i="2"/>
  <c r="A624" i="2"/>
  <c r="A392" i="2"/>
  <c r="A161" i="2"/>
  <c r="J155" i="2"/>
  <c r="A825" i="2"/>
  <c r="A592" i="2"/>
  <c r="A360" i="2"/>
  <c r="A129" i="2"/>
  <c r="A560" i="2"/>
  <c r="A793" i="2"/>
  <c r="A328" i="2"/>
  <c r="J123" i="2"/>
  <c r="J91" i="2"/>
  <c r="A761" i="2"/>
  <c r="A296" i="2"/>
  <c r="A65" i="2"/>
  <c r="A33" i="2"/>
  <c r="A496" i="2"/>
  <c r="A729" i="2"/>
  <c r="A264" i="2"/>
  <c r="J221" i="1"/>
  <c r="B686" i="2"/>
  <c r="C686" i="2" s="1"/>
  <c r="K249" i="2"/>
  <c r="L249" i="2" s="1"/>
  <c r="B919" i="2"/>
  <c r="C919" i="2" s="1"/>
  <c r="B869" i="2"/>
  <c r="C869" i="2" s="1"/>
  <c r="K199" i="2"/>
  <c r="L199" i="2" s="1"/>
  <c r="J171" i="1"/>
  <c r="B803" i="2"/>
  <c r="C803" i="2" s="1"/>
  <c r="K133" i="2"/>
  <c r="L133" i="2" s="1"/>
  <c r="B570" i="2"/>
  <c r="C570" i="2" s="1"/>
  <c r="J105" i="1"/>
  <c r="B769" i="2"/>
  <c r="C769" i="2" s="1"/>
  <c r="B536" i="2"/>
  <c r="C536" i="2" s="1"/>
  <c r="K99" i="2"/>
  <c r="L99" i="2" s="1"/>
  <c r="J71" i="1"/>
  <c r="B504" i="2"/>
  <c r="C504" i="2" s="1"/>
  <c r="K67" i="2"/>
  <c r="L67" i="2" s="1"/>
  <c r="J39" i="1"/>
  <c r="B737" i="2"/>
  <c r="C737" i="2" s="1"/>
  <c r="K33" i="2"/>
  <c r="L33" i="2" s="1"/>
  <c r="B470" i="2"/>
  <c r="C470" i="2" s="1"/>
  <c r="B703" i="2"/>
  <c r="C703" i="2" s="1"/>
  <c r="J5" i="1"/>
  <c r="K222" i="2"/>
  <c r="L222" i="2" s="1"/>
  <c r="B659" i="2"/>
  <c r="C659" i="2" s="1"/>
  <c r="B892" i="2"/>
  <c r="C892" i="2" s="1"/>
  <c r="J194" i="1"/>
  <c r="K106" i="2"/>
  <c r="L106" i="2" s="1"/>
  <c r="B543" i="2"/>
  <c r="C543" i="2" s="1"/>
  <c r="B776" i="2"/>
  <c r="C776" i="2" s="1"/>
  <c r="J78" i="1"/>
  <c r="A920" i="2"/>
  <c r="A224" i="2"/>
  <c r="A687" i="2"/>
  <c r="A455" i="2"/>
  <c r="J250" i="2"/>
  <c r="A423" i="2"/>
  <c r="A192" i="2"/>
  <c r="A888" i="2"/>
  <c r="J218" i="2"/>
  <c r="A655" i="2"/>
  <c r="A623" i="2"/>
  <c r="A160" i="2"/>
  <c r="A856" i="2"/>
  <c r="J186" i="2"/>
  <c r="A128" i="2"/>
  <c r="A591" i="2"/>
  <c r="J154" i="2"/>
  <c r="A824" i="2"/>
  <c r="A792" i="2"/>
  <c r="A559" i="2"/>
  <c r="A96" i="2"/>
  <c r="A327" i="2"/>
  <c r="J122" i="2"/>
  <c r="A760" i="2"/>
  <c r="A64" i="2"/>
  <c r="A295" i="2"/>
  <c r="J41" i="2"/>
  <c r="A15" i="2"/>
  <c r="A246" i="2"/>
  <c r="A711" i="2"/>
  <c r="A478" i="2"/>
  <c r="B198" i="2"/>
  <c r="C198" i="2" s="1"/>
  <c r="B429" i="2"/>
  <c r="C429" i="2" s="1"/>
  <c r="I220" i="1"/>
  <c r="I186" i="1"/>
  <c r="I154" i="1"/>
  <c r="I120" i="1"/>
  <c r="E228" i="1"/>
  <c r="B752" i="2"/>
  <c r="C752" i="2" s="1"/>
  <c r="K82" i="2"/>
  <c r="L82" i="2" s="1"/>
  <c r="B519" i="2"/>
  <c r="C519" i="2" s="1"/>
  <c r="J54" i="1"/>
  <c r="I4" i="1"/>
  <c r="K155" i="2"/>
  <c r="L155" i="2" s="1"/>
  <c r="B592" i="2"/>
  <c r="C592" i="2" s="1"/>
  <c r="B825" i="2"/>
  <c r="C825" i="2" s="1"/>
  <c r="J127" i="1"/>
  <c r="K229" i="2"/>
  <c r="L229" i="2" s="1"/>
  <c r="B666" i="2"/>
  <c r="C666" i="2" s="1"/>
  <c r="B899" i="2"/>
  <c r="C899" i="2" s="1"/>
  <c r="J201" i="1"/>
  <c r="B716" i="2"/>
  <c r="C716" i="2" s="1"/>
  <c r="K46" i="2"/>
  <c r="L46" i="2" s="1"/>
  <c r="B483" i="2"/>
  <c r="C483" i="2" s="1"/>
  <c r="K114" i="2"/>
  <c r="L114" i="2" s="1"/>
  <c r="B784" i="2"/>
  <c r="C784" i="2" s="1"/>
  <c r="B551" i="2"/>
  <c r="C551" i="2" s="1"/>
  <c r="J86" i="1"/>
  <c r="B636" i="2"/>
  <c r="C636" i="2" s="1"/>
  <c r="A528" i="2"/>
  <c r="B226" i="2"/>
  <c r="C226" i="2" s="1"/>
  <c r="B457" i="2"/>
  <c r="C457" i="2" s="1"/>
  <c r="I203" i="1"/>
  <c r="I169" i="1"/>
  <c r="I103" i="1"/>
  <c r="I69" i="1"/>
  <c r="E225" i="1"/>
  <c r="I20" i="1"/>
  <c r="J176" i="1"/>
  <c r="B641" i="2"/>
  <c r="C641" i="2" s="1"/>
  <c r="K204" i="2"/>
  <c r="L204" i="2" s="1"/>
  <c r="B874" i="2"/>
  <c r="C874" i="2" s="1"/>
  <c r="K171" i="2"/>
  <c r="L171" i="2" s="1"/>
  <c r="J143" i="1"/>
  <c r="B608" i="2"/>
  <c r="C608" i="2" s="1"/>
  <c r="B841" i="2"/>
  <c r="C841" i="2" s="1"/>
  <c r="B758" i="2"/>
  <c r="C758" i="2" s="1"/>
  <c r="J60" i="1"/>
  <c r="K88" i="2"/>
  <c r="L88" i="2" s="1"/>
  <c r="B525" i="2"/>
  <c r="C525" i="2" s="1"/>
  <c r="K38" i="2"/>
  <c r="L38" i="2" s="1"/>
  <c r="B475" i="2"/>
  <c r="C475" i="2" s="1"/>
  <c r="B708" i="2"/>
  <c r="C708" i="2" s="1"/>
  <c r="J10" i="1"/>
  <c r="B831" i="2"/>
  <c r="C831" i="2" s="1"/>
  <c r="K161" i="2"/>
  <c r="L161" i="2" s="1"/>
  <c r="B598" i="2"/>
  <c r="C598" i="2" s="1"/>
  <c r="J133" i="1"/>
  <c r="J213" i="1"/>
  <c r="I202" i="1"/>
  <c r="I68" i="1"/>
  <c r="B889" i="2"/>
  <c r="C889" i="2" s="1"/>
  <c r="K219" i="2"/>
  <c r="L219" i="2" s="1"/>
  <c r="B656" i="2"/>
  <c r="C656" i="2" s="1"/>
  <c r="B557" i="2"/>
  <c r="C557" i="2" s="1"/>
  <c r="K120" i="2"/>
  <c r="L120" i="2" s="1"/>
  <c r="J92" i="1"/>
  <c r="B790" i="2"/>
  <c r="C790" i="2" s="1"/>
  <c r="B508" i="2"/>
  <c r="C508" i="2" s="1"/>
  <c r="J43" i="1"/>
  <c r="B741" i="2"/>
  <c r="C741" i="2" s="1"/>
  <c r="K71" i="2"/>
  <c r="L71" i="2" s="1"/>
  <c r="B724" i="2"/>
  <c r="C724" i="2" s="1"/>
  <c r="K54" i="2"/>
  <c r="L54" i="2" s="1"/>
  <c r="B491" i="2"/>
  <c r="C491" i="2" s="1"/>
  <c r="J26" i="1"/>
  <c r="B780" i="2"/>
  <c r="C780" i="2" s="1"/>
  <c r="K110" i="2"/>
  <c r="L110" i="2" s="1"/>
  <c r="B547" i="2"/>
  <c r="C547" i="2" s="1"/>
  <c r="J82" i="1"/>
  <c r="I160" i="1"/>
  <c r="B849" i="2"/>
  <c r="C849" i="2" s="1"/>
  <c r="B616" i="2"/>
  <c r="C616" i="2" s="1"/>
  <c r="K179" i="2"/>
  <c r="L179" i="2" s="1"/>
  <c r="J151" i="1"/>
  <c r="I117" i="1"/>
  <c r="I101" i="1"/>
  <c r="I67" i="1"/>
  <c r="I51" i="1"/>
  <c r="K252" i="2"/>
  <c r="L252" i="2" s="1"/>
  <c r="B689" i="2"/>
  <c r="C689" i="2" s="1"/>
  <c r="J190" i="1"/>
  <c r="K218" i="2"/>
  <c r="L218" i="2" s="1"/>
  <c r="B639" i="2"/>
  <c r="C639" i="2" s="1"/>
  <c r="J174" i="1"/>
  <c r="K152" i="2"/>
  <c r="L152" i="2" s="1"/>
  <c r="B589" i="2"/>
  <c r="C589" i="2" s="1"/>
  <c r="J124" i="1"/>
  <c r="B822" i="2"/>
  <c r="C822" i="2" s="1"/>
  <c r="B789" i="2"/>
  <c r="C789" i="2" s="1"/>
  <c r="B556" i="2"/>
  <c r="C556" i="2" s="1"/>
  <c r="B845" i="2"/>
  <c r="C845" i="2" s="1"/>
  <c r="J147" i="1"/>
  <c r="B857" i="2"/>
  <c r="C857" i="2" s="1"/>
  <c r="B624" i="2"/>
  <c r="C624" i="2" s="1"/>
  <c r="K187" i="2"/>
  <c r="L187" i="2" s="1"/>
  <c r="J159" i="1"/>
  <c r="B529" i="2"/>
  <c r="C529" i="2" s="1"/>
  <c r="K92" i="2"/>
  <c r="L92" i="2" s="1"/>
  <c r="J64" i="1"/>
  <c r="B762" i="2"/>
  <c r="C762" i="2" s="1"/>
  <c r="J91" i="1"/>
  <c r="K244" i="2"/>
  <c r="L244" i="2" s="1"/>
  <c r="B914" i="2"/>
  <c r="C914" i="2" s="1"/>
  <c r="J216" i="1"/>
  <c r="B681" i="2"/>
  <c r="C681" i="2" s="1"/>
  <c r="B631" i="2"/>
  <c r="C631" i="2" s="1"/>
  <c r="K194" i="2"/>
  <c r="L194" i="2" s="1"/>
  <c r="B864" i="2"/>
  <c r="C864" i="2" s="1"/>
  <c r="I50" i="1"/>
  <c r="B837" i="2"/>
  <c r="C837" i="2" s="1"/>
  <c r="B604" i="2"/>
  <c r="C604" i="2" s="1"/>
  <c r="K167" i="2"/>
  <c r="L167" i="2" s="1"/>
  <c r="K151" i="2"/>
  <c r="L151" i="2" s="1"/>
  <c r="B821" i="2"/>
  <c r="C821" i="2" s="1"/>
  <c r="B588" i="2"/>
  <c r="C588" i="2" s="1"/>
  <c r="J123" i="1"/>
  <c r="B771" i="2"/>
  <c r="C771" i="2" s="1"/>
  <c r="J73" i="1"/>
  <c r="B538" i="2"/>
  <c r="C538" i="2" s="1"/>
  <c r="B705" i="2"/>
  <c r="C705" i="2" s="1"/>
  <c r="K158" i="2"/>
  <c r="L158" i="2" s="1"/>
  <c r="J130" i="1"/>
  <c r="B595" i="2"/>
  <c r="C595" i="2" s="1"/>
  <c r="B828" i="2"/>
  <c r="C828" i="2" s="1"/>
  <c r="K186" i="2"/>
  <c r="L186" i="2" s="1"/>
  <c r="B623" i="2"/>
  <c r="C623" i="2" s="1"/>
  <c r="B856" i="2"/>
  <c r="C856" i="2" s="1"/>
  <c r="J158" i="1"/>
  <c r="J191" i="1"/>
  <c r="J90" i="1"/>
  <c r="B108" i="2"/>
  <c r="C108" i="2" s="1"/>
  <c r="B339" i="2"/>
  <c r="C339" i="2" s="1"/>
  <c r="B913" i="2"/>
  <c r="C913" i="2" s="1"/>
  <c r="K243" i="2"/>
  <c r="L243" i="2" s="1"/>
  <c r="B680" i="2"/>
  <c r="C680" i="2" s="1"/>
  <c r="B896" i="2"/>
  <c r="C896" i="2" s="1"/>
  <c r="K226" i="2"/>
  <c r="L226" i="2" s="1"/>
  <c r="B663" i="2"/>
  <c r="C663" i="2" s="1"/>
  <c r="J198" i="1"/>
  <c r="K193" i="2"/>
  <c r="L193" i="2" s="1"/>
  <c r="B630" i="2"/>
  <c r="C630" i="2" s="1"/>
  <c r="B863" i="2"/>
  <c r="C863" i="2" s="1"/>
  <c r="B797" i="2"/>
  <c r="C797" i="2" s="1"/>
  <c r="K127" i="2"/>
  <c r="L127" i="2" s="1"/>
  <c r="J99" i="1"/>
  <c r="B564" i="2"/>
  <c r="C564" i="2" s="1"/>
  <c r="B894" i="2"/>
  <c r="C894" i="2" s="1"/>
  <c r="K224" i="2"/>
  <c r="L224" i="2" s="1"/>
  <c r="B661" i="2"/>
  <c r="C661" i="2" s="1"/>
  <c r="J196" i="1"/>
  <c r="A97" i="2"/>
  <c r="K242" i="2"/>
  <c r="L242" i="2" s="1"/>
  <c r="B679" i="2"/>
  <c r="C679" i="2" s="1"/>
  <c r="B912" i="2"/>
  <c r="C912" i="2" s="1"/>
  <c r="K225" i="2"/>
  <c r="L225" i="2" s="1"/>
  <c r="B895" i="2"/>
  <c r="C895" i="2" s="1"/>
  <c r="B662" i="2"/>
  <c r="C662" i="2" s="1"/>
  <c r="J197" i="1"/>
  <c r="K176" i="2"/>
  <c r="L176" i="2" s="1"/>
  <c r="B563" i="2"/>
  <c r="C563" i="2" s="1"/>
  <c r="K126" i="2"/>
  <c r="L126" i="2" s="1"/>
  <c r="B796" i="2"/>
  <c r="C796" i="2" s="1"/>
  <c r="J98" i="1"/>
  <c r="B513" i="2"/>
  <c r="C513" i="2" s="1"/>
  <c r="K70" i="2"/>
  <c r="L70" i="2" s="1"/>
  <c r="J42" i="1"/>
  <c r="B740" i="2"/>
  <c r="C740" i="2" s="1"/>
  <c r="B507" i="2"/>
  <c r="C507" i="2" s="1"/>
  <c r="J59" i="2"/>
  <c r="B155" i="2"/>
  <c r="C155" i="2" s="1"/>
  <c r="B386" i="2"/>
  <c r="C386" i="2" s="1"/>
  <c r="K69" i="2"/>
  <c r="L69" i="2" s="1"/>
  <c r="B739" i="2"/>
  <c r="C739" i="2" s="1"/>
  <c r="B506" i="2"/>
  <c r="C506" i="2" s="1"/>
  <c r="J165" i="1"/>
  <c r="B402" i="2"/>
  <c r="C402" i="2" s="1"/>
  <c r="B171" i="2"/>
  <c r="C171" i="2" s="1"/>
  <c r="B392" i="2"/>
  <c r="C392" i="2" s="1"/>
  <c r="B161" i="2"/>
  <c r="C161" i="2" s="1"/>
  <c r="B239" i="2"/>
  <c r="C239" i="2" s="1"/>
  <c r="B8" i="2"/>
  <c r="C8" i="2" s="1"/>
  <c r="B809" i="2"/>
  <c r="C809" i="2" s="1"/>
  <c r="B576" i="2"/>
  <c r="C576" i="2" s="1"/>
  <c r="K139" i="2"/>
  <c r="L139" i="2" s="1"/>
  <c r="J111" i="1"/>
  <c r="B401" i="2"/>
  <c r="C401" i="2" s="1"/>
  <c r="B170" i="2"/>
  <c r="C170" i="2" s="1"/>
  <c r="B652" i="2"/>
  <c r="C652" i="2" s="1"/>
  <c r="K215" i="2"/>
  <c r="L215" i="2" s="1"/>
  <c r="B885" i="2"/>
  <c r="C885" i="2" s="1"/>
  <c r="K40" i="2"/>
  <c r="L40" i="2" s="1"/>
  <c r="J12" i="1"/>
  <c r="B477" i="2"/>
  <c r="C477" i="2" s="1"/>
  <c r="B710" i="2"/>
  <c r="C710" i="2" s="1"/>
  <c r="B904" i="2"/>
  <c r="C904" i="2" s="1"/>
  <c r="B671" i="2"/>
  <c r="C671" i="2" s="1"/>
  <c r="K234" i="2"/>
  <c r="L234" i="2" s="1"/>
  <c r="J206" i="1"/>
  <c r="K200" i="2"/>
  <c r="L200" i="2" s="1"/>
  <c r="J172" i="1"/>
  <c r="B870" i="2"/>
  <c r="C870" i="2" s="1"/>
  <c r="B637" i="2"/>
  <c r="C637" i="2" s="1"/>
  <c r="B605" i="2"/>
  <c r="C605" i="2" s="1"/>
  <c r="J140" i="1"/>
  <c r="K168" i="2"/>
  <c r="L168" i="2" s="1"/>
  <c r="B838" i="2"/>
  <c r="C838" i="2" s="1"/>
  <c r="B804" i="2"/>
  <c r="C804" i="2" s="1"/>
  <c r="B571" i="2"/>
  <c r="C571" i="2" s="1"/>
  <c r="J106" i="1"/>
  <c r="K134" i="2"/>
  <c r="L134" i="2" s="1"/>
  <c r="B537" i="2"/>
  <c r="C537" i="2" s="1"/>
  <c r="B770" i="2"/>
  <c r="C770" i="2" s="1"/>
  <c r="J72" i="1"/>
  <c r="K100" i="2"/>
  <c r="L100" i="2" s="1"/>
  <c r="K68" i="2"/>
  <c r="L68" i="2" s="1"/>
  <c r="B738" i="2"/>
  <c r="C738" i="2" s="1"/>
  <c r="B505" i="2"/>
  <c r="C505" i="2" s="1"/>
  <c r="K34" i="2"/>
  <c r="L34" i="2" s="1"/>
  <c r="B704" i="2"/>
  <c r="C704" i="2" s="1"/>
  <c r="J6" i="1"/>
  <c r="B471" i="2"/>
  <c r="C471" i="2" s="1"/>
  <c r="B893" i="2"/>
  <c r="C893" i="2" s="1"/>
  <c r="B660" i="2"/>
  <c r="C660" i="2" s="1"/>
  <c r="J195" i="1"/>
  <c r="B877" i="2"/>
  <c r="C877" i="2" s="1"/>
  <c r="K207" i="2"/>
  <c r="L207" i="2" s="1"/>
  <c r="J179" i="1"/>
  <c r="B644" i="2"/>
  <c r="C644" i="2" s="1"/>
  <c r="B827" i="2"/>
  <c r="C827" i="2" s="1"/>
  <c r="K157" i="2"/>
  <c r="L157" i="2" s="1"/>
  <c r="B594" i="2"/>
  <c r="C594" i="2" s="1"/>
  <c r="J129" i="1"/>
  <c r="B794" i="2"/>
  <c r="C794" i="2" s="1"/>
  <c r="J96" i="1"/>
  <c r="B561" i="2"/>
  <c r="C561" i="2" s="1"/>
  <c r="K58" i="2"/>
  <c r="L58" i="2" s="1"/>
  <c r="B728" i="2"/>
  <c r="C728" i="2" s="1"/>
  <c r="B495" i="2"/>
  <c r="C495" i="2" s="1"/>
  <c r="J30" i="1"/>
  <c r="B786" i="2"/>
  <c r="C786" i="2" s="1"/>
  <c r="B553" i="2"/>
  <c r="C553" i="2" s="1"/>
  <c r="K116" i="2"/>
  <c r="L116" i="2" s="1"/>
  <c r="A461" i="2"/>
  <c r="A926" i="2"/>
  <c r="A693" i="2"/>
  <c r="J256" i="2"/>
  <c r="J235" i="2"/>
  <c r="A672" i="2"/>
  <c r="A905" i="2"/>
  <c r="A209" i="2"/>
  <c r="A440" i="2"/>
  <c r="J203" i="2"/>
  <c r="A408" i="2"/>
  <c r="A873" i="2"/>
  <c r="A640" i="2"/>
  <c r="A376" i="2"/>
  <c r="J171" i="2"/>
  <c r="A145" i="2"/>
  <c r="A608" i="2"/>
  <c r="A841" i="2"/>
  <c r="A809" i="2"/>
  <c r="A344" i="2"/>
  <c r="J139" i="2"/>
  <c r="A576" i="2"/>
  <c r="A113" i="2"/>
  <c r="A81" i="2"/>
  <c r="A777" i="2"/>
  <c r="A544" i="2"/>
  <c r="A312" i="2"/>
  <c r="J107" i="2"/>
  <c r="J75" i="2"/>
  <c r="A745" i="2"/>
  <c r="A512" i="2"/>
  <c r="A49" i="2"/>
  <c r="J42" i="2"/>
  <c r="A479" i="2"/>
  <c r="A712" i="2"/>
  <c r="B670" i="2"/>
  <c r="C670" i="2" s="1"/>
  <c r="K233" i="2"/>
  <c r="L233" i="2" s="1"/>
  <c r="B903" i="2"/>
  <c r="C903" i="2" s="1"/>
  <c r="J205" i="1"/>
  <c r="B620" i="2"/>
  <c r="C620" i="2" s="1"/>
  <c r="J155" i="1"/>
  <c r="B853" i="2"/>
  <c r="C853" i="2" s="1"/>
  <c r="K183" i="2"/>
  <c r="L183" i="2" s="1"/>
  <c r="B819" i="2"/>
  <c r="C819" i="2" s="1"/>
  <c r="K149" i="2"/>
  <c r="L149" i="2" s="1"/>
  <c r="B586" i="2"/>
  <c r="C586" i="2" s="1"/>
  <c r="J121" i="1"/>
  <c r="B787" i="2"/>
  <c r="C787" i="2" s="1"/>
  <c r="B554" i="2"/>
  <c r="C554" i="2" s="1"/>
  <c r="K117" i="2"/>
  <c r="L117" i="2" s="1"/>
  <c r="B753" i="2"/>
  <c r="C753" i="2" s="1"/>
  <c r="B520" i="2"/>
  <c r="C520" i="2" s="1"/>
  <c r="J55" i="1"/>
  <c r="K83" i="2"/>
  <c r="L83" i="2" s="1"/>
  <c r="B487" i="2"/>
  <c r="C487" i="2" s="1"/>
  <c r="B720" i="2"/>
  <c r="C720" i="2" s="1"/>
  <c r="J22" i="1"/>
  <c r="K50" i="2"/>
  <c r="L50" i="2" s="1"/>
  <c r="B876" i="2"/>
  <c r="C876" i="2" s="1"/>
  <c r="B643" i="2"/>
  <c r="C643" i="2" s="1"/>
  <c r="K206" i="2"/>
  <c r="L206" i="2" s="1"/>
  <c r="J178" i="1"/>
  <c r="B826" i="2"/>
  <c r="C826" i="2" s="1"/>
  <c r="B593" i="2"/>
  <c r="C593" i="2" s="1"/>
  <c r="K156" i="2"/>
  <c r="L156" i="2" s="1"/>
  <c r="J128" i="1"/>
  <c r="B560" i="2"/>
  <c r="C560" i="2" s="1"/>
  <c r="J95" i="1"/>
  <c r="B793" i="2"/>
  <c r="C793" i="2" s="1"/>
  <c r="K123" i="2"/>
  <c r="L123" i="2" s="1"/>
  <c r="K74" i="2"/>
  <c r="L74" i="2" s="1"/>
  <c r="B744" i="2"/>
  <c r="C744" i="2" s="1"/>
  <c r="B511" i="2"/>
  <c r="C511" i="2" s="1"/>
  <c r="B881" i="2"/>
  <c r="C881" i="2" s="1"/>
  <c r="B648" i="2"/>
  <c r="C648" i="2" s="1"/>
  <c r="K211" i="2"/>
  <c r="L211" i="2" s="1"/>
  <c r="J183" i="1"/>
  <c r="A177" i="2"/>
  <c r="A280" i="2"/>
  <c r="J234" i="2"/>
  <c r="A439" i="2"/>
  <c r="A904" i="2"/>
  <c r="A208" i="2"/>
  <c r="A671" i="2"/>
  <c r="A872" i="2"/>
  <c r="A639" i="2"/>
  <c r="A407" i="2"/>
  <c r="J202" i="2"/>
  <c r="J170" i="2"/>
  <c r="A375" i="2"/>
  <c r="A607" i="2"/>
  <c r="A840" i="2"/>
  <c r="A144" i="2"/>
  <c r="A808" i="2"/>
  <c r="A575" i="2"/>
  <c r="J138" i="2"/>
  <c r="A112" i="2"/>
  <c r="A343" i="2"/>
  <c r="A80" i="2"/>
  <c r="A311" i="2"/>
  <c r="A543" i="2"/>
  <c r="A776" i="2"/>
  <c r="J106" i="2"/>
  <c r="A744" i="2"/>
  <c r="J74" i="2"/>
  <c r="A511" i="2"/>
  <c r="A48" i="2"/>
  <c r="A279" i="2"/>
  <c r="A32" i="2"/>
  <c r="A263" i="2"/>
  <c r="A495" i="2"/>
  <c r="A728" i="2"/>
  <c r="J58" i="2"/>
  <c r="B439" i="2"/>
  <c r="C439" i="2" s="1"/>
  <c r="B208" i="2"/>
  <c r="C208" i="2" s="1"/>
  <c r="B420" i="2"/>
  <c r="C420" i="2" s="1"/>
  <c r="B189" i="2"/>
  <c r="C189" i="2" s="1"/>
  <c r="K232" i="2"/>
  <c r="L232" i="2" s="1"/>
  <c r="J204" i="1"/>
  <c r="B902" i="2"/>
  <c r="C902" i="2" s="1"/>
  <c r="B669" i="2"/>
  <c r="C669" i="2" s="1"/>
  <c r="I170" i="1"/>
  <c r="I104" i="1"/>
  <c r="I70" i="1"/>
  <c r="K49" i="2"/>
  <c r="L49" i="2" s="1"/>
  <c r="B486" i="2"/>
  <c r="C486" i="2" s="1"/>
  <c r="J21" i="1"/>
  <c r="B775" i="2"/>
  <c r="C775" i="2" s="1"/>
  <c r="K105" i="2"/>
  <c r="L105" i="2" s="1"/>
  <c r="B542" i="2"/>
  <c r="C542" i="2" s="1"/>
  <c r="J77" i="1"/>
  <c r="B726" i="2"/>
  <c r="C726" i="2" s="1"/>
  <c r="J28" i="1"/>
  <c r="K56" i="2"/>
  <c r="L56" i="2" s="1"/>
  <c r="B493" i="2"/>
  <c r="C493" i="2" s="1"/>
  <c r="B599" i="2"/>
  <c r="C599" i="2" s="1"/>
  <c r="B832" i="2"/>
  <c r="C832" i="2" s="1"/>
  <c r="J134" i="1"/>
  <c r="K162" i="2"/>
  <c r="L162" i="2" s="1"/>
  <c r="B782" i="2"/>
  <c r="C782" i="2" s="1"/>
  <c r="K112" i="2"/>
  <c r="L112" i="2" s="1"/>
  <c r="J84" i="1"/>
  <c r="B549" i="2"/>
  <c r="C549" i="2" s="1"/>
  <c r="B732" i="2"/>
  <c r="C732" i="2" s="1"/>
  <c r="K62" i="2"/>
  <c r="L62" i="2" s="1"/>
  <c r="J34" i="1"/>
  <c r="B499" i="2"/>
  <c r="C499" i="2" s="1"/>
  <c r="J18" i="1"/>
  <c r="B448" i="2"/>
  <c r="C448" i="2" s="1"/>
  <c r="B217" i="2"/>
  <c r="C217" i="2" s="1"/>
  <c r="I219" i="1"/>
  <c r="I185" i="1"/>
  <c r="I153" i="1"/>
  <c r="I119" i="1"/>
  <c r="I53" i="1"/>
  <c r="I3" i="1"/>
  <c r="K55" i="2"/>
  <c r="L55" i="2" s="1"/>
  <c r="B725" i="2"/>
  <c r="C725" i="2" s="1"/>
  <c r="B492" i="2"/>
  <c r="C492" i="2" s="1"/>
  <c r="J27" i="1"/>
  <c r="A176" i="2"/>
  <c r="A527" i="2"/>
  <c r="B861" i="2"/>
  <c r="C861" i="2" s="1"/>
  <c r="I152" i="1"/>
  <c r="I118" i="1"/>
  <c r="I102" i="1"/>
  <c r="I52" i="1"/>
  <c r="I19" i="1"/>
  <c r="K203" i="2"/>
  <c r="L203" i="2" s="1"/>
  <c r="B873" i="2"/>
  <c r="C873" i="2" s="1"/>
  <c r="B640" i="2"/>
  <c r="C640" i="2" s="1"/>
  <c r="J175" i="1"/>
  <c r="J59" i="1"/>
  <c r="B757" i="2"/>
  <c r="C757" i="2" s="1"/>
  <c r="K87" i="2"/>
  <c r="L87" i="2" s="1"/>
  <c r="B524" i="2"/>
  <c r="C524" i="2" s="1"/>
  <c r="B474" i="2"/>
  <c r="C474" i="2" s="1"/>
  <c r="B707" i="2"/>
  <c r="C707" i="2" s="1"/>
  <c r="K37" i="2"/>
  <c r="L37" i="2" s="1"/>
  <c r="J9" i="1"/>
  <c r="B497" i="2"/>
  <c r="C497" i="2" s="1"/>
  <c r="K60" i="2"/>
  <c r="L60" i="2" s="1"/>
  <c r="J32" i="1"/>
  <c r="B730" i="2"/>
  <c r="C730" i="2" s="1"/>
  <c r="B65" i="2"/>
  <c r="C65" i="2" s="1"/>
  <c r="K124" i="2"/>
  <c r="L124" i="2" s="1"/>
  <c r="B174" i="2"/>
  <c r="C174" i="2" s="1"/>
  <c r="B405" i="2"/>
  <c r="C405" i="2" s="1"/>
  <c r="B676" i="2"/>
  <c r="C676" i="2" s="1"/>
  <c r="K239" i="2"/>
  <c r="L239" i="2" s="1"/>
  <c r="B909" i="2"/>
  <c r="C909" i="2" s="1"/>
  <c r="J211" i="1"/>
  <c r="B183" i="2"/>
  <c r="C183" i="2" s="1"/>
  <c r="B414" i="2"/>
  <c r="C414" i="2" s="1"/>
  <c r="B269" i="2"/>
  <c r="C269" i="2" s="1"/>
  <c r="B38" i="2"/>
  <c r="C38" i="2" s="1"/>
  <c r="B259" i="2"/>
  <c r="C259" i="2" s="1"/>
  <c r="B28" i="2"/>
  <c r="C28" i="2" s="1"/>
  <c r="B250" i="2"/>
  <c r="C250" i="2" s="1"/>
  <c r="B19" i="2"/>
  <c r="C19" i="2" s="1"/>
  <c r="B241" i="2"/>
  <c r="C241" i="2" s="1"/>
  <c r="B10" i="2"/>
  <c r="C10" i="2" s="1"/>
  <c r="J163" i="1"/>
  <c r="B410" i="2"/>
  <c r="C410" i="2" s="1"/>
  <c r="A359" i="2"/>
  <c r="B649" i="2"/>
  <c r="C649" i="2" s="1"/>
  <c r="B345" i="2"/>
  <c r="C345" i="2" s="1"/>
  <c r="B114" i="2"/>
  <c r="C114" i="2" s="1"/>
  <c r="B57" i="2"/>
  <c r="C57" i="2" s="1"/>
  <c r="B288" i="2"/>
  <c r="C288" i="2" s="1"/>
  <c r="B278" i="2"/>
  <c r="C278" i="2" s="1"/>
  <c r="B47" i="2"/>
  <c r="C47" i="2" s="1"/>
  <c r="C226" i="1"/>
  <c r="I192" i="1"/>
  <c r="I44" i="1"/>
  <c r="K236" i="2"/>
  <c r="L236" i="2" s="1"/>
  <c r="J208" i="1"/>
  <c r="B906" i="2"/>
  <c r="C906" i="2" s="1"/>
  <c r="B673" i="2"/>
  <c r="C673" i="2" s="1"/>
  <c r="B581" i="2"/>
  <c r="C581" i="2" s="1"/>
  <c r="B814" i="2"/>
  <c r="C814" i="2" s="1"/>
  <c r="J116" i="1"/>
  <c r="K144" i="2"/>
  <c r="L144" i="2" s="1"/>
  <c r="J66" i="1"/>
  <c r="A247" i="2"/>
  <c r="B56" i="2"/>
  <c r="C56" i="2" s="1"/>
  <c r="B287" i="2"/>
  <c r="C287" i="2" s="1"/>
  <c r="B240" i="2"/>
  <c r="C240" i="2" s="1"/>
  <c r="B9" i="2"/>
  <c r="C9" i="2" s="1"/>
  <c r="B580" i="2"/>
  <c r="C580" i="2" s="1"/>
  <c r="B813" i="2"/>
  <c r="C813" i="2" s="1"/>
  <c r="K43" i="2"/>
  <c r="L43" i="2" s="1"/>
  <c r="B480" i="2"/>
  <c r="C480" i="2" s="1"/>
  <c r="B713" i="2"/>
  <c r="C713" i="2" s="1"/>
  <c r="J46" i="1"/>
  <c r="B305" i="2"/>
  <c r="C305" i="2" s="1"/>
  <c r="B74" i="2"/>
  <c r="C74" i="2" s="1"/>
  <c r="K103" i="2"/>
  <c r="L103" i="2" s="1"/>
  <c r="J75" i="1"/>
  <c r="J231" i="2"/>
  <c r="A901" i="2"/>
  <c r="A668" i="2"/>
  <c r="J199" i="2"/>
  <c r="A636" i="2"/>
  <c r="A869" i="2"/>
  <c r="A141" i="2"/>
  <c r="A604" i="2"/>
  <c r="J167" i="2"/>
  <c r="J135" i="2"/>
  <c r="A340" i="2"/>
  <c r="A805" i="2"/>
  <c r="J103" i="2"/>
  <c r="A773" i="2"/>
  <c r="A308" i="2"/>
  <c r="A77" i="2"/>
  <c r="J55" i="2"/>
  <c r="A725" i="2"/>
  <c r="B130" i="2"/>
  <c r="C130" i="2" s="1"/>
  <c r="B361" i="2"/>
  <c r="C361" i="2" s="1"/>
  <c r="B342" i="2"/>
  <c r="C342" i="2" s="1"/>
  <c r="B111" i="2"/>
  <c r="C111" i="2" s="1"/>
  <c r="B304" i="2"/>
  <c r="C304" i="2" s="1"/>
  <c r="B73" i="2"/>
  <c r="C73" i="2" s="1"/>
  <c r="I200" i="1"/>
  <c r="I17" i="1"/>
  <c r="J198" i="2"/>
  <c r="A403" i="2"/>
  <c r="A172" i="2"/>
  <c r="A587" i="2"/>
  <c r="A820" i="2"/>
  <c r="A124" i="2"/>
  <c r="A355" i="2"/>
  <c r="A724" i="2"/>
  <c r="A491" i="2"/>
  <c r="J54" i="2"/>
  <c r="A28" i="2"/>
  <c r="A259" i="2"/>
  <c r="I182" i="1"/>
  <c r="A93" i="2"/>
  <c r="A682" i="2"/>
  <c r="A450" i="2"/>
  <c r="A171" i="2"/>
  <c r="A867" i="2"/>
  <c r="A402" i="2"/>
  <c r="A835" i="2"/>
  <c r="J165" i="2"/>
  <c r="A139" i="2"/>
  <c r="A819" i="2"/>
  <c r="J149" i="2"/>
  <c r="A123" i="2"/>
  <c r="A586" i="2"/>
  <c r="A91" i="2"/>
  <c r="J117" i="2"/>
  <c r="J36" i="2"/>
  <c r="A473" i="2"/>
  <c r="A706" i="2"/>
  <c r="B284" i="2"/>
  <c r="C284" i="2" s="1"/>
  <c r="B53" i="2"/>
  <c r="C53" i="2" s="1"/>
  <c r="I132" i="1"/>
  <c r="I65" i="1"/>
  <c r="I33" i="1"/>
  <c r="B276" i="2"/>
  <c r="C276" i="2" s="1"/>
  <c r="A649" i="2"/>
  <c r="A186" i="2"/>
  <c r="A417" i="2"/>
  <c r="A882" i="2"/>
  <c r="A617" i="2"/>
  <c r="A850" i="2"/>
  <c r="A385" i="2"/>
  <c r="A154" i="2"/>
  <c r="J132" i="2"/>
  <c r="A337" i="2"/>
  <c r="J100" i="2"/>
  <c r="A74" i="2"/>
  <c r="J68" i="2"/>
  <c r="A738" i="2"/>
  <c r="A240" i="2"/>
  <c r="A9" i="2"/>
  <c r="J35" i="2"/>
  <c r="B157" i="2"/>
  <c r="C157" i="2" s="1"/>
  <c r="B388" i="2"/>
  <c r="C388" i="2" s="1"/>
  <c r="B359" i="2"/>
  <c r="C359" i="2" s="1"/>
  <c r="B128" i="2"/>
  <c r="C128" i="2" s="1"/>
  <c r="B264" i="2"/>
  <c r="C264" i="2" s="1"/>
  <c r="B33" i="2"/>
  <c r="C33" i="2" s="1"/>
  <c r="B245" i="2"/>
  <c r="C245" i="2" s="1"/>
  <c r="B14" i="2"/>
  <c r="C14" i="2" s="1"/>
  <c r="I131" i="1"/>
  <c r="A42" i="2"/>
  <c r="B427" i="2"/>
  <c r="C427" i="2" s="1"/>
  <c r="B265" i="2"/>
  <c r="C265" i="2" s="1"/>
  <c r="J227" i="2"/>
  <c r="A201" i="2"/>
  <c r="A865" i="2"/>
  <c r="A400" i="2"/>
  <c r="A849" i="2"/>
  <c r="A153" i="2"/>
  <c r="A352" i="2"/>
  <c r="A121" i="2"/>
  <c r="A584" i="2"/>
  <c r="A89" i="2"/>
  <c r="A785" i="2"/>
  <c r="A288" i="2"/>
  <c r="J83" i="2"/>
  <c r="A520" i="2"/>
  <c r="A504" i="2"/>
  <c r="A737" i="2"/>
  <c r="J67" i="2"/>
  <c r="B204" i="2"/>
  <c r="C204" i="2" s="1"/>
  <c r="B435" i="2"/>
  <c r="C435" i="2" s="1"/>
  <c r="B415" i="2"/>
  <c r="C415" i="2" s="1"/>
  <c r="B184" i="2"/>
  <c r="C184" i="2" s="1"/>
  <c r="B406" i="2"/>
  <c r="C406" i="2" s="1"/>
  <c r="B175" i="2"/>
  <c r="C175" i="2" s="1"/>
  <c r="B377" i="2"/>
  <c r="C377" i="2" s="1"/>
  <c r="B146" i="2"/>
  <c r="C146" i="2" s="1"/>
  <c r="B263" i="2"/>
  <c r="C263" i="2" s="1"/>
  <c r="B32" i="2"/>
  <c r="C32" i="2" s="1"/>
  <c r="I113" i="1"/>
  <c r="I97" i="1"/>
  <c r="I13" i="1"/>
  <c r="B121" i="2"/>
  <c r="C121" i="2" s="1"/>
  <c r="B101" i="2"/>
  <c r="C101" i="2" s="1"/>
  <c r="B81" i="2"/>
  <c r="C81" i="2" s="1"/>
  <c r="A60" i="2"/>
  <c r="B41" i="2"/>
  <c r="C41" i="2" s="1"/>
  <c r="A20" i="2"/>
  <c r="A10" i="2"/>
  <c r="B437" i="2"/>
  <c r="C437" i="2" s="1"/>
  <c r="A384" i="2"/>
  <c r="B341" i="2"/>
  <c r="C341" i="2" s="1"/>
  <c r="A274" i="2"/>
  <c r="A241" i="2"/>
  <c r="A665" i="2"/>
  <c r="A619" i="2"/>
  <c r="A471" i="2"/>
  <c r="A868" i="2"/>
  <c r="J150" i="2"/>
  <c r="J242" i="2"/>
  <c r="A912" i="2"/>
  <c r="A216" i="2"/>
  <c r="A431" i="2"/>
  <c r="J226" i="2"/>
  <c r="J210" i="2"/>
  <c r="A880" i="2"/>
  <c r="A864" i="2"/>
  <c r="A631" i="2"/>
  <c r="J194" i="2"/>
  <c r="J178" i="2"/>
  <c r="A152" i="2"/>
  <c r="A615" i="2"/>
  <c r="A832" i="2"/>
  <c r="A599" i="2"/>
  <c r="J162" i="2"/>
  <c r="A367" i="2"/>
  <c r="J146" i="2"/>
  <c r="A583" i="2"/>
  <c r="A104" i="2"/>
  <c r="A335" i="2"/>
  <c r="J130" i="2"/>
  <c r="J114" i="2"/>
  <c r="A784" i="2"/>
  <c r="A319" i="2"/>
  <c r="A551" i="2"/>
  <c r="A535" i="2"/>
  <c r="A303" i="2"/>
  <c r="A752" i="2"/>
  <c r="J82" i="2"/>
  <c r="A287" i="2"/>
  <c r="A503" i="2"/>
  <c r="J66" i="2"/>
  <c r="A271" i="2"/>
  <c r="A40" i="2"/>
  <c r="A703" i="2"/>
  <c r="J33" i="2"/>
  <c r="A470" i="2"/>
  <c r="A238" i="2"/>
  <c r="A7" i="2"/>
  <c r="B213" i="2"/>
  <c r="C213" i="2" s="1"/>
  <c r="B444" i="2"/>
  <c r="C444" i="2" s="1"/>
  <c r="B193" i="2"/>
  <c r="C193" i="2" s="1"/>
  <c r="B424" i="2"/>
  <c r="C424" i="2" s="1"/>
  <c r="B387" i="2"/>
  <c r="C387" i="2" s="1"/>
  <c r="B156" i="2"/>
  <c r="C156" i="2" s="1"/>
  <c r="B292" i="2"/>
  <c r="C292" i="2" s="1"/>
  <c r="B61" i="2"/>
  <c r="C61" i="2" s="1"/>
  <c r="I146" i="1"/>
  <c r="I112" i="1"/>
  <c r="A217" i="2"/>
  <c r="A180" i="2"/>
  <c r="B80" i="2"/>
  <c r="C80" i="2" s="1"/>
  <c r="A41" i="2"/>
  <c r="A447" i="2"/>
  <c r="A415" i="2"/>
  <c r="A351" i="2"/>
  <c r="A913" i="2"/>
  <c r="A898" i="2"/>
  <c r="A884" i="2"/>
  <c r="J163" i="2"/>
  <c r="J147" i="2"/>
  <c r="J49" i="2"/>
  <c r="B98" i="2"/>
  <c r="C98" i="2" s="1"/>
  <c r="B329" i="2"/>
  <c r="C329" i="2" s="1"/>
  <c r="B723" i="2"/>
  <c r="C723" i="2" s="1"/>
  <c r="K53" i="2"/>
  <c r="L53" i="2" s="1"/>
  <c r="B490" i="2"/>
  <c r="C490" i="2" s="1"/>
  <c r="J25" i="1"/>
  <c r="B120" i="2"/>
  <c r="C120" i="2" s="1"/>
  <c r="B99" i="2"/>
  <c r="C99" i="2" s="1"/>
  <c r="B79" i="2"/>
  <c r="C79" i="2" s="1"/>
  <c r="A29" i="2"/>
  <c r="A436" i="2"/>
  <c r="A383" i="2"/>
  <c r="B362" i="2"/>
  <c r="C362" i="2" s="1"/>
  <c r="A664" i="2"/>
  <c r="A572" i="2"/>
  <c r="A519" i="2"/>
  <c r="B773" i="2"/>
  <c r="C773" i="2" s="1"/>
  <c r="J197" i="2"/>
  <c r="J115" i="2"/>
  <c r="J98" i="2"/>
  <c r="B140" i="2"/>
  <c r="C140" i="2" s="1"/>
  <c r="B371" i="2"/>
  <c r="C371" i="2" s="1"/>
  <c r="B266" i="2"/>
  <c r="C266" i="2" s="1"/>
  <c r="B35" i="2"/>
  <c r="C35" i="2" s="1"/>
  <c r="I218" i="1"/>
  <c r="I168" i="1"/>
  <c r="I36" i="1"/>
  <c r="A917" i="2"/>
  <c r="A221" i="2"/>
  <c r="A684" i="2"/>
  <c r="A452" i="2"/>
  <c r="J215" i="2"/>
  <c r="A885" i="2"/>
  <c r="A420" i="2"/>
  <c r="J183" i="2"/>
  <c r="A853" i="2"/>
  <c r="J151" i="2"/>
  <c r="A356" i="2"/>
  <c r="A821" i="2"/>
  <c r="A588" i="2"/>
  <c r="A292" i="2"/>
  <c r="A61" i="2"/>
  <c r="A741" i="2"/>
  <c r="A276" i="2"/>
  <c r="A508" i="2"/>
  <c r="A708" i="2"/>
  <c r="A243" i="2"/>
  <c r="B64" i="2"/>
  <c r="C64" i="2" s="1"/>
  <c r="B295" i="2"/>
  <c r="C295" i="2" s="1"/>
  <c r="I217" i="1"/>
  <c r="I167" i="1"/>
  <c r="I35" i="1"/>
  <c r="A125" i="2"/>
  <c r="A12" i="2"/>
  <c r="B333" i="2"/>
  <c r="C333" i="2" s="1"/>
  <c r="B645" i="2"/>
  <c r="C645" i="2" s="1"/>
  <c r="J38" i="2"/>
  <c r="A916" i="2"/>
  <c r="A451" i="2"/>
  <c r="A220" i="2"/>
  <c r="J246" i="2"/>
  <c r="A852" i="2"/>
  <c r="A156" i="2"/>
  <c r="A387" i="2"/>
  <c r="A371" i="2"/>
  <c r="A836" i="2"/>
  <c r="A571" i="2"/>
  <c r="A108" i="2"/>
  <c r="A323" i="2"/>
  <c r="A92" i="2"/>
  <c r="A788" i="2"/>
  <c r="J118" i="2"/>
  <c r="A76" i="2"/>
  <c r="A772" i="2"/>
  <c r="J102" i="2"/>
  <c r="A539" i="2"/>
  <c r="A291" i="2"/>
  <c r="A756" i="2"/>
  <c r="J70" i="2"/>
  <c r="A740" i="2"/>
  <c r="A507" i="2"/>
  <c r="A275" i="2"/>
  <c r="J37" i="2"/>
  <c r="A707" i="2"/>
  <c r="A242" i="2"/>
  <c r="B417" i="2"/>
  <c r="C417" i="2" s="1"/>
  <c r="B186" i="2"/>
  <c r="C186" i="2" s="1"/>
  <c r="I199" i="1"/>
  <c r="I150" i="1"/>
  <c r="I16" i="1"/>
  <c r="B418" i="2"/>
  <c r="C418" i="2" s="1"/>
  <c r="A620" i="2"/>
  <c r="A524" i="2"/>
  <c r="J87" i="2"/>
  <c r="J71" i="2"/>
  <c r="A899" i="2"/>
  <c r="A666" i="2"/>
  <c r="A203" i="2"/>
  <c r="A434" i="2"/>
  <c r="J229" i="2"/>
  <c r="A883" i="2"/>
  <c r="A418" i="2"/>
  <c r="A650" i="2"/>
  <c r="J181" i="2"/>
  <c r="A618" i="2"/>
  <c r="A803" i="2"/>
  <c r="J133" i="2"/>
  <c r="A338" i="2"/>
  <c r="A570" i="2"/>
  <c r="J101" i="2"/>
  <c r="A306" i="2"/>
  <c r="A538" i="2"/>
  <c r="A771" i="2"/>
  <c r="A522" i="2"/>
  <c r="J85" i="2"/>
  <c r="A722" i="2"/>
  <c r="A489" i="2"/>
  <c r="A26" i="2"/>
  <c r="B369" i="2"/>
  <c r="C369" i="2" s="1"/>
  <c r="B138" i="2"/>
  <c r="C138" i="2" s="1"/>
  <c r="B255" i="2"/>
  <c r="C255" i="2" s="1"/>
  <c r="B24" i="2"/>
  <c r="C24" i="2" s="1"/>
  <c r="I181" i="1"/>
  <c r="I149" i="1"/>
  <c r="I49" i="1"/>
  <c r="I80" i="1"/>
  <c r="J180" i="1"/>
  <c r="B82" i="2"/>
  <c r="C82" i="2" s="1"/>
  <c r="K251" i="2"/>
  <c r="L251" i="2" s="1"/>
  <c r="J86" i="2"/>
  <c r="A914" i="2"/>
  <c r="J244" i="2"/>
  <c r="A866" i="2"/>
  <c r="A401" i="2"/>
  <c r="J196" i="2"/>
  <c r="A170" i="2"/>
  <c r="A633" i="2"/>
  <c r="J164" i="2"/>
  <c r="A369" i="2"/>
  <c r="A818" i="2"/>
  <c r="J148" i="2"/>
  <c r="A353" i="2"/>
  <c r="A786" i="2"/>
  <c r="A553" i="2"/>
  <c r="J116" i="2"/>
  <c r="A321" i="2"/>
  <c r="A521" i="2"/>
  <c r="J84" i="2"/>
  <c r="A58" i="2"/>
  <c r="A754" i="2"/>
  <c r="A721" i="2"/>
  <c r="A488" i="2"/>
  <c r="J51" i="2"/>
  <c r="B293" i="2"/>
  <c r="C293" i="2" s="1"/>
  <c r="B62" i="2"/>
  <c r="C62" i="2" s="1"/>
  <c r="I164" i="1"/>
  <c r="I114" i="1"/>
  <c r="I81" i="1"/>
  <c r="A173" i="2"/>
  <c r="A122" i="2"/>
  <c r="A11" i="2"/>
  <c r="A354" i="2"/>
  <c r="B331" i="2"/>
  <c r="C331" i="2" s="1"/>
  <c r="A667" i="2"/>
  <c r="A585" i="2"/>
  <c r="A915" i="2"/>
  <c r="A416" i="2"/>
  <c r="A648" i="2"/>
  <c r="J131" i="2"/>
  <c r="A801" i="2"/>
  <c r="A336" i="2"/>
  <c r="A568" i="2"/>
  <c r="A769" i="2"/>
  <c r="A304" i="2"/>
  <c r="A24" i="2"/>
  <c r="A255" i="2"/>
  <c r="J240" i="2"/>
  <c r="A214" i="2"/>
  <c r="A677" i="2"/>
  <c r="J224" i="2"/>
  <c r="A894" i="2"/>
  <c r="J208" i="2"/>
  <c r="A878" i="2"/>
  <c r="A645" i="2"/>
  <c r="A182" i="2"/>
  <c r="J192" i="2"/>
  <c r="A862" i="2"/>
  <c r="A846" i="2"/>
  <c r="J176" i="2"/>
  <c r="A613" i="2"/>
  <c r="A150" i="2"/>
  <c r="J160" i="2"/>
  <c r="A597" i="2"/>
  <c r="A581" i="2"/>
  <c r="A814" i="2"/>
  <c r="J144" i="2"/>
  <c r="A118" i="2"/>
  <c r="A798" i="2"/>
  <c r="A333" i="2"/>
  <c r="J128" i="2"/>
  <c r="A102" i="2"/>
  <c r="A317" i="2"/>
  <c r="A549" i="2"/>
  <c r="A86" i="2"/>
  <c r="A70" i="2"/>
  <c r="A301" i="2"/>
  <c r="A750" i="2"/>
  <c r="A54" i="2"/>
  <c r="J64" i="2"/>
  <c r="A269" i="2"/>
  <c r="A734" i="2"/>
  <c r="A38" i="2"/>
  <c r="J47" i="2"/>
  <c r="A484" i="2"/>
  <c r="A21" i="2"/>
  <c r="A717" i="2"/>
  <c r="A252" i="2"/>
  <c r="A701" i="2"/>
  <c r="A468" i="2"/>
  <c r="B221" i="2"/>
  <c r="C221" i="2" s="1"/>
  <c r="B452" i="2"/>
  <c r="C452" i="2" s="1"/>
  <c r="B395" i="2"/>
  <c r="C395" i="2" s="1"/>
  <c r="B164" i="2"/>
  <c r="C164" i="2" s="1"/>
  <c r="B30" i="2"/>
  <c r="C30" i="2" s="1"/>
  <c r="B261" i="2"/>
  <c r="C261" i="2" s="1"/>
  <c r="B21" i="2"/>
  <c r="C21" i="2" s="1"/>
  <c r="B252" i="2"/>
  <c r="C252" i="2" s="1"/>
  <c r="I144" i="1"/>
  <c r="I126" i="1"/>
  <c r="I94" i="1"/>
  <c r="I76" i="1"/>
  <c r="B205" i="2"/>
  <c r="C205" i="2" s="1"/>
  <c r="A169" i="2"/>
  <c r="B150" i="2"/>
  <c r="C150" i="2" s="1"/>
  <c r="B89" i="2"/>
  <c r="C89" i="2" s="1"/>
  <c r="A59" i="2"/>
  <c r="A8" i="2"/>
  <c r="B446" i="2"/>
  <c r="C446" i="2" s="1"/>
  <c r="A435" i="2"/>
  <c r="A404" i="2"/>
  <c r="B340" i="2"/>
  <c r="C340" i="2" s="1"/>
  <c r="A307" i="2"/>
  <c r="B283" i="2"/>
  <c r="C283" i="2" s="1"/>
  <c r="A273" i="2"/>
  <c r="A506" i="2"/>
  <c r="A897" i="2"/>
  <c r="A851" i="2"/>
  <c r="A837" i="2"/>
  <c r="A705" i="2"/>
  <c r="J212" i="2"/>
  <c r="J180" i="2"/>
  <c r="J80" i="2"/>
  <c r="J31" i="2"/>
  <c r="A909" i="2"/>
  <c r="A676" i="2"/>
  <c r="A444" i="2"/>
  <c r="A213" i="2"/>
  <c r="A660" i="2"/>
  <c r="A428" i="2"/>
  <c r="A877" i="2"/>
  <c r="J207" i="2"/>
  <c r="A412" i="2"/>
  <c r="A644" i="2"/>
  <c r="J191" i="2"/>
  <c r="A165" i="2"/>
  <c r="A628" i="2"/>
  <c r="A396" i="2"/>
  <c r="J175" i="2"/>
  <c r="A380" i="2"/>
  <c r="A845" i="2"/>
  <c r="A149" i="2"/>
  <c r="J159" i="2"/>
  <c r="A596" i="2"/>
  <c r="A133" i="2"/>
  <c r="A813" i="2"/>
  <c r="A348" i="2"/>
  <c r="J143" i="2"/>
  <c r="J127" i="2"/>
  <c r="A332" i="2"/>
  <c r="A101" i="2"/>
  <c r="A797" i="2"/>
  <c r="A781" i="2"/>
  <c r="J111" i="2"/>
  <c r="A316" i="2"/>
  <c r="A548" i="2"/>
  <c r="J95" i="2"/>
  <c r="A532" i="2"/>
  <c r="A69" i="2"/>
  <c r="A765" i="2"/>
  <c r="A516" i="2"/>
  <c r="A284" i="2"/>
  <c r="J79" i="2"/>
  <c r="J63" i="2"/>
  <c r="A500" i="2"/>
  <c r="A733" i="2"/>
  <c r="A251" i="2"/>
  <c r="J46" i="2"/>
  <c r="B394" i="2"/>
  <c r="C394" i="2" s="1"/>
  <c r="B163" i="2"/>
  <c r="C163" i="2" s="1"/>
  <c r="B385" i="2"/>
  <c r="C385" i="2" s="1"/>
  <c r="B154" i="2"/>
  <c r="C154" i="2" s="1"/>
  <c r="I2" i="1"/>
  <c r="I209" i="1"/>
  <c r="I125" i="1"/>
  <c r="I109" i="1"/>
  <c r="I93" i="1"/>
  <c r="K170" i="2"/>
  <c r="L170" i="2" s="1"/>
  <c r="B840" i="2"/>
  <c r="C840" i="2" s="1"/>
  <c r="B607" i="2"/>
  <c r="C607" i="2" s="1"/>
  <c r="A205" i="2"/>
  <c r="A188" i="2"/>
  <c r="A140" i="2"/>
  <c r="A109" i="2"/>
  <c r="B6" i="2"/>
  <c r="C6" i="2" s="1"/>
  <c r="B455" i="2"/>
  <c r="C455" i="2" s="1"/>
  <c r="A372" i="2"/>
  <c r="B360" i="2"/>
  <c r="C360" i="2" s="1"/>
  <c r="B238" i="2"/>
  <c r="C238" i="2" s="1"/>
  <c r="A652" i="2"/>
  <c r="A603" i="2"/>
  <c r="A556" i="2"/>
  <c r="A804" i="2"/>
  <c r="A789" i="2"/>
  <c r="A739" i="2"/>
  <c r="A704" i="2"/>
  <c r="J247" i="2"/>
  <c r="J230" i="2"/>
  <c r="J195" i="2"/>
  <c r="J179" i="2"/>
  <c r="J112" i="2"/>
  <c r="A908" i="2"/>
  <c r="A675" i="2"/>
  <c r="A443" i="2"/>
  <c r="A892" i="2"/>
  <c r="A427" i="2"/>
  <c r="J222" i="2"/>
  <c r="A196" i="2"/>
  <c r="A659" i="2"/>
  <c r="A860" i="2"/>
  <c r="J190" i="2"/>
  <c r="A164" i="2"/>
  <c r="A395" i="2"/>
  <c r="A611" i="2"/>
  <c r="A379" i="2"/>
  <c r="A363" i="2"/>
  <c r="J158" i="2"/>
  <c r="A595" i="2"/>
  <c r="J142" i="2"/>
  <c r="A812" i="2"/>
  <c r="A116" i="2"/>
  <c r="A347" i="2"/>
  <c r="J126" i="2"/>
  <c r="A100" i="2"/>
  <c r="A780" i="2"/>
  <c r="A547" i="2"/>
  <c r="A299" i="2"/>
  <c r="J94" i="2"/>
  <c r="A52" i="2"/>
  <c r="J78" i="2"/>
  <c r="A748" i="2"/>
  <c r="J62" i="2"/>
  <c r="A499" i="2"/>
  <c r="A482" i="2"/>
  <c r="A250" i="2"/>
  <c r="B422" i="2"/>
  <c r="C422" i="2" s="1"/>
  <c r="B191" i="2"/>
  <c r="C191" i="2" s="1"/>
  <c r="B68" i="2"/>
  <c r="C68" i="2" s="1"/>
  <c r="B299" i="2"/>
  <c r="C299" i="2" s="1"/>
  <c r="I108" i="1"/>
  <c r="I58" i="1"/>
  <c r="B214" i="2"/>
  <c r="C214" i="2" s="1"/>
  <c r="B139" i="2"/>
  <c r="C139" i="2" s="1"/>
  <c r="B119" i="2"/>
  <c r="C119" i="2" s="1"/>
  <c r="A37" i="2"/>
  <c r="A445" i="2"/>
  <c r="A381" i="2"/>
  <c r="A349" i="2"/>
  <c r="A272" i="2"/>
  <c r="A651" i="2"/>
  <c r="A627" i="2"/>
  <c r="A616" i="2"/>
  <c r="A569" i="2"/>
  <c r="A517" i="2"/>
  <c r="A505" i="2"/>
  <c r="A492" i="2"/>
  <c r="A910" i="2"/>
  <c r="B878" i="2"/>
  <c r="C878" i="2" s="1"/>
  <c r="A817" i="2"/>
  <c r="A802" i="2"/>
  <c r="A787" i="2"/>
  <c r="A770" i="2"/>
  <c r="A755" i="2"/>
  <c r="A720" i="2"/>
  <c r="J228" i="2"/>
  <c r="J96" i="2"/>
  <c r="B346" i="2"/>
  <c r="C346" i="2" s="1"/>
  <c r="B115" i="2"/>
  <c r="C115" i="2" s="1"/>
  <c r="I107" i="1"/>
  <c r="I57" i="1"/>
  <c r="A204" i="2"/>
  <c r="A187" i="2"/>
  <c r="A138" i="2"/>
  <c r="A107" i="2"/>
  <c r="A88" i="2"/>
  <c r="A57" i="2"/>
  <c r="B26" i="2"/>
  <c r="C26" i="2" s="1"/>
  <c r="B16" i="2"/>
  <c r="C16" i="2" s="1"/>
  <c r="B5" i="2"/>
  <c r="C5" i="2" s="1"/>
  <c r="A433" i="2"/>
  <c r="B423" i="2"/>
  <c r="C423" i="2" s="1"/>
  <c r="A413" i="2"/>
  <c r="A339" i="2"/>
  <c r="A315" i="2"/>
  <c r="A305" i="2"/>
  <c r="B294" i="2"/>
  <c r="C294" i="2" s="1"/>
  <c r="B271" i="2"/>
  <c r="C271" i="2" s="1"/>
  <c r="A260" i="2"/>
  <c r="A602" i="2"/>
  <c r="A580" i="2"/>
  <c r="A567" i="2"/>
  <c r="A555" i="2"/>
  <c r="A893" i="2"/>
  <c r="A876" i="2"/>
  <c r="A834" i="2"/>
  <c r="J245" i="2"/>
  <c r="J211" i="2"/>
  <c r="J110" i="2"/>
  <c r="J45" i="2"/>
  <c r="C225" i="1"/>
  <c r="B22" i="2"/>
  <c r="C22" i="2" s="1"/>
  <c r="A223" i="2"/>
  <c r="B172" i="2"/>
  <c r="C172" i="2" s="1"/>
  <c r="A906" i="2"/>
  <c r="A210" i="2"/>
  <c r="J236" i="2"/>
  <c r="J220" i="2"/>
  <c r="A890" i="2"/>
  <c r="A657" i="2"/>
  <c r="A425" i="2"/>
  <c r="A625" i="2"/>
  <c r="A162" i="2"/>
  <c r="A826" i="2"/>
  <c r="A593" i="2"/>
  <c r="A130" i="2"/>
  <c r="A794" i="2"/>
  <c r="A329" i="2"/>
  <c r="A561" i="2"/>
  <c r="A82" i="2"/>
  <c r="A545" i="2"/>
  <c r="J92" i="2"/>
  <c r="A529" i="2"/>
  <c r="J43" i="2"/>
  <c r="A248" i="2"/>
  <c r="I193" i="1"/>
  <c r="I177" i="1"/>
  <c r="I161" i="1"/>
  <c r="I145" i="1"/>
  <c r="I61" i="1"/>
  <c r="I45" i="1"/>
  <c r="I29" i="1"/>
  <c r="A227" i="1"/>
  <c r="B200" i="2"/>
  <c r="C200" i="2" s="1"/>
  <c r="B78" i="2"/>
  <c r="C78" i="2" s="1"/>
  <c r="B39" i="2"/>
  <c r="C39" i="2" s="1"/>
  <c r="A17" i="2"/>
  <c r="B419" i="2"/>
  <c r="C419" i="2" s="1"/>
  <c r="A606" i="2"/>
  <c r="A454" i="2"/>
  <c r="J249" i="2"/>
  <c r="A670" i="2"/>
  <c r="A903" i="2"/>
  <c r="A207" i="2"/>
  <c r="A871" i="2"/>
  <c r="A406" i="2"/>
  <c r="A175" i="2"/>
  <c r="J201" i="2"/>
  <c r="A638" i="2"/>
  <c r="A855" i="2"/>
  <c r="A390" i="2"/>
  <c r="A159" i="2"/>
  <c r="A622" i="2"/>
  <c r="J153" i="2"/>
  <c r="A823" i="2"/>
  <c r="J121" i="2"/>
  <c r="A326" i="2"/>
  <c r="A791" i="2"/>
  <c r="J89" i="2"/>
  <c r="A63" i="2"/>
  <c r="A526" i="2"/>
  <c r="A226" i="1"/>
  <c r="A743" i="2"/>
  <c r="A47" i="2"/>
  <c r="A278" i="2"/>
  <c r="A727" i="2"/>
  <c r="J57" i="2"/>
  <c r="A477" i="2"/>
  <c r="A710" i="2"/>
  <c r="B456" i="2"/>
  <c r="C456" i="2" s="1"/>
  <c r="B225" i="2"/>
  <c r="C225" i="2" s="1"/>
  <c r="B428" i="2"/>
  <c r="C428" i="2" s="1"/>
  <c r="B197" i="2"/>
  <c r="C197" i="2" s="1"/>
  <c r="B372" i="2"/>
  <c r="C372" i="2" s="1"/>
  <c r="B141" i="2"/>
  <c r="C141" i="2" s="1"/>
  <c r="A294" i="2"/>
  <c r="A558" i="2"/>
  <c r="J216" i="2"/>
  <c r="A886" i="2"/>
  <c r="A870" i="2"/>
  <c r="A405" i="2"/>
  <c r="A621" i="2"/>
  <c r="J184" i="2"/>
  <c r="A389" i="2"/>
  <c r="A838" i="2"/>
  <c r="A605" i="2"/>
  <c r="A373" i="2"/>
  <c r="A142" i="2"/>
  <c r="J168" i="2"/>
  <c r="J120" i="2"/>
  <c r="A325" i="2"/>
  <c r="A774" i="2"/>
  <c r="A541" i="2"/>
  <c r="J104" i="2"/>
  <c r="A758" i="2"/>
  <c r="A525" i="2"/>
  <c r="A293" i="2"/>
  <c r="A742" i="2"/>
  <c r="A277" i="2"/>
  <c r="A46" i="2"/>
  <c r="A493" i="2"/>
  <c r="A261" i="2"/>
  <c r="J56" i="2"/>
  <c r="A726" i="2"/>
  <c r="J39" i="2"/>
  <c r="A13" i="2"/>
  <c r="A476" i="2"/>
  <c r="A244" i="2"/>
  <c r="I189" i="1"/>
  <c r="I173" i="1"/>
  <c r="I157" i="1"/>
  <c r="I141" i="1"/>
  <c r="A229" i="1"/>
  <c r="A206" i="2"/>
  <c r="B107" i="2"/>
  <c r="C107" i="2" s="1"/>
  <c r="A361" i="2"/>
  <c r="A310" i="2"/>
  <c r="A709" i="2"/>
  <c r="J252" i="2"/>
  <c r="J209" i="2"/>
  <c r="A414" i="2"/>
  <c r="A630" i="2"/>
  <c r="J193" i="2"/>
  <c r="A831" i="2"/>
  <c r="A135" i="2"/>
  <c r="A815" i="2"/>
  <c r="A350" i="2"/>
  <c r="A718" i="2"/>
  <c r="J48" i="2"/>
  <c r="A253" i="2"/>
  <c r="J32" i="2"/>
  <c r="A702" i="2"/>
  <c r="A225" i="1"/>
  <c r="A215" i="2"/>
  <c r="A55" i="2"/>
  <c r="A35" i="2"/>
  <c r="A446" i="2"/>
  <c r="A410" i="2"/>
  <c r="A270" i="2"/>
  <c r="A646" i="2"/>
  <c r="A469" i="2"/>
  <c r="A891" i="2"/>
  <c r="J141" i="2"/>
  <c r="J30" i="2"/>
  <c r="A700" i="2"/>
  <c r="A467" i="2"/>
  <c r="A4" i="2"/>
  <c r="A235" i="2"/>
  <c r="A907" i="2"/>
  <c r="J237" i="2"/>
  <c r="A843" i="2"/>
  <c r="A610" i="2"/>
  <c r="A378" i="2"/>
  <c r="J157" i="2"/>
  <c r="A827" i="2"/>
  <c r="J125" i="2"/>
  <c r="A562" i="2"/>
  <c r="A298" i="2"/>
  <c r="J93" i="2"/>
  <c r="A747" i="2"/>
  <c r="A514" i="2"/>
  <c r="J77" i="2"/>
  <c r="A282" i="2"/>
  <c r="A67" i="2"/>
  <c r="A6" i="2"/>
  <c r="A394" i="2"/>
  <c r="A366" i="2"/>
  <c r="A314" i="2"/>
  <c r="A502" i="2"/>
  <c r="A485" i="2"/>
  <c r="A811" i="2"/>
  <c r="A714" i="2"/>
  <c r="J205" i="2"/>
  <c r="A27" i="2"/>
  <c r="B781" i="2" l="1"/>
  <c r="C781" i="2" s="1"/>
  <c r="J8" i="1"/>
  <c r="K111" i="2"/>
  <c r="L111" i="2" s="1"/>
  <c r="B548" i="2"/>
  <c r="C548" i="2" s="1"/>
  <c r="K36" i="2"/>
  <c r="L36" i="2" s="1"/>
  <c r="K76" i="2"/>
  <c r="L76" i="2" s="1"/>
  <c r="B706" i="2"/>
  <c r="C706" i="2" s="1"/>
  <c r="K59" i="2"/>
  <c r="L59" i="2" s="1"/>
  <c r="B798" i="2"/>
  <c r="C798" i="2" s="1"/>
  <c r="K52" i="2"/>
  <c r="L52" i="2" s="1"/>
  <c r="B472" i="2"/>
  <c r="C472" i="2" s="1"/>
  <c r="J100" i="1"/>
  <c r="B722" i="2"/>
  <c r="C722" i="2" s="1"/>
  <c r="B921" i="2"/>
  <c r="C921" i="2" s="1"/>
  <c r="B531" i="2"/>
  <c r="C531" i="2" s="1"/>
  <c r="K35" i="2"/>
  <c r="L35" i="2" s="1"/>
  <c r="K128" i="2"/>
  <c r="L128" i="2" s="1"/>
  <c r="J24" i="1"/>
  <c r="B888" i="2"/>
  <c r="C888" i="2" s="1"/>
  <c r="K263" i="2"/>
  <c r="N4" i="2"/>
  <c r="J48" i="1"/>
  <c r="K202" i="2"/>
  <c r="L202" i="2" s="1"/>
  <c r="K267" i="2"/>
  <c r="B688" i="2"/>
  <c r="C688" i="2" s="1"/>
  <c r="B764" i="2"/>
  <c r="C764" i="2" s="1"/>
  <c r="K264" i="2"/>
  <c r="N5" i="2"/>
  <c r="B539" i="2"/>
  <c r="C539" i="2" s="1"/>
  <c r="B612" i="2"/>
  <c r="C612" i="2" s="1"/>
  <c r="N8" i="2"/>
  <c r="J74" i="1"/>
  <c r="B846" i="2"/>
  <c r="C846" i="2" s="1"/>
  <c r="J31" i="1"/>
  <c r="K102" i="2"/>
  <c r="L102" i="2" s="1"/>
  <c r="K265" i="2"/>
  <c r="N6" i="2"/>
  <c r="K235" i="2"/>
  <c r="L235" i="2" s="1"/>
  <c r="B613" i="2"/>
  <c r="C613" i="2" s="1"/>
  <c r="B496" i="2"/>
  <c r="C496" i="2" s="1"/>
  <c r="B601" i="2"/>
  <c r="C601" i="2" s="1"/>
  <c r="J224" i="1"/>
  <c r="J126" i="1"/>
  <c r="B824" i="2"/>
  <c r="C824" i="2" s="1"/>
  <c r="K154" i="2"/>
  <c r="L154" i="2" s="1"/>
  <c r="B591" i="2"/>
  <c r="C591" i="2" s="1"/>
  <c r="K81" i="2"/>
  <c r="L81" i="2" s="1"/>
  <c r="B518" i="2"/>
  <c r="C518" i="2" s="1"/>
  <c r="J53" i="1"/>
  <c r="B751" i="2"/>
  <c r="C751" i="2" s="1"/>
  <c r="B802" i="2"/>
  <c r="C802" i="2" s="1"/>
  <c r="B569" i="2"/>
  <c r="C569" i="2" s="1"/>
  <c r="K132" i="2"/>
  <c r="L132" i="2" s="1"/>
  <c r="J104" i="1"/>
  <c r="B609" i="2"/>
  <c r="C609" i="2" s="1"/>
  <c r="B842" i="2"/>
  <c r="C842" i="2" s="1"/>
  <c r="J144" i="1"/>
  <c r="K172" i="2"/>
  <c r="L172" i="2" s="1"/>
  <c r="B800" i="2"/>
  <c r="C800" i="2" s="1"/>
  <c r="B567" i="2"/>
  <c r="C567" i="2" s="1"/>
  <c r="K130" i="2"/>
  <c r="L130" i="2" s="1"/>
  <c r="J102" i="1"/>
  <c r="K147" i="2"/>
  <c r="L147" i="2" s="1"/>
  <c r="B817" i="2"/>
  <c r="C817" i="2" s="1"/>
  <c r="B584" i="2"/>
  <c r="C584" i="2" s="1"/>
  <c r="J119" i="1"/>
  <c r="K198" i="2"/>
  <c r="L198" i="2" s="1"/>
  <c r="J170" i="1"/>
  <c r="B868" i="2"/>
  <c r="C868" i="2" s="1"/>
  <c r="B635" i="2"/>
  <c r="C635" i="2" s="1"/>
  <c r="B766" i="2"/>
  <c r="C766" i="2" s="1"/>
  <c r="B533" i="2"/>
  <c r="C533" i="2" s="1"/>
  <c r="K96" i="2"/>
  <c r="L96" i="2" s="1"/>
  <c r="J68" i="1"/>
  <c r="B469" i="2"/>
  <c r="C469" i="2" s="1"/>
  <c r="K32" i="2"/>
  <c r="L32" i="2" s="1"/>
  <c r="J4" i="1"/>
  <c r="B702" i="2"/>
  <c r="C702" i="2" s="1"/>
  <c r="B618" i="2"/>
  <c r="C618" i="2" s="1"/>
  <c r="K181" i="2"/>
  <c r="L181" i="2" s="1"/>
  <c r="J153" i="1"/>
  <c r="B851" i="2"/>
  <c r="C851" i="2" s="1"/>
  <c r="K180" i="2"/>
  <c r="L180" i="2" s="1"/>
  <c r="J152" i="1"/>
  <c r="B850" i="2"/>
  <c r="C850" i="2" s="1"/>
  <c r="B617" i="2"/>
  <c r="C617" i="2" s="1"/>
  <c r="J257" i="2"/>
  <c r="A927" i="2"/>
  <c r="A694" i="2"/>
  <c r="A462" i="2"/>
  <c r="B917" i="2"/>
  <c r="C917" i="2" s="1"/>
  <c r="B684" i="2"/>
  <c r="C684" i="2" s="1"/>
  <c r="K247" i="2"/>
  <c r="L247" i="2" s="1"/>
  <c r="J219" i="1"/>
  <c r="B839" i="2"/>
  <c r="C839" i="2" s="1"/>
  <c r="B606" i="2"/>
  <c r="C606" i="2" s="1"/>
  <c r="K169" i="2"/>
  <c r="L169" i="2" s="1"/>
  <c r="J141" i="1"/>
  <c r="J255" i="2"/>
  <c r="A692" i="2"/>
  <c r="A460" i="2"/>
  <c r="A925" i="2"/>
  <c r="A229" i="2"/>
  <c r="B915" i="2"/>
  <c r="C915" i="2" s="1"/>
  <c r="B682" i="2"/>
  <c r="C682" i="2" s="1"/>
  <c r="K245" i="2"/>
  <c r="L245" i="2" s="1"/>
  <c r="J217" i="1"/>
  <c r="K140" i="2"/>
  <c r="L140" i="2" s="1"/>
  <c r="B810" i="2"/>
  <c r="C810" i="2" s="1"/>
  <c r="J112" i="1"/>
  <c r="B577" i="2"/>
  <c r="C577" i="2" s="1"/>
  <c r="B763" i="2"/>
  <c r="C763" i="2" s="1"/>
  <c r="K93" i="2"/>
  <c r="L93" i="2" s="1"/>
  <c r="B530" i="2"/>
  <c r="C530" i="2" s="1"/>
  <c r="J65" i="1"/>
  <c r="K57" i="2"/>
  <c r="L57" i="2" s="1"/>
  <c r="J29" i="1"/>
  <c r="B494" i="2"/>
  <c r="C494" i="2" s="1"/>
  <c r="B727" i="2"/>
  <c r="C727" i="2" s="1"/>
  <c r="B844" i="2"/>
  <c r="C844" i="2" s="1"/>
  <c r="B611" i="2"/>
  <c r="C611" i="2" s="1"/>
  <c r="K174" i="2"/>
  <c r="L174" i="2" s="1"/>
  <c r="J146" i="1"/>
  <c r="B765" i="2"/>
  <c r="C765" i="2" s="1"/>
  <c r="K95" i="2"/>
  <c r="L95" i="2" s="1"/>
  <c r="B532" i="2"/>
  <c r="C532" i="2" s="1"/>
  <c r="J67" i="1"/>
  <c r="B871" i="2"/>
  <c r="C871" i="2" s="1"/>
  <c r="B638" i="2"/>
  <c r="C638" i="2" s="1"/>
  <c r="J173" i="1"/>
  <c r="K201" i="2"/>
  <c r="L201" i="2" s="1"/>
  <c r="A924" i="2"/>
  <c r="A691" i="2"/>
  <c r="A228" i="2"/>
  <c r="J254" i="2"/>
  <c r="A459" i="2"/>
  <c r="B743" i="2"/>
  <c r="C743" i="2" s="1"/>
  <c r="B510" i="2"/>
  <c r="C510" i="2" s="1"/>
  <c r="I226" i="1"/>
  <c r="N7" i="2" s="1"/>
  <c r="K73" i="2"/>
  <c r="L73" i="2" s="1"/>
  <c r="J45" i="1"/>
  <c r="J226" i="1" s="1"/>
  <c r="K148" i="2"/>
  <c r="L148" i="2" s="1"/>
  <c r="J120" i="1"/>
  <c r="J228" i="1" s="1"/>
  <c r="B818" i="2"/>
  <c r="C818" i="2" s="1"/>
  <c r="B585" i="2"/>
  <c r="C585" i="2" s="1"/>
  <c r="I228" i="1"/>
  <c r="J81" i="1"/>
  <c r="B779" i="2"/>
  <c r="C779" i="2" s="1"/>
  <c r="B546" i="2"/>
  <c r="C546" i="2" s="1"/>
  <c r="K109" i="2"/>
  <c r="L109" i="2" s="1"/>
  <c r="K142" i="2"/>
  <c r="L142" i="2" s="1"/>
  <c r="B579" i="2"/>
  <c r="C579" i="2" s="1"/>
  <c r="B812" i="2"/>
  <c r="C812" i="2" s="1"/>
  <c r="J114" i="1"/>
  <c r="K108" i="2"/>
  <c r="L108" i="2" s="1"/>
  <c r="J80" i="1"/>
  <c r="J227" i="1" s="1"/>
  <c r="B545" i="2"/>
  <c r="C545" i="2" s="1"/>
  <c r="I227" i="1"/>
  <c r="B778" i="2"/>
  <c r="C778" i="2" s="1"/>
  <c r="K125" i="2"/>
  <c r="L125" i="2" s="1"/>
  <c r="B795" i="2"/>
  <c r="C795" i="2" s="1"/>
  <c r="J97" i="1"/>
  <c r="B562" i="2"/>
  <c r="C562" i="2" s="1"/>
  <c r="B859" i="2"/>
  <c r="C859" i="2" s="1"/>
  <c r="B626" i="2"/>
  <c r="C626" i="2" s="1"/>
  <c r="J161" i="1"/>
  <c r="K189" i="2"/>
  <c r="L189" i="2" s="1"/>
  <c r="B514" i="2"/>
  <c r="C514" i="2" s="1"/>
  <c r="K77" i="2"/>
  <c r="L77" i="2" s="1"/>
  <c r="J49" i="1"/>
  <c r="B747" i="2"/>
  <c r="C747" i="2" s="1"/>
  <c r="B811" i="2"/>
  <c r="C811" i="2" s="1"/>
  <c r="K141" i="2"/>
  <c r="L141" i="2" s="1"/>
  <c r="B578" i="2"/>
  <c r="C578" i="2" s="1"/>
  <c r="J113" i="1"/>
  <c r="K97" i="2"/>
  <c r="L97" i="2" s="1"/>
  <c r="B767" i="2"/>
  <c r="C767" i="2" s="1"/>
  <c r="B534" i="2"/>
  <c r="C534" i="2" s="1"/>
  <c r="J69" i="1"/>
  <c r="B665" i="2"/>
  <c r="C665" i="2" s="1"/>
  <c r="B898" i="2"/>
  <c r="C898" i="2" s="1"/>
  <c r="K228" i="2"/>
  <c r="L228" i="2" s="1"/>
  <c r="J200" i="1"/>
  <c r="K136" i="2"/>
  <c r="L136" i="2" s="1"/>
  <c r="J108" i="1"/>
  <c r="B573" i="2"/>
  <c r="C573" i="2" s="1"/>
  <c r="B806" i="2"/>
  <c r="C806" i="2" s="1"/>
  <c r="B558" i="2"/>
  <c r="C558" i="2" s="1"/>
  <c r="K121" i="2"/>
  <c r="L121" i="2" s="1"/>
  <c r="B791" i="2"/>
  <c r="C791" i="2" s="1"/>
  <c r="J93" i="1"/>
  <c r="B879" i="2"/>
  <c r="C879" i="2" s="1"/>
  <c r="J181" i="1"/>
  <c r="B646" i="2"/>
  <c r="C646" i="2" s="1"/>
  <c r="K209" i="2"/>
  <c r="L209" i="2" s="1"/>
  <c r="B509" i="2"/>
  <c r="C509" i="2" s="1"/>
  <c r="K72" i="2"/>
  <c r="L72" i="2" s="1"/>
  <c r="J44" i="1"/>
  <c r="B742" i="2"/>
  <c r="C742" i="2" s="1"/>
  <c r="J253" i="2"/>
  <c r="A923" i="2"/>
  <c r="A458" i="2"/>
  <c r="A227" i="2"/>
  <c r="A690" i="2"/>
  <c r="B700" i="2"/>
  <c r="C700" i="2" s="1"/>
  <c r="B467" i="2"/>
  <c r="C467" i="2" s="1"/>
  <c r="J2" i="1"/>
  <c r="K30" i="2"/>
  <c r="L30" i="2" s="1"/>
  <c r="B750" i="2"/>
  <c r="C750" i="2" s="1"/>
  <c r="B517" i="2"/>
  <c r="C517" i="2" s="1"/>
  <c r="K80" i="2"/>
  <c r="L80" i="2" s="1"/>
  <c r="J52" i="1"/>
  <c r="K146" i="2"/>
  <c r="L146" i="2" s="1"/>
  <c r="B583" i="2"/>
  <c r="C583" i="2" s="1"/>
  <c r="B816" i="2"/>
  <c r="C816" i="2" s="1"/>
  <c r="J118" i="1"/>
  <c r="B900" i="2"/>
  <c r="C900" i="2" s="1"/>
  <c r="B667" i="2"/>
  <c r="C667" i="2" s="1"/>
  <c r="J202" i="1"/>
  <c r="K230" i="2"/>
  <c r="L230" i="2" s="1"/>
  <c r="B733" i="2"/>
  <c r="C733" i="2" s="1"/>
  <c r="K63" i="2"/>
  <c r="L63" i="2" s="1"/>
  <c r="B500" i="2"/>
  <c r="C500" i="2" s="1"/>
  <c r="J35" i="1"/>
  <c r="B883" i="2"/>
  <c r="C883" i="2" s="1"/>
  <c r="B650" i="2"/>
  <c r="C650" i="2" s="1"/>
  <c r="K213" i="2"/>
  <c r="L213" i="2" s="1"/>
  <c r="J185" i="1"/>
  <c r="K195" i="2"/>
  <c r="L195" i="2" s="1"/>
  <c r="B632" i="2"/>
  <c r="C632" i="2" s="1"/>
  <c r="J167" i="1"/>
  <c r="B865" i="2"/>
  <c r="C865" i="2" s="1"/>
  <c r="B498" i="2"/>
  <c r="C498" i="2" s="1"/>
  <c r="K61" i="2"/>
  <c r="L61" i="2" s="1"/>
  <c r="B731" i="2"/>
  <c r="C731" i="2" s="1"/>
  <c r="J33" i="1"/>
  <c r="B749" i="2"/>
  <c r="C749" i="2" s="1"/>
  <c r="K79" i="2"/>
  <c r="L79" i="2" s="1"/>
  <c r="J51" i="1"/>
  <c r="B516" i="2"/>
  <c r="C516" i="2" s="1"/>
  <c r="B855" i="2"/>
  <c r="C855" i="2" s="1"/>
  <c r="K185" i="2"/>
  <c r="L185" i="2" s="1"/>
  <c r="J157" i="1"/>
  <c r="B622" i="2"/>
  <c r="C622" i="2" s="1"/>
  <c r="B597" i="2"/>
  <c r="C597" i="2" s="1"/>
  <c r="B830" i="2"/>
  <c r="C830" i="2" s="1"/>
  <c r="J132" i="1"/>
  <c r="K160" i="2"/>
  <c r="L160" i="2" s="1"/>
  <c r="K129" i="2"/>
  <c r="L129" i="2" s="1"/>
  <c r="B799" i="2"/>
  <c r="C799" i="2" s="1"/>
  <c r="J101" i="1"/>
  <c r="B566" i="2"/>
  <c r="C566" i="2" s="1"/>
  <c r="B654" i="2"/>
  <c r="C654" i="2" s="1"/>
  <c r="K217" i="2"/>
  <c r="L217" i="2" s="1"/>
  <c r="J189" i="1"/>
  <c r="B887" i="2"/>
  <c r="C887" i="2" s="1"/>
  <c r="B526" i="2"/>
  <c r="C526" i="2" s="1"/>
  <c r="B759" i="2"/>
  <c r="C759" i="2" s="1"/>
  <c r="K89" i="2"/>
  <c r="L89" i="2" s="1"/>
  <c r="J61" i="1"/>
  <c r="B478" i="2"/>
  <c r="C478" i="2" s="1"/>
  <c r="K41" i="2"/>
  <c r="L41" i="2" s="1"/>
  <c r="B711" i="2"/>
  <c r="C711" i="2" s="1"/>
  <c r="J13" i="1"/>
  <c r="B582" i="2"/>
  <c r="C582" i="2" s="1"/>
  <c r="J117" i="1"/>
  <c r="K145" i="2"/>
  <c r="L145" i="2" s="1"/>
  <c r="B815" i="2"/>
  <c r="C815" i="2" s="1"/>
  <c r="B718" i="2"/>
  <c r="C718" i="2" s="1"/>
  <c r="B485" i="2"/>
  <c r="C485" i="2" s="1"/>
  <c r="J20" i="1"/>
  <c r="J225" i="1" s="1"/>
  <c r="K48" i="2"/>
  <c r="L48" i="2" s="1"/>
  <c r="I225" i="1"/>
  <c r="K266" i="2" s="1"/>
  <c r="B852" i="2"/>
  <c r="C852" i="2" s="1"/>
  <c r="K182" i="2"/>
  <c r="L182" i="2" s="1"/>
  <c r="J154" i="1"/>
  <c r="B619" i="2"/>
  <c r="C619" i="2" s="1"/>
  <c r="B843" i="2"/>
  <c r="C843" i="2" s="1"/>
  <c r="J145" i="1"/>
  <c r="B610" i="2"/>
  <c r="C610" i="2" s="1"/>
  <c r="K173" i="2"/>
  <c r="L173" i="2" s="1"/>
  <c r="J131" i="1"/>
  <c r="B596" i="2"/>
  <c r="C596" i="2" s="1"/>
  <c r="B829" i="2"/>
  <c r="C829" i="2" s="1"/>
  <c r="K159" i="2"/>
  <c r="L159" i="2" s="1"/>
  <c r="K214" i="2"/>
  <c r="L214" i="2" s="1"/>
  <c r="B651" i="2"/>
  <c r="C651" i="2" s="1"/>
  <c r="B884" i="2"/>
  <c r="C884" i="2" s="1"/>
  <c r="J186" i="1"/>
  <c r="K192" i="2"/>
  <c r="L192" i="2" s="1"/>
  <c r="B862" i="2"/>
  <c r="C862" i="2" s="1"/>
  <c r="B629" i="2"/>
  <c r="C629" i="2" s="1"/>
  <c r="J164" i="1"/>
  <c r="B715" i="2"/>
  <c r="C715" i="2" s="1"/>
  <c r="K45" i="2"/>
  <c r="L45" i="2" s="1"/>
  <c r="B482" i="2"/>
  <c r="C482" i="2" s="1"/>
  <c r="J17" i="1"/>
  <c r="K248" i="2"/>
  <c r="L248" i="2" s="1"/>
  <c r="B918" i="2"/>
  <c r="C918" i="2" s="1"/>
  <c r="J220" i="1"/>
  <c r="B685" i="2"/>
  <c r="C685" i="2" s="1"/>
  <c r="K205" i="2"/>
  <c r="L205" i="2" s="1"/>
  <c r="B642" i="2"/>
  <c r="C642" i="2" s="1"/>
  <c r="J177" i="1"/>
  <c r="B875" i="2"/>
  <c r="C875" i="2" s="1"/>
  <c r="K86" i="2"/>
  <c r="L86" i="2" s="1"/>
  <c r="B756" i="2"/>
  <c r="C756" i="2" s="1"/>
  <c r="B523" i="2"/>
  <c r="C523" i="2" s="1"/>
  <c r="J58" i="1"/>
  <c r="B847" i="2"/>
  <c r="C847" i="2" s="1"/>
  <c r="K177" i="2"/>
  <c r="L177" i="2" s="1"/>
  <c r="J149" i="1"/>
  <c r="B614" i="2"/>
  <c r="C614" i="2" s="1"/>
  <c r="B748" i="2"/>
  <c r="C748" i="2" s="1"/>
  <c r="B515" i="2"/>
  <c r="C515" i="2" s="1"/>
  <c r="K78" i="2"/>
  <c r="L78" i="2" s="1"/>
  <c r="J50" i="1"/>
  <c r="B801" i="2"/>
  <c r="C801" i="2" s="1"/>
  <c r="K131" i="2"/>
  <c r="L131" i="2" s="1"/>
  <c r="B568" i="2"/>
  <c r="C568" i="2" s="1"/>
  <c r="J103" i="1"/>
  <c r="B891" i="2"/>
  <c r="C891" i="2" s="1"/>
  <c r="B658" i="2"/>
  <c r="C658" i="2" s="1"/>
  <c r="K221" i="2"/>
  <c r="L221" i="2" s="1"/>
  <c r="J193" i="1"/>
  <c r="K64" i="2"/>
  <c r="L64" i="2" s="1"/>
  <c r="B501" i="2"/>
  <c r="C501" i="2" s="1"/>
  <c r="B734" i="2"/>
  <c r="C734" i="2" s="1"/>
  <c r="J36" i="1"/>
  <c r="K197" i="2"/>
  <c r="L197" i="2" s="1"/>
  <c r="B867" i="2"/>
  <c r="C867" i="2" s="1"/>
  <c r="J169" i="1"/>
  <c r="B634" i="2"/>
  <c r="C634" i="2" s="1"/>
  <c r="B522" i="2"/>
  <c r="C522" i="2" s="1"/>
  <c r="B755" i="2"/>
  <c r="C755" i="2" s="1"/>
  <c r="J57" i="1"/>
  <c r="K85" i="2"/>
  <c r="L85" i="2" s="1"/>
  <c r="B807" i="2"/>
  <c r="C807" i="2" s="1"/>
  <c r="B574" i="2"/>
  <c r="C574" i="2" s="1"/>
  <c r="J109" i="1"/>
  <c r="K137" i="2"/>
  <c r="L137" i="2" s="1"/>
  <c r="B714" i="2"/>
  <c r="C714" i="2" s="1"/>
  <c r="K44" i="2"/>
  <c r="L44" i="2" s="1"/>
  <c r="J16" i="1"/>
  <c r="L267" i="2" s="1"/>
  <c r="B481" i="2"/>
  <c r="C481" i="2" s="1"/>
  <c r="B633" i="2"/>
  <c r="C633" i="2" s="1"/>
  <c r="J168" i="1"/>
  <c r="K196" i="2"/>
  <c r="L196" i="2" s="1"/>
  <c r="B866" i="2"/>
  <c r="C866" i="2" s="1"/>
  <c r="B880" i="2"/>
  <c r="C880" i="2" s="1"/>
  <c r="J182" i="1"/>
  <c r="B647" i="2"/>
  <c r="C647" i="2" s="1"/>
  <c r="K210" i="2"/>
  <c r="L210" i="2" s="1"/>
  <c r="K220" i="2"/>
  <c r="L220" i="2" s="1"/>
  <c r="J192" i="1"/>
  <c r="B657" i="2"/>
  <c r="C657" i="2" s="1"/>
  <c r="B890" i="2"/>
  <c r="C890" i="2" s="1"/>
  <c r="K188" i="2"/>
  <c r="L188" i="2" s="1"/>
  <c r="J160" i="1"/>
  <c r="J229" i="1" s="1"/>
  <c r="B858" i="2"/>
  <c r="C858" i="2" s="1"/>
  <c r="I229" i="1"/>
  <c r="B625" i="2"/>
  <c r="C625" i="2" s="1"/>
  <c r="K231" i="2"/>
  <c r="L231" i="2" s="1"/>
  <c r="B901" i="2"/>
  <c r="C901" i="2" s="1"/>
  <c r="J203" i="1"/>
  <c r="B668" i="2"/>
  <c r="C668" i="2" s="1"/>
  <c r="B805" i="2"/>
  <c r="C805" i="2" s="1"/>
  <c r="J107" i="1"/>
  <c r="B572" i="2"/>
  <c r="C572" i="2" s="1"/>
  <c r="K135" i="2"/>
  <c r="L135" i="2" s="1"/>
  <c r="K153" i="2"/>
  <c r="L153" i="2" s="1"/>
  <c r="B823" i="2"/>
  <c r="C823" i="2" s="1"/>
  <c r="J125" i="1"/>
  <c r="B590" i="2"/>
  <c r="C590" i="2" s="1"/>
  <c r="K104" i="2"/>
  <c r="L104" i="2" s="1"/>
  <c r="J76" i="1"/>
  <c r="B774" i="2"/>
  <c r="C774" i="2" s="1"/>
  <c r="B541" i="2"/>
  <c r="C541" i="2" s="1"/>
  <c r="K178" i="2"/>
  <c r="L178" i="2" s="1"/>
  <c r="B615" i="2"/>
  <c r="C615" i="2" s="1"/>
  <c r="B848" i="2"/>
  <c r="C848" i="2" s="1"/>
  <c r="J150" i="1"/>
  <c r="K246" i="2"/>
  <c r="L246" i="2" s="1"/>
  <c r="B683" i="2"/>
  <c r="C683" i="2" s="1"/>
  <c r="J218" i="1"/>
  <c r="B916" i="2"/>
  <c r="C916" i="2" s="1"/>
  <c r="B458" i="2"/>
  <c r="C458" i="2" s="1"/>
  <c r="B227" i="2"/>
  <c r="C227" i="2" s="1"/>
  <c r="K237" i="2"/>
  <c r="L237" i="2" s="1"/>
  <c r="B674" i="2"/>
  <c r="C674" i="2" s="1"/>
  <c r="J209" i="1"/>
  <c r="B907" i="2"/>
  <c r="C907" i="2" s="1"/>
  <c r="B792" i="2"/>
  <c r="C792" i="2" s="1"/>
  <c r="K122" i="2"/>
  <c r="L122" i="2" s="1"/>
  <c r="J94" i="1"/>
  <c r="B559" i="2"/>
  <c r="C559" i="2" s="1"/>
  <c r="K227" i="2"/>
  <c r="L227" i="2" s="1"/>
  <c r="B664" i="2"/>
  <c r="C664" i="2" s="1"/>
  <c r="B897" i="2"/>
  <c r="C897" i="2" s="1"/>
  <c r="J199" i="1"/>
  <c r="B228" i="2"/>
  <c r="C228" i="2" s="1"/>
  <c r="B459" i="2"/>
  <c r="C459" i="2" s="1"/>
  <c r="K47" i="2"/>
  <c r="L47" i="2" s="1"/>
  <c r="B484" i="2"/>
  <c r="C484" i="2" s="1"/>
  <c r="J19" i="1"/>
  <c r="B717" i="2"/>
  <c r="C717" i="2" s="1"/>
  <c r="B701" i="2"/>
  <c r="C701" i="2" s="1"/>
  <c r="K31" i="2"/>
  <c r="L31" i="2" s="1"/>
  <c r="B468" i="2"/>
  <c r="C468" i="2" s="1"/>
  <c r="J3" i="1"/>
  <c r="B535" i="2"/>
  <c r="C535" i="2" s="1"/>
  <c r="J70" i="1"/>
  <c r="K98" i="2"/>
  <c r="L98" i="2" s="1"/>
  <c r="B768" i="2"/>
  <c r="C768" i="2" s="1"/>
  <c r="L264" i="2" l="1"/>
  <c r="L263" i="2"/>
  <c r="L266" i="2"/>
  <c r="L265" i="2"/>
  <c r="K253" i="2"/>
  <c r="L253" i="2" s="1"/>
  <c r="B690" i="2"/>
  <c r="C690" i="2" s="1"/>
  <c r="B923" i="2"/>
  <c r="C923" i="2" s="1"/>
  <c r="B693" i="2"/>
  <c r="C693" i="2" s="1"/>
  <c r="B926" i="2"/>
  <c r="C926" i="2" s="1"/>
  <c r="K256" i="2"/>
  <c r="L256" i="2" s="1"/>
  <c r="B692" i="2"/>
  <c r="C692" i="2" s="1"/>
  <c r="K255" i="2"/>
  <c r="L255" i="2" s="1"/>
  <c r="B925" i="2"/>
  <c r="C925" i="2" s="1"/>
  <c r="K254" i="2"/>
  <c r="L254" i="2" s="1"/>
  <c r="B924" i="2"/>
  <c r="C924" i="2" s="1"/>
  <c r="B691" i="2"/>
  <c r="C691" i="2" s="1"/>
  <c r="B694" i="2"/>
  <c r="C694" i="2" s="1"/>
  <c r="K257" i="2"/>
  <c r="L257" i="2" s="1"/>
  <c r="B927" i="2"/>
  <c r="C92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<sst xmlns="http://schemas.openxmlformats.org/spreadsheetml/2006/main" count="151" uniqueCount="94">
  <si>
    <t>Customer_ID</t>
  </si>
  <si>
    <t>Customer_Name</t>
  </si>
  <si>
    <t>Vikram Patel</t>
  </si>
  <si>
    <t>Riya Mehta</t>
  </si>
  <si>
    <t>Rahul Mishra</t>
  </si>
  <si>
    <t>Neha Patel</t>
  </si>
  <si>
    <t>Pooja Joshi</t>
  </si>
  <si>
    <t>Sahil Gupta</t>
  </si>
  <si>
    <t>Region</t>
  </si>
  <si>
    <t>North</t>
  </si>
  <si>
    <t>South</t>
  </si>
  <si>
    <t>East</t>
  </si>
  <si>
    <t>West</t>
  </si>
  <si>
    <t>Central</t>
  </si>
  <si>
    <t>Product_Category</t>
  </si>
  <si>
    <t>Electronics</t>
  </si>
  <si>
    <t>Clothing</t>
  </si>
  <si>
    <t>Furniture</t>
  </si>
  <si>
    <t>Books</t>
  </si>
  <si>
    <t>Office Supplies</t>
  </si>
  <si>
    <t>Unit_Price</t>
  </si>
  <si>
    <t>Quantity</t>
  </si>
  <si>
    <t>Discount</t>
  </si>
  <si>
    <t>Order_Date</t>
  </si>
  <si>
    <t>Sales</t>
  </si>
  <si>
    <t>Profit</t>
  </si>
  <si>
    <t>Salesperson</t>
  </si>
  <si>
    <t>Payment_Mode</t>
  </si>
  <si>
    <t>Customer_Segment</t>
  </si>
  <si>
    <t>Rahul Desai</t>
  </si>
  <si>
    <t>Aisha Trivedi</t>
  </si>
  <si>
    <t>Riya</t>
  </si>
  <si>
    <t>Cash</t>
  </si>
  <si>
    <t>Education</t>
  </si>
  <si>
    <t>Karan</t>
  </si>
  <si>
    <t>Small Business</t>
  </si>
  <si>
    <t>Meera</t>
  </si>
  <si>
    <t>Task 3: Create Pivot Tables – Analyze and summarize the dataset using Pivot Tables.</t>
  </si>
  <si>
    <t>Row Labels</t>
  </si>
  <si>
    <t>(blank)</t>
  </si>
  <si>
    <t>Grand Total</t>
  </si>
  <si>
    <t>Sum of Sales</t>
  </si>
  <si>
    <t>Pivot Table 2: Summarize Total sales and Total Profit by Product Category.</t>
  </si>
  <si>
    <t>Sum of Profit</t>
  </si>
  <si>
    <t>Pivot Table 3: Summarize Total Quantity Sold by Salesperson.</t>
  </si>
  <si>
    <t>Amit</t>
  </si>
  <si>
    <t>Neha</t>
  </si>
  <si>
    <t>Pooja</t>
  </si>
  <si>
    <t>Rahul</t>
  </si>
  <si>
    <t>Vikram</t>
  </si>
  <si>
    <t>Sum of Quantity</t>
  </si>
  <si>
    <t>Pivot Tables 4: Summarize Total Sales by Customer Segment and Payment Mode.</t>
  </si>
  <si>
    <t>Corporate</t>
  </si>
  <si>
    <t>Retail</t>
  </si>
  <si>
    <t>Credit Card</t>
  </si>
  <si>
    <t>Debit Card</t>
  </si>
  <si>
    <t>Net Banking</t>
  </si>
  <si>
    <t>UPI</t>
  </si>
  <si>
    <t>Column Labels</t>
  </si>
  <si>
    <t>Task 4.1: Use VLOOKUP to retrieve the Region Manager for each customer based on their Region.</t>
  </si>
  <si>
    <t>Region_Manager</t>
  </si>
  <si>
    <t>Region_Target</t>
  </si>
  <si>
    <t>Amit Shah</t>
  </si>
  <si>
    <t>Karan Desai</t>
  </si>
  <si>
    <t>Task 4.2: Use INDEX-MATCH to retrieve the Region Target based on the Region.</t>
  </si>
  <si>
    <t>Task 4.3: Use IF conditions to classify each order as High Value or Regular based on Sales.</t>
  </si>
  <si>
    <t>Order_Type</t>
  </si>
  <si>
    <t>Task 4.4: Use nested IF functions to classify customers based on Sales.</t>
  </si>
  <si>
    <t>Sales_Category</t>
  </si>
  <si>
    <t>Task 5.1: Create a column chart showing Total Sales by Region.</t>
  </si>
  <si>
    <t>Total Sales</t>
  </si>
  <si>
    <t>Task 5.2: Apply conditional formatting to highlight High Value orders.</t>
  </si>
  <si>
    <t>Task 5.3: Create a chart comparing Total Sales and Total Profit by Product Category.</t>
  </si>
  <si>
    <t>Total Profit</t>
  </si>
  <si>
    <t>Task 5.4: Create a bar chart showing Total Quantity by Salesperson.</t>
  </si>
  <si>
    <t>Total Quantiy</t>
  </si>
  <si>
    <t>Sales Dahsboard</t>
  </si>
  <si>
    <t>Total Quantity</t>
  </si>
  <si>
    <t>Total Orders</t>
  </si>
  <si>
    <t>Task 7: Documentation</t>
  </si>
  <si>
    <t>Workbook Sheets</t>
  </si>
  <si>
    <t>Dataset – Contains the cleaned sales dataset</t>
  </si>
  <si>
    <t>Pivot Tables – Contains Pivot Tables, Slicer and Timeline</t>
  </si>
  <si>
    <t>Main Task – Contains formulas, calculations and charts</t>
  </si>
  <si>
    <t>Dashboard – Contains KPIs and visual charts</t>
  </si>
  <si>
    <t>Key Excel Functions Used</t>
  </si>
  <si>
    <t>SUM, SUMIF, COUNTA, IF, Nested IF, VLOOKUP, INDEX-MATCH</t>
  </si>
  <si>
    <t>Dashboard Components</t>
  </si>
  <si>
    <t>KPI Cards, Column Charts, Bar Chart, Slicer and Timeline</t>
  </si>
  <si>
    <t>Instructions</t>
  </si>
  <si>
    <t>Use the Slicer and Timeline on the Pivot Tables sheet to filter Pivot Table data.</t>
  </si>
  <si>
    <t>The Dataset contains 228 sales records and has been cleaned and formatted for analysis.</t>
  </si>
  <si>
    <t>Naming Convention</t>
  </si>
  <si>
    <t>Sheets and charts are given clear and descriptive names for easy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</si>
</sst>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2"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b/>
      <sz val="72"/>
      <color rgb="FF0070C0"/>
      <name val="Aptos Narrow"/>
      <family val="2"/>
      <scheme val="minor"/>
    </font>
    <font>
      <sz val="14"/>
      <color theme="1"/>
      <name val="Aptos Narrow"/>
      <family val="2"/>
      <scheme val="minor"/>
    </font>
    <font>
      <sz val="16"/>
      <color theme="1"/>
      <name val="Aptos Narrow"/>
      <family val="2"/>
      <scheme val="minor"/>
    </font>
    <font>
      <i/>
      <sz val="14"/>
      <color theme="1"/>
      <name val="Aptos Narrow"/>
      <family val="2"/>
      <scheme val="minor"/>
    </font>
    <font>
      <b/>
      <i/>
      <sz val="16"/>
      <color theme="1"/>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92">
    <xf numFmtId="0" fontId="0" fillId="0" borderId="0" xfId="0"/>
    <xf numFmtId="9" fontId="0" fillId="0" borderId="0" xfId="0" applyNumberFormat="1"/>
    <xf numFmtId="14" fontId="0" fillId="0" borderId="0" xfId="0" applyNumberFormat="1"/>
    <xf numFmtId="164" fontId="0" fillId="0" borderId="0" xfId="0" applyNumberFormat="1"/>
    <xf numFmtId="0" fontId="0" fillId="0" borderId="0" xfId="0" applyAlignment="1">
      <alignment horizontal="center"/>
    </xf>
    <xf numFmtId="0" fontId="0" fillId="0" borderId="5" xfId="0"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xf numFmtId="0" fontId="0" fillId="0" borderId="9" xfId="0" applyBorder="1"/>
    <xf numFmtId="0" fontId="0" fillId="0" borderId="14" xfId="0" applyBorder="1"/>
    <xf numFmtId="0" fontId="0" fillId="0" borderId="15" xfId="0"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left"/>
    </xf>
    <xf numFmtId="0" fontId="0" fillId="0" borderId="11" xfId="0" pivotButton="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0" borderId="12" xfId="0" applyBorder="1" applyAlignment="1">
      <alignment horizontal="center"/>
    </xf>
    <xf numFmtId="0" fontId="1" fillId="0" borderId="8" xfId="0" applyFont="1" applyBorder="1" applyAlignment="1">
      <alignment horizontal="left"/>
    </xf>
    <xf numFmtId="0" fontId="0" fillId="0" borderId="11" xfId="0" applyBorder="1" applyAlignment="1">
      <alignment horizontal="center"/>
    </xf>
    <xf numFmtId="0" fontId="0" fillId="0" borderId="17" xfId="0" applyBorder="1" applyAlignment="1">
      <alignment horizontal="center"/>
    </xf>
    <xf numFmtId="0" fontId="0" fillId="0" borderId="16" xfId="0" applyBorder="1"/>
    <xf numFmtId="0" fontId="0" fillId="0" borderId="18" xfId="0" applyBorder="1"/>
    <xf numFmtId="0" fontId="2" fillId="2" borderId="11" xfId="0" applyFont="1" applyFill="1" applyBorder="1"/>
    <xf numFmtId="0" fontId="2" fillId="2" borderId="13" xfId="0" applyFont="1" applyFill="1" applyBorder="1"/>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6" fillId="3" borderId="24" xfId="0" applyFont="1" applyFill="1" applyBorder="1" applyAlignment="1">
      <alignment horizontal="center"/>
    </xf>
    <xf numFmtId="0" fontId="6" fillId="3" borderId="10" xfId="0" applyFont="1" applyFill="1" applyBorder="1" applyAlignment="1">
      <alignment horizontal="center"/>
    </xf>
    <xf numFmtId="0" fontId="6" fillId="3" borderId="22" xfId="0" applyFont="1" applyFill="1" applyBorder="1" applyAlignment="1">
      <alignment horizontal="center"/>
    </xf>
    <xf numFmtId="0" fontId="6" fillId="3" borderId="25" xfId="0" applyFont="1" applyFill="1" applyBorder="1" applyAlignment="1">
      <alignment horizontal="center"/>
    </xf>
    <xf numFmtId="0" fontId="0" fillId="0" borderId="10" xfId="0" pivotButton="1" applyBorder="1" applyAlignment="1">
      <alignment horizontal="center"/>
    </xf>
    <xf numFmtId="0" fontId="0" fillId="0" borderId="10" xfId="0" applyBorder="1" applyAlignment="1">
      <alignment horizontal="center"/>
    </xf>
    <xf numFmtId="14" fontId="0" fillId="0" borderId="5" xfId="0" applyNumberFormat="1" applyBorder="1" applyAlignment="1">
      <alignment horizontal="center"/>
    </xf>
    <xf numFmtId="0" fontId="0" fillId="0" borderId="26" xfId="0" applyBorder="1" applyAlignment="1">
      <alignment horizontal="center"/>
    </xf>
    <xf numFmtId="0" fontId="0" fillId="0" borderId="28" xfId="0" applyBorder="1" applyAlignment="1">
      <alignment horizontal="center"/>
    </xf>
    <xf numFmtId="0" fontId="0" fillId="0" borderId="23" xfId="0" pivotButton="1" applyBorder="1" applyAlignment="1">
      <alignment horizontal="center"/>
    </xf>
    <xf numFmtId="0" fontId="0" fillId="0" borderId="31" xfId="0" pivotButton="1"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27" xfId="0" applyBorder="1" applyAlignment="1">
      <alignment horizontal="center"/>
    </xf>
    <xf numFmtId="0" fontId="0" fillId="0" borderId="34" xfId="0" applyBorder="1" applyAlignment="1">
      <alignment horizontal="center"/>
    </xf>
    <xf numFmtId="0" fontId="0" fillId="0" borderId="26" xfId="0" pivotButton="1" applyBorder="1" applyAlignment="1">
      <alignment horizontal="center"/>
    </xf>
    <xf numFmtId="0" fontId="0" fillId="0" borderId="35" xfId="0" applyBorder="1" applyAlignment="1">
      <alignment horizontal="center"/>
    </xf>
    <xf numFmtId="0" fontId="0" fillId="5" borderId="0" xfId="0" applyFill="1"/>
    <xf numFmtId="0" fontId="1" fillId="5" borderId="0" xfId="0" applyFont="1" applyFill="1"/>
    <xf numFmtId="0" fontId="9" fillId="0" borderId="0" xfId="0" applyFont="1" applyAlignment="1">
      <alignment horizontal="left"/>
    </xf>
    <xf numFmtId="0" fontId="5" fillId="4" borderId="24" xfId="0" applyFont="1" applyFill="1" applyBorder="1" applyAlignment="1">
      <alignment horizontal="center"/>
    </xf>
    <xf numFmtId="0" fontId="8" fillId="6" borderId="29" xfId="0" applyFont="1" applyFill="1" applyBorder="1"/>
    <xf numFmtId="0" fontId="8" fillId="6" borderId="25" xfId="0" applyFont="1" applyFill="1" applyBorder="1"/>
    <xf numFmtId="0" fontId="10" fillId="6" borderId="29" xfId="0" applyFont="1" applyFill="1" applyBorder="1" applyAlignment="1">
      <alignment horizontal="left"/>
    </xf>
    <xf numFmtId="0" fontId="10" fillId="6" borderId="25" xfId="0" applyFont="1" applyFill="1" applyBorder="1" applyAlignment="1">
      <alignment horizontal="left"/>
    </xf>
    <xf numFmtId="0" fontId="11" fillId="7" borderId="30" xfId="0" applyFont="1" applyFill="1" applyBorder="1" applyAlignment="1">
      <alignment horizontal="center"/>
    </xf>
    <xf numFmtId="0" fontId="9" fillId="0" borderId="10" xfId="0" applyFont="1" applyBorder="1" applyAlignment="1">
      <alignment horizontal="left"/>
    </xf>
    <xf numFmtId="0" fontId="5" fillId="7" borderId="22" xfId="0" applyFont="1" applyFill="1" applyBorder="1" applyAlignment="1">
      <alignment horizontal="center"/>
    </xf>
    <xf numFmtId="0" fontId="8" fillId="6" borderId="36" xfId="0" applyFont="1" applyFill="1" applyBorder="1" applyAlignment="1">
      <alignment horizontal="left"/>
    </xf>
    <xf numFmtId="0" fontId="5" fillId="7" borderId="30" xfId="0" applyFont="1" applyFill="1" applyBorder="1" applyAlignment="1">
      <alignment horizontal="center"/>
    </xf>
    <xf numFmtId="0" fontId="4" fillId="0" borderId="19" xfId="0" applyFont="1" applyBorder="1" applyAlignment="1">
      <alignment horizontal="left"/>
    </xf>
    <xf numFmtId="0" fontId="4" fillId="0" borderId="20" xfId="0" applyFont="1" applyBorder="1" applyAlignment="1">
      <alignment horizontal="left"/>
    </xf>
    <xf numFmtId="0" fontId="4" fillId="0" borderId="21" xfId="0" applyFont="1" applyBorder="1" applyAlignment="1">
      <alignment horizontal="left"/>
    </xf>
    <xf numFmtId="0" fontId="3" fillId="0" borderId="19" xfId="0" applyFont="1" applyBorder="1" applyAlignment="1">
      <alignment horizontal="left"/>
    </xf>
    <xf numFmtId="0" fontId="3" fillId="0" borderId="20" xfId="0" applyFont="1" applyBorder="1" applyAlignment="1">
      <alignment horizontal="left"/>
    </xf>
    <xf numFmtId="0" fontId="3" fillId="0" borderId="21" xfId="0" applyFont="1" applyBorder="1" applyAlignment="1">
      <alignment horizontal="left"/>
    </xf>
    <xf numFmtId="0" fontId="7" fillId="2" borderId="19" xfId="0" applyFont="1" applyFill="1" applyBorder="1" applyAlignment="1">
      <alignment horizontal="center"/>
    </xf>
    <xf numFmtId="0" fontId="7" fillId="2" borderId="20" xfId="0" applyFont="1" applyFill="1" applyBorder="1" applyAlignment="1">
      <alignment horizontal="center"/>
    </xf>
    <xf numFmtId="0" fontId="7" fillId="2" borderId="21" xfId="0" applyFont="1" applyFill="1" applyBorder="1" applyAlignment="1">
      <alignment horizontal="center"/>
    </xf>
    <xf numFmtId="0" fontId="3" fillId="0" borderId="19" xfId="0" applyFont="1" applyBorder="1" applyAlignment="1">
      <alignment horizontal="center"/>
    </xf>
    <xf numFmtId="0" fontId="3" fillId="0" borderId="20" xfId="0" applyFont="1" applyBorder="1" applyAlignment="1">
      <alignment horizontal="center"/>
    </xf>
    <xf numFmtId="0" fontId="3" fillId="0" borderId="21" xfId="0" applyFont="1" applyBorder="1" applyAlignment="1">
      <alignment horizontal="center"/>
    </xf>
    <xf numFmtId="0" fontId="0" fillId="0" borderId="29" xfId="0" applyNumberFormat="1" applyBorder="1" applyAlignment="1">
      <alignment horizontal="center"/>
    </xf>
    <xf numFmtId="0" fontId="0" fillId="0" borderId="10" xfId="0" applyNumberFormat="1" applyBorder="1" applyAlignment="1">
      <alignment horizontal="center"/>
    </xf>
    <xf numFmtId="0" fontId="0" fillId="0" borderId="29" xfId="0" applyBorder="1" applyAlignment="1">
      <alignment horizontal="center"/>
    </xf>
    <xf numFmtId="0" fontId="0" fillId="4" borderId="0" xfId="0" applyFill="1" applyBorder="1"/>
    <xf numFmtId="0" fontId="0" fillId="4" borderId="37" xfId="0" applyFill="1" applyBorder="1"/>
    <xf numFmtId="0" fontId="0" fillId="4" borderId="43" xfId="0" applyFill="1" applyBorder="1"/>
    <xf numFmtId="0" fontId="0" fillId="4" borderId="38" xfId="0" applyFill="1" applyBorder="1"/>
    <xf numFmtId="0" fontId="0" fillId="4" borderId="39" xfId="0" applyFill="1" applyBorder="1"/>
    <xf numFmtId="0" fontId="6" fillId="4" borderId="0" xfId="0" applyFont="1" applyFill="1" applyBorder="1" applyAlignment="1">
      <alignment horizontal="center"/>
    </xf>
    <xf numFmtId="0" fontId="0" fillId="4" borderId="40" xfId="0" applyFill="1" applyBorder="1"/>
    <xf numFmtId="0" fontId="0" fillId="4" borderId="41" xfId="0" applyFill="1" applyBorder="1"/>
    <xf numFmtId="0" fontId="0" fillId="4" borderId="44" xfId="0" applyFill="1" applyBorder="1"/>
    <xf numFmtId="0" fontId="0" fillId="4" borderId="42" xfId="0" applyFill="1" applyBorder="1"/>
  </cellXfs>
  <cellStyles count="1">
    <cellStyle name="Normal" xfId="0" builtinId="0"/>
  </cellStyles>
  <dxfs count="121">
    <dxf>
      <font>
        <color rgb="FF9C0006"/>
      </font>
      <fill>
        <patternFill>
          <bgColor rgb="FFFFC7CE"/>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thin">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top style="medium">
          <color indexed="64"/>
        </top>
      </border>
    </dxf>
    <dxf>
      <border>
        <top style="medium">
          <color indexed="64"/>
        </top>
      </border>
    </dxf>
    <dxf>
      <border>
        <left style="thin">
          <color indexed="64"/>
        </lef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thin">
          <color indexed="64"/>
        </righ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[Sneha_ExcelDashboard.xlsx]Pivot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066344345704311E-2"/>
          <c:y val="0.32919335955963086"/>
          <c:w val="0.74767193702293433"/>
          <c:h val="0.55656042709333653"/>
        </c:manualLayout>
      </c:layout>
      <c:pie3D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360-4FA3-B5EA-C669922FD67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Tables'!$A$4:$A$10</c:f>
              <c:strCache>
                <c:ptCount val="6"/>
                <c:pt idx="0">
                  <c:v>Central</c:v>
                </c:pt>
                <c:pt idx="1">
                  <c:v>East</c:v>
                </c:pt>
                <c:pt idx="2">
                  <c:v>North</c:v>
                </c:pt>
                <c:pt idx="3">
                  <c:v>South</c:v>
                </c:pt>
                <c:pt idx="4">
                  <c:v>West</c:v>
                </c:pt>
                <c:pt idx="5">
                  <c:v>(blank)</c:v>
                </c:pt>
              </c:strCache>
            </c:strRef>
          </c:cat>
          <c:val>
            <c:numRef>
              <c:f>'Pivot Tables'!$B$4:$B$10</c:f>
              <c:numCache>
                <c:formatCode>General</c:formatCode>
                <c:ptCount val="6"/>
                <c:pt idx="0">
                  <c:v>3678973.0600000005</c:v>
                </c:pt>
                <c:pt idx="1">
                  <c:v>3891741.7</c:v>
                </c:pt>
                <c:pt idx="2">
                  <c:v>3866226.5</c:v>
                </c:pt>
                <c:pt idx="3">
                  <c:v>3919562.1399999997</c:v>
                </c:pt>
                <c:pt idx="4">
                  <c:v>4097279.9199999995</c:v>
                </c:pt>
              </c:numCache>
            </c:numRef>
          </c:val>
          <c:extLst>
            <c:ext xmlns:c16="http://schemas.microsoft.com/office/drawing/2014/chart" uri="{C3380CC4-5D6E-409C-BE32-E72D297353CC}">
              <c16:uniqueId val="{00000000-B0F3-4840-AE18-8109E28F150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[Sneha_ExcelDashboard.xlsx]Pivot Tables!PivotTable2</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manualLayout>
          <c:layoutTarget val="inner"/>
          <c:xMode val="edge"/>
          <c:yMode val="edge"/>
          <c:x val="0.16964956203266071"/>
          <c:y val="0.23116423547414613"/>
          <c:w val="0.52823693949730854"/>
          <c:h val="0.38675422702631096"/>
        </c:manualLayout>
      </c:layout>
      <c:area3DChart>
        <c:grouping val="stacked"/>
        <c:varyColors val="0"/>
        <c:ser>
          <c:idx val="0"/>
          <c:order val="0"/>
          <c:tx>
            <c:strRef>
              <c:f>'Pivot Tables'!$B$14</c:f>
              <c:strCache>
                <c:ptCount val="1"/>
                <c:pt idx="0">
                  <c:v>Sum of Sales</c:v>
                </c:pt>
              </c:strCache>
            </c:strRef>
          </c:tx>
          <c:spPr>
            <a:solidFill>
              <a:schemeClr val="accent1"/>
            </a:solidFill>
            <a:ln>
              <a:noFill/>
            </a:ln>
            <a:effectLst/>
            <a:sp3d/>
          </c:spPr>
          <c:cat>
            <c:strRef>
              <c:f>'Pivot Tables'!$A$15:$A$21</c:f>
              <c:strCache>
                <c:ptCount val="6"/>
                <c:pt idx="0">
                  <c:v>Books</c:v>
                </c:pt>
                <c:pt idx="1">
                  <c:v>Clothing</c:v>
                </c:pt>
                <c:pt idx="2">
                  <c:v>Electronics</c:v>
                </c:pt>
                <c:pt idx="3">
                  <c:v>Furniture</c:v>
                </c:pt>
                <c:pt idx="4">
                  <c:v>Office Supplies</c:v>
                </c:pt>
                <c:pt idx="5">
                  <c:v>(blank)</c:v>
                </c:pt>
              </c:strCache>
            </c:strRef>
          </c:cat>
          <c:val>
            <c:numRef>
              <c:f>'Pivot Tables'!$B$15:$B$21</c:f>
              <c:numCache>
                <c:formatCode>General</c:formatCode>
                <c:ptCount val="6"/>
                <c:pt idx="0">
                  <c:v>4097279.9199999995</c:v>
                </c:pt>
                <c:pt idx="1">
                  <c:v>3919562.1399999997</c:v>
                </c:pt>
                <c:pt idx="2">
                  <c:v>3866226.5</c:v>
                </c:pt>
                <c:pt idx="3">
                  <c:v>3891741.7</c:v>
                </c:pt>
                <c:pt idx="4">
                  <c:v>3678973.0600000005</c:v>
                </c:pt>
              </c:numCache>
            </c:numRef>
          </c:val>
          <c:extLst>
            <c:ext xmlns:c16="http://schemas.microsoft.com/office/drawing/2014/chart" uri="{C3380CC4-5D6E-409C-BE32-E72D297353CC}">
              <c16:uniqueId val="{00000000-27D5-47CC-8155-EEDE98B7579F}"/>
            </c:ext>
          </c:extLst>
        </c:ser>
        <c:ser>
          <c:idx val="1"/>
          <c:order val="1"/>
          <c:tx>
            <c:strRef>
              <c:f>'Pivot Tables'!$C$14</c:f>
              <c:strCache>
                <c:ptCount val="1"/>
                <c:pt idx="0">
                  <c:v>Sum of Profit</c:v>
                </c:pt>
              </c:strCache>
            </c:strRef>
          </c:tx>
          <c:spPr>
            <a:solidFill>
              <a:schemeClr val="accent2"/>
            </a:solidFill>
            <a:ln>
              <a:noFill/>
            </a:ln>
            <a:effectLst/>
            <a:sp3d/>
          </c:spPr>
          <c:cat>
            <c:strRef>
              <c:f>'Pivot Tables'!$A$15:$A$21</c:f>
              <c:strCache>
                <c:ptCount val="6"/>
                <c:pt idx="0">
                  <c:v>Books</c:v>
                </c:pt>
                <c:pt idx="1">
                  <c:v>Clothing</c:v>
                </c:pt>
                <c:pt idx="2">
                  <c:v>Electronics</c:v>
                </c:pt>
                <c:pt idx="3">
                  <c:v>Furniture</c:v>
                </c:pt>
                <c:pt idx="4">
                  <c:v>Office Supplies</c:v>
                </c:pt>
                <c:pt idx="5">
                  <c:v>(blank)</c:v>
                </c:pt>
              </c:strCache>
            </c:strRef>
          </c:cat>
          <c:val>
            <c:numRef>
              <c:f>'Pivot Tables'!$C$15:$C$21</c:f>
              <c:numCache>
                <c:formatCode>General</c:formatCode>
                <c:ptCount val="6"/>
                <c:pt idx="0">
                  <c:v>726304.07000000007</c:v>
                </c:pt>
                <c:pt idx="1">
                  <c:v>746508.07000000007</c:v>
                </c:pt>
                <c:pt idx="2">
                  <c:v>769795.44000000018</c:v>
                </c:pt>
                <c:pt idx="3">
                  <c:v>729963.8</c:v>
                </c:pt>
                <c:pt idx="4">
                  <c:v>682854.52000000037</c:v>
                </c:pt>
              </c:numCache>
            </c:numRef>
          </c:val>
          <c:extLst>
            <c:ext xmlns:c16="http://schemas.microsoft.com/office/drawing/2014/chart" uri="{C3380CC4-5D6E-409C-BE32-E72D297353CC}">
              <c16:uniqueId val="{00000001-27D5-47CC-8155-EEDE98B7579F}"/>
            </c:ext>
          </c:extLst>
        </c:ser>
        <c:dLbls>
          <c:showLegendKey val="0"/>
          <c:showVal val="0"/>
          <c:showCatName val="0"/>
          <c:showSerName val="0"/>
          <c:showPercent val="0"/>
          <c:showBubbleSize val="0"/>
        </c:dLbls>
        <c:axId val="1416476592"/>
        <c:axId val="1476110640"/>
        <c:axId val="0"/>
      </c:area3DChart>
      <c:catAx>
        <c:axId val="14164765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76110640"/>
        <c:crosses val="autoZero"/>
        <c:auto val="1"/>
        <c:lblAlgn val="ctr"/>
        <c:lblOffset val="100"/>
        <c:noMultiLvlLbl val="0"/>
      </c:catAx>
      <c:valAx>
        <c:axId val="14761106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16476592"/>
        <c:crosses val="autoZero"/>
        <c:crossBetween val="midCat"/>
      </c:val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'Main Task'!$N$3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'Main Task'!$M$4:$M$8</c:f>
              <c:strCache>
                <c:ptCount val="5"/>
                <c:pt idx="0">
                  <c:v>North</c:v>
                </c:pt>
                <c:pt idx="1">
                  <c:v>South</c:v>
                </c:pt>
                <c:pt idx="2">
                  <c:v>East</c:v>
                </c:pt>
                <c:pt idx="3">
                  <c:v>West</c:v>
                </c:pt>
                <c:pt idx="4">
                  <c:v>Central</c:v>
                </c:pt>
              </c:strCache>
            </c:strRef>
          </c:cat>
          <c:val>
            <c:numRef>
              <c:f>'Main Task'!$N$4:$N$8</c:f>
              <c:numCache>
                <c:formatCode>General</c:formatCode>
                <c:ptCount val="5"/>
                <c:pt idx="0">
                  <c:v>3866226.5</c:v>
                </c:pt>
                <c:pt idx="1">
                  <c:v>3919562.1399999997</c:v>
                </c:pt>
                <c:pt idx="2">
                  <c:v>3891741.7</c:v>
                </c:pt>
                <c:pt idx="3">
                  <c:v>4097279.9199999995</c:v>
                </c:pt>
                <c:pt idx="4">
                  <c:v>3678973.0600000005</c:v>
                </c:pt>
              </c:numCache>
            </c:numRef>
          </c:val>
          <c:extLst>
            <c:ext xmlns:c16="http://schemas.microsoft.com/office/drawing/2014/chart" uri="{C3380CC4-5D6E-409C-BE32-E72D297353CC}">
              <c16:uniqueId val="{00000000-B37E-42D8-9EE7-03BC1DEAF276}"/>
            </c:ext>
          </c:extLst>
        </c:ser>
        <c:dLbls>
          <c:showLegendKey val="0"/>
          <c:showVal val="0"/>
          <c:showCatName val="0"/>
          <c:showSerName val="0"/>
          <c:showPercent val="0"/>
          <c:showBubbleSize val="0"/>
        </c:dLbls>
        <c:gapWidth val="150"/>
        <c:overlap val="100"/>
        <c:axId val="713461632"/>
        <c:axId val="707816880"/>
      </c:barChart>
      <c:catAx>
        <c:axId val="713461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816880"/>
        <c:crosses val="autoZero"/>
        <c:auto val="1"/>
        <c:lblAlgn val="ctr"/>
        <c:lblOffset val="100"/>
        <c:noMultiLvlLbl val="0"/>
      </c:catAx>
      <c:valAx>
        <c:axId val="707816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4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and Profit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 Task'!$K$262</c:f>
              <c:strCache>
                <c:ptCount val="1"/>
                <c:pt idx="0">
                  <c:v>Total Sales</c:v>
                </c:pt>
              </c:strCache>
            </c:strRef>
          </c:tx>
          <c:spPr>
            <a:solidFill>
              <a:schemeClr val="accent1"/>
            </a:solidFill>
            <a:ln>
              <a:noFill/>
            </a:ln>
            <a:effectLst/>
          </c:spPr>
          <c:invertIfNegative val="0"/>
          <c:cat>
            <c:strRef>
              <c:f>'Main Task'!$J$263:$J$267</c:f>
              <c:strCache>
                <c:ptCount val="5"/>
                <c:pt idx="0">
                  <c:v>Electronics</c:v>
                </c:pt>
                <c:pt idx="1">
                  <c:v>Clothing</c:v>
                </c:pt>
                <c:pt idx="2">
                  <c:v>Furniture</c:v>
                </c:pt>
                <c:pt idx="3">
                  <c:v>Books</c:v>
                </c:pt>
                <c:pt idx="4">
                  <c:v>Office Supplies</c:v>
                </c:pt>
              </c:strCache>
            </c:strRef>
          </c:cat>
          <c:val>
            <c:numRef>
              <c:f>'Main Task'!$K$263:$K$267</c:f>
              <c:numCache>
                <c:formatCode>General</c:formatCode>
                <c:ptCount val="5"/>
                <c:pt idx="0">
                  <c:v>3866226.5</c:v>
                </c:pt>
                <c:pt idx="1">
                  <c:v>3919562.1399999997</c:v>
                </c:pt>
                <c:pt idx="2">
                  <c:v>3891741.7</c:v>
                </c:pt>
                <c:pt idx="3">
                  <c:v>4097279.9199999995</c:v>
                </c:pt>
                <c:pt idx="4">
                  <c:v>3678973.0600000005</c:v>
                </c:pt>
              </c:numCache>
            </c:numRef>
          </c:val>
          <c:extLst>
            <c:ext xmlns:c16="http://schemas.microsoft.com/office/drawing/2014/chart" uri="{C3380CC4-5D6E-409C-BE32-E72D297353CC}">
              <c16:uniqueId val="{00000000-1EEA-4C6E-BA9C-BC2E9A236D6F}"/>
            </c:ext>
          </c:extLst>
        </c:ser>
        <c:ser>
          <c:idx val="1"/>
          <c:order val="1"/>
          <c:tx>
            <c:strRef>
              <c:f>'Main Task'!$L$262</c:f>
              <c:strCache>
                <c:ptCount val="1"/>
                <c:pt idx="0">
                  <c:v>Total Profit</c:v>
                </c:pt>
              </c:strCache>
            </c:strRef>
          </c:tx>
          <c:spPr>
            <a:solidFill>
              <a:schemeClr val="accent2"/>
            </a:solidFill>
            <a:ln>
              <a:noFill/>
            </a:ln>
            <a:effectLst/>
          </c:spPr>
          <c:invertIfNegative val="0"/>
          <c:cat>
            <c:strRef>
              <c:f>'Main Task'!$J$263:$J$267</c:f>
              <c:strCache>
                <c:ptCount val="5"/>
                <c:pt idx="0">
                  <c:v>Electronics</c:v>
                </c:pt>
                <c:pt idx="1">
                  <c:v>Clothing</c:v>
                </c:pt>
                <c:pt idx="2">
                  <c:v>Furniture</c:v>
                </c:pt>
                <c:pt idx="3">
                  <c:v>Books</c:v>
                </c:pt>
                <c:pt idx="4">
                  <c:v>Office Supplies</c:v>
                </c:pt>
              </c:strCache>
            </c:strRef>
          </c:cat>
          <c:val>
            <c:numRef>
              <c:f>'Main Task'!$L$263:$L$267</c:f>
              <c:numCache>
                <c:formatCode>General</c:formatCode>
                <c:ptCount val="5"/>
                <c:pt idx="0">
                  <c:v>769795.44000000018</c:v>
                </c:pt>
                <c:pt idx="1">
                  <c:v>746508.07000000007</c:v>
                </c:pt>
                <c:pt idx="2">
                  <c:v>729963.8</c:v>
                </c:pt>
                <c:pt idx="3">
                  <c:v>726304.07000000007</c:v>
                </c:pt>
                <c:pt idx="4">
                  <c:v>682854.52000000037</c:v>
                </c:pt>
              </c:numCache>
            </c:numRef>
          </c:val>
          <c:extLst>
            <c:ext xmlns:c16="http://schemas.microsoft.com/office/drawing/2014/chart" uri="{C3380CC4-5D6E-409C-BE32-E72D297353CC}">
              <c16:uniqueId val="{00000001-1EEA-4C6E-BA9C-BC2E9A236D6F}"/>
            </c:ext>
          </c:extLst>
        </c:ser>
        <c:dLbls>
          <c:showLegendKey val="0"/>
          <c:showVal val="0"/>
          <c:showCatName val="0"/>
          <c:showSerName val="0"/>
          <c:showPercent val="0"/>
          <c:showBubbleSize val="0"/>
        </c:dLbls>
        <c:gapWidth val="219"/>
        <c:overlap val="-27"/>
        <c:axId val="1363932064"/>
        <c:axId val="707884560"/>
      </c:barChart>
      <c:catAx>
        <c:axId val="13639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884560"/>
        <c:crosses val="autoZero"/>
        <c:auto val="1"/>
        <c:lblAlgn val="ctr"/>
        <c:lblOffset val="100"/>
        <c:noMultiLvlLbl val="0"/>
      </c:catAx>
      <c:valAx>
        <c:axId val="70788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3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Quantity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'Main Task'!$L$288</c:f>
              <c:strCache>
                <c:ptCount val="1"/>
                <c:pt idx="0">
                  <c:v>Total Quantiy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'Main Task'!$K$289:$K$296</c:f>
              <c:strCache>
                <c:ptCount val="8"/>
                <c:pt idx="0">
                  <c:v>Amit</c:v>
                </c:pt>
                <c:pt idx="1">
                  <c:v>Neha</c:v>
                </c:pt>
                <c:pt idx="2">
                  <c:v>Riya</c:v>
                </c:pt>
                <c:pt idx="3">
                  <c:v>Karan</c:v>
                </c:pt>
                <c:pt idx="4">
                  <c:v>Pooja</c:v>
                </c:pt>
                <c:pt idx="5">
                  <c:v>Rahul</c:v>
                </c:pt>
                <c:pt idx="6">
                  <c:v>Meera</c:v>
                </c:pt>
                <c:pt idx="7">
                  <c:v>Vikram</c:v>
                </c:pt>
              </c:strCache>
            </c:strRef>
          </c:cat>
          <c:val>
            <c:numRef>
              <c:f>'Main Task'!$L$289:$L$296</c:f>
              <c:numCache>
                <c:formatCode>General</c:formatCode>
                <c:ptCount val="8"/>
                <c:pt idx="0">
                  <c:v>153</c:v>
                </c:pt>
                <c:pt idx="1">
                  <c:v>172</c:v>
                </c:pt>
                <c:pt idx="2">
                  <c:v>179</c:v>
                </c:pt>
                <c:pt idx="3">
                  <c:v>163</c:v>
                </c:pt>
                <c:pt idx="4">
                  <c:v>179</c:v>
                </c:pt>
                <c:pt idx="5">
                  <c:v>165</c:v>
                </c:pt>
                <c:pt idx="6">
                  <c:v>180</c:v>
                </c:pt>
                <c:pt idx="7">
                  <c:v>173</c:v>
                </c:pt>
              </c:numCache>
            </c:numRef>
          </c:val>
          <c:extLst>
            <c:ext xmlns:c16="http://schemas.microsoft.com/office/drawing/2014/chart" uri="{C3380CC4-5D6E-409C-BE32-E72D297353CC}">
              <c16:uniqueId val="{00000000-BE59-4490-8FAD-FEDCC23D8239}"/>
            </c:ext>
          </c:extLst>
        </c:ser>
        <c:dLbls>
          <c:dLblPos val="inEnd"/>
          <c:showLegendKey val="0"/>
          <c:showVal val="1"/>
          <c:showCatName val="0"/>
          <c:showSerName val="0"/>
          <c:showPercent val="0"/>
          <c:showBubbleSize val="0"/>
        </c:dLbls>
        <c:gapWidth val="65"/>
        <c:axId val="1363975216"/>
        <c:axId val="707891280"/>
      </c:barChart>
      <c:catAx>
        <c:axId val="13639752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7891280"/>
        <c:crosses val="autoZero"/>
        <c:auto val="1"/>
        <c:lblAlgn val="ctr"/>
        <c:lblOffset val="100"/>
        <c:noMultiLvlLbl val="0"/>
      </c:catAx>
      <c:valAx>
        <c:axId val="707891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397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[Sneha_ExcelDashboard.xlsx]Pivot Tables!PivotTable1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066344345704311E-2"/>
          <c:y val="0.32919335955963086"/>
          <c:w val="0.74767193702293433"/>
          <c:h val="0.55656042709333653"/>
        </c:manualLayout>
      </c:layout>
      <c:pie3D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725-4C72-9878-E34F6A6F04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725-4C72-9878-E34F6A6F04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725-4C72-9878-E34F6A6F04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725-4C72-9878-E34F6A6F04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725-4C72-9878-E34F6A6F04E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725-4C72-9878-E34F6A6F04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Tables'!$A$4:$A$10</c:f>
              <c:strCache>
                <c:ptCount val="6"/>
                <c:pt idx="0">
                  <c:v>Central</c:v>
                </c:pt>
                <c:pt idx="1">
                  <c:v>East</c:v>
                </c:pt>
                <c:pt idx="2">
                  <c:v>North</c:v>
                </c:pt>
                <c:pt idx="3">
                  <c:v>South</c:v>
                </c:pt>
                <c:pt idx="4">
                  <c:v>West</c:v>
                </c:pt>
                <c:pt idx="5">
                  <c:v>(blank)</c:v>
                </c:pt>
              </c:strCache>
            </c:strRef>
          </c:cat>
          <c:val>
            <c:numRef>
              <c:f>'Pivot Tables'!$B$4:$B$10</c:f>
              <c:numCache>
                <c:formatCode>General</c:formatCode>
                <c:ptCount val="6"/>
                <c:pt idx="0">
                  <c:v>3678973.0600000005</c:v>
                </c:pt>
                <c:pt idx="1">
                  <c:v>3891741.7</c:v>
                </c:pt>
                <c:pt idx="2">
                  <c:v>3866226.5</c:v>
                </c:pt>
                <c:pt idx="3">
                  <c:v>3919562.1399999997</c:v>
                </c:pt>
                <c:pt idx="4">
                  <c:v>4097279.9199999995</c:v>
                </c:pt>
              </c:numCache>
            </c:numRef>
          </c:val>
          <c:extLst>
            <c:ext xmlns:c16="http://schemas.microsoft.com/office/drawing/2014/chart" uri="{C3380CC4-5D6E-409C-BE32-E72D297353CC}">
              <c16:uniqueId val="{0000000C-9725-4C72-9878-E34F6A6F04E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[Sneha_ExcelDashboard.xlsx]Pivot Tables!PivotTable2</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pattFill prst="ltDnDiag">
          <a:fgClr>
            <a:schemeClr val="dk1">
              <a:lumMod val="15000"/>
              <a:lumOff val="85000"/>
            </a:schemeClr>
          </a:fgClr>
          <a:bgClr>
            <a:schemeClr val="lt1"/>
          </a:bgClr>
        </a:pattFill>
        <a:ln>
          <a:noFill/>
        </a:ln>
        <a:effectLst/>
        <a:sp3d/>
      </c:spPr>
    </c:floor>
    <c:sideWall>
      <c:thickness val="0"/>
      <c:spPr>
        <a:pattFill prst="ltDnDiag">
          <a:fgClr>
            <a:schemeClr val="dk1">
              <a:lumMod val="15000"/>
              <a:lumOff val="85000"/>
            </a:schemeClr>
          </a:fgClr>
          <a:bgClr>
            <a:schemeClr val="lt1"/>
          </a:bgClr>
        </a:pattFill>
        <a:ln>
          <a:noFill/>
        </a:ln>
        <a:effectLst/>
        <a:sp3d/>
      </c:spPr>
    </c:sideWall>
    <c:backWall>
      <c:thickness val="0"/>
      <c:spPr>
        <a:pattFill prst="ltDnDiag">
          <a:fgClr>
            <a:schemeClr val="dk1">
              <a:lumMod val="15000"/>
              <a:lumOff val="85000"/>
            </a:schemeClr>
          </a:fgClr>
          <a:bgClr>
            <a:schemeClr val="lt1"/>
          </a:bgClr>
        </a:pattFill>
        <a:ln>
          <a:noFill/>
        </a:ln>
        <a:effectLst/>
        <a:sp3d/>
      </c:spPr>
    </c:backWall>
    <c:plotArea>
      <c:layout>
        <c:manualLayout>
          <c:layoutTarget val="inner"/>
          <c:xMode val="edge"/>
          <c:yMode val="edge"/>
          <c:x val="0.16964956203266071"/>
          <c:y val="0.23116423547414613"/>
          <c:w val="0.52823693949730854"/>
          <c:h val="0.38675422702631096"/>
        </c:manualLayout>
      </c:layout>
      <c:area3DChart>
        <c:grouping val="stacked"/>
        <c:varyColors val="0"/>
        <c:ser>
          <c:idx val="0"/>
          <c:order val="0"/>
          <c:tx>
            <c:strRef>
              <c:f>'Pivot Tables'!$B$14</c:f>
              <c:strCache>
                <c:ptCount val="1"/>
                <c:pt idx="0">
                  <c:v>Sum of Sales</c:v>
                </c:pt>
              </c:strCache>
            </c:strRef>
          </c:tx>
          <c:spPr>
            <a:solidFill>
              <a:schemeClr val="accent1"/>
            </a:solidFill>
            <a:ln>
              <a:noFill/>
            </a:ln>
            <a:effectLst/>
            <a:sp3d/>
          </c:spPr>
          <c:cat>
            <c:strRef>
              <c:f>'Pivot Tables'!$A$15:$A$21</c:f>
              <c:strCache>
                <c:ptCount val="6"/>
                <c:pt idx="0">
                  <c:v>Books</c:v>
                </c:pt>
                <c:pt idx="1">
                  <c:v>Clothing</c:v>
                </c:pt>
                <c:pt idx="2">
                  <c:v>Electronics</c:v>
                </c:pt>
                <c:pt idx="3">
                  <c:v>Furniture</c:v>
                </c:pt>
                <c:pt idx="4">
                  <c:v>Office Supplies</c:v>
                </c:pt>
                <c:pt idx="5">
                  <c:v>(blank)</c:v>
                </c:pt>
              </c:strCache>
            </c:strRef>
          </c:cat>
          <c:val>
            <c:numRef>
              <c:f>'Pivot Tables'!$B$15:$B$21</c:f>
              <c:numCache>
                <c:formatCode>General</c:formatCode>
                <c:ptCount val="6"/>
                <c:pt idx="0">
                  <c:v>4097279.9199999995</c:v>
                </c:pt>
                <c:pt idx="1">
                  <c:v>3919562.1399999997</c:v>
                </c:pt>
                <c:pt idx="2">
                  <c:v>3866226.5</c:v>
                </c:pt>
                <c:pt idx="3">
                  <c:v>3891741.7</c:v>
                </c:pt>
                <c:pt idx="4">
                  <c:v>3678973.0600000005</c:v>
                </c:pt>
              </c:numCache>
            </c:numRef>
          </c:val>
          <c:extLst>
            <c:ext xmlns:c16="http://schemas.microsoft.com/office/drawing/2014/chart" uri="{C3380CC4-5D6E-409C-BE32-E72D297353CC}">
              <c16:uniqueId val="{00000000-A04F-4C8B-A800-6FE10E9D4764}"/>
            </c:ext>
          </c:extLst>
        </c:ser>
        <c:ser>
          <c:idx val="1"/>
          <c:order val="1"/>
          <c:tx>
            <c:strRef>
              <c:f>'Pivot Tables'!$C$14</c:f>
              <c:strCache>
                <c:ptCount val="1"/>
                <c:pt idx="0">
                  <c:v>Sum of Profit</c:v>
                </c:pt>
              </c:strCache>
            </c:strRef>
          </c:tx>
          <c:spPr>
            <a:solidFill>
              <a:schemeClr val="accent2"/>
            </a:solidFill>
            <a:ln>
              <a:noFill/>
            </a:ln>
            <a:effectLst/>
            <a:sp3d/>
          </c:spPr>
          <c:cat>
            <c:strRef>
              <c:f>'Pivot Tables'!$A$15:$A$21</c:f>
              <c:strCache>
                <c:ptCount val="6"/>
                <c:pt idx="0">
                  <c:v>Books</c:v>
                </c:pt>
                <c:pt idx="1">
                  <c:v>Clothing</c:v>
                </c:pt>
                <c:pt idx="2">
                  <c:v>Electronics</c:v>
                </c:pt>
                <c:pt idx="3">
                  <c:v>Furniture</c:v>
                </c:pt>
                <c:pt idx="4">
                  <c:v>Office Supplies</c:v>
                </c:pt>
                <c:pt idx="5">
                  <c:v>(blank)</c:v>
                </c:pt>
              </c:strCache>
            </c:strRef>
          </c:cat>
          <c:val>
            <c:numRef>
              <c:f>'Pivot Tables'!$C$15:$C$21</c:f>
              <c:numCache>
                <c:formatCode>General</c:formatCode>
                <c:ptCount val="6"/>
                <c:pt idx="0">
                  <c:v>726304.07000000007</c:v>
                </c:pt>
                <c:pt idx="1">
                  <c:v>746508.07000000007</c:v>
                </c:pt>
                <c:pt idx="2">
                  <c:v>769795.44000000018</c:v>
                </c:pt>
                <c:pt idx="3">
                  <c:v>729963.8</c:v>
                </c:pt>
                <c:pt idx="4">
                  <c:v>682854.52000000037</c:v>
                </c:pt>
              </c:numCache>
            </c:numRef>
          </c:val>
          <c:extLst>
            <c:ext xmlns:c16="http://schemas.microsoft.com/office/drawing/2014/chart" uri="{C3380CC4-5D6E-409C-BE32-E72D297353CC}">
              <c16:uniqueId val="{00000001-A04F-4C8B-A800-6FE10E9D4764}"/>
            </c:ext>
          </c:extLst>
        </c:ser>
        <c:dLbls>
          <c:showLegendKey val="0"/>
          <c:showVal val="0"/>
          <c:showCatName val="0"/>
          <c:showSerName val="0"/>
          <c:showPercent val="0"/>
          <c:showBubbleSize val="0"/>
        </c:dLbls>
        <c:axId val="1416476592"/>
        <c:axId val="1476110640"/>
        <c:axId val="0"/>
      </c:area3DChart>
      <c:catAx>
        <c:axId val="14164765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76110640"/>
        <c:crosses val="autoZero"/>
        <c:auto val="1"/>
        <c:lblAlgn val="ctr"/>
        <c:lblOffset val="100"/>
        <c:noMultiLvlLbl val="0"/>
      </c:catAx>
      <c:valAx>
        <c:axId val="14761106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16476592"/>
        <c:crosses val="autoZero"/>
        <c:crossBetween val="midCat"/>
      </c:valAx>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'Main Task'!$N$3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'Main Task'!$M$4:$M$8</c:f>
              <c:strCache>
                <c:ptCount val="5"/>
                <c:pt idx="0">
                  <c:v>North</c:v>
                </c:pt>
                <c:pt idx="1">
                  <c:v>South</c:v>
                </c:pt>
                <c:pt idx="2">
                  <c:v>East</c:v>
                </c:pt>
                <c:pt idx="3">
                  <c:v>West</c:v>
                </c:pt>
                <c:pt idx="4">
                  <c:v>Central</c:v>
                </c:pt>
              </c:strCache>
            </c:strRef>
          </c:cat>
          <c:val>
            <c:numRef>
              <c:f>'Main Task'!$N$4:$N$8</c:f>
              <c:numCache>
                <c:formatCode>General</c:formatCode>
                <c:ptCount val="5"/>
                <c:pt idx="0">
                  <c:v>3866226.5</c:v>
                </c:pt>
                <c:pt idx="1">
                  <c:v>3919562.1399999997</c:v>
                </c:pt>
                <c:pt idx="2">
                  <c:v>3891741.7</c:v>
                </c:pt>
                <c:pt idx="3">
                  <c:v>4097279.9199999995</c:v>
                </c:pt>
                <c:pt idx="4">
                  <c:v>3678973.0600000005</c:v>
                </c:pt>
              </c:numCache>
            </c:numRef>
          </c:val>
          <c:extLst>
            <c:ext xmlns:c16="http://schemas.microsoft.com/office/drawing/2014/chart" uri="{C3380CC4-5D6E-409C-BE32-E72D297353CC}">
              <c16:uniqueId val="{00000000-031F-4B96-BD38-01C7ECB5BE4F}"/>
            </c:ext>
          </c:extLst>
        </c:ser>
        <c:dLbls>
          <c:showLegendKey val="0"/>
          <c:showVal val="0"/>
          <c:showCatName val="0"/>
          <c:showSerName val="0"/>
          <c:showPercent val="0"/>
          <c:showBubbleSize val="0"/>
        </c:dLbls>
        <c:gapWidth val="150"/>
        <c:overlap val="100"/>
        <c:axId val="713461632"/>
        <c:axId val="707816880"/>
      </c:barChart>
      <c:catAx>
        <c:axId val="713461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816880"/>
        <c:crosses val="autoZero"/>
        <c:auto val="1"/>
        <c:lblAlgn val="ctr"/>
        <c:lblOffset val="100"/>
        <c:noMultiLvlLbl val="0"/>
      </c:catAx>
      <c:valAx>
        <c:axId val="707816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34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and Profit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 Task'!$K$262</c:f>
              <c:strCache>
                <c:ptCount val="1"/>
                <c:pt idx="0">
                  <c:v>Total Sales</c:v>
                </c:pt>
              </c:strCache>
            </c:strRef>
          </c:tx>
          <c:spPr>
            <a:solidFill>
              <a:schemeClr val="accent1"/>
            </a:solidFill>
            <a:ln>
              <a:noFill/>
            </a:ln>
            <a:effectLst/>
          </c:spPr>
          <c:invertIfNegative val="0"/>
          <c:cat>
            <c:strRef>
              <c:f>'Main Task'!$J$263:$J$267</c:f>
              <c:strCache>
                <c:ptCount val="5"/>
                <c:pt idx="0">
                  <c:v>Electronics</c:v>
                </c:pt>
                <c:pt idx="1">
                  <c:v>Clothing</c:v>
                </c:pt>
                <c:pt idx="2">
                  <c:v>Furniture</c:v>
                </c:pt>
                <c:pt idx="3">
                  <c:v>Books</c:v>
                </c:pt>
                <c:pt idx="4">
                  <c:v>Office Supplies</c:v>
                </c:pt>
              </c:strCache>
            </c:strRef>
          </c:cat>
          <c:val>
            <c:numRef>
              <c:f>'Main Task'!$K$263:$K$267</c:f>
              <c:numCache>
                <c:formatCode>General</c:formatCode>
                <c:ptCount val="5"/>
                <c:pt idx="0">
                  <c:v>3866226.5</c:v>
                </c:pt>
                <c:pt idx="1">
                  <c:v>3919562.1399999997</c:v>
                </c:pt>
                <c:pt idx="2">
                  <c:v>3891741.7</c:v>
                </c:pt>
                <c:pt idx="3">
                  <c:v>4097279.9199999995</c:v>
                </c:pt>
                <c:pt idx="4">
                  <c:v>3678973.0600000005</c:v>
                </c:pt>
              </c:numCache>
            </c:numRef>
          </c:val>
          <c:extLst>
            <c:ext xmlns:c16="http://schemas.microsoft.com/office/drawing/2014/chart" uri="{C3380CC4-5D6E-409C-BE32-E72D297353CC}">
              <c16:uniqueId val="{00000000-7EFF-4F8F-A189-C7E4EAE618C6}"/>
            </c:ext>
          </c:extLst>
        </c:ser>
        <c:ser>
          <c:idx val="1"/>
          <c:order val="1"/>
          <c:tx>
            <c:strRef>
              <c:f>'Main Task'!$L$262</c:f>
              <c:strCache>
                <c:ptCount val="1"/>
                <c:pt idx="0">
                  <c:v>Total Profit</c:v>
                </c:pt>
              </c:strCache>
            </c:strRef>
          </c:tx>
          <c:spPr>
            <a:solidFill>
              <a:schemeClr val="accent2"/>
            </a:solidFill>
            <a:ln>
              <a:noFill/>
            </a:ln>
            <a:effectLst/>
          </c:spPr>
          <c:invertIfNegative val="0"/>
          <c:cat>
            <c:strRef>
              <c:f>'Main Task'!$J$263:$J$267</c:f>
              <c:strCache>
                <c:ptCount val="5"/>
                <c:pt idx="0">
                  <c:v>Electronics</c:v>
                </c:pt>
                <c:pt idx="1">
                  <c:v>Clothing</c:v>
                </c:pt>
                <c:pt idx="2">
                  <c:v>Furniture</c:v>
                </c:pt>
                <c:pt idx="3">
                  <c:v>Books</c:v>
                </c:pt>
                <c:pt idx="4">
                  <c:v>Office Supplies</c:v>
                </c:pt>
              </c:strCache>
            </c:strRef>
          </c:cat>
          <c:val>
            <c:numRef>
              <c:f>'Main Task'!$L$263:$L$267</c:f>
              <c:numCache>
                <c:formatCode>General</c:formatCode>
                <c:ptCount val="5"/>
                <c:pt idx="0">
                  <c:v>769795.44000000018</c:v>
                </c:pt>
                <c:pt idx="1">
                  <c:v>746508.07000000007</c:v>
                </c:pt>
                <c:pt idx="2">
                  <c:v>729963.8</c:v>
                </c:pt>
                <c:pt idx="3">
                  <c:v>726304.07000000007</c:v>
                </c:pt>
                <c:pt idx="4">
                  <c:v>682854.52000000037</c:v>
                </c:pt>
              </c:numCache>
            </c:numRef>
          </c:val>
          <c:extLst>
            <c:ext xmlns:c16="http://schemas.microsoft.com/office/drawing/2014/chart" uri="{C3380CC4-5D6E-409C-BE32-E72D297353CC}">
              <c16:uniqueId val="{00000001-7EFF-4F8F-A189-C7E4EAE618C6}"/>
            </c:ext>
          </c:extLst>
        </c:ser>
        <c:dLbls>
          <c:showLegendKey val="0"/>
          <c:showVal val="0"/>
          <c:showCatName val="0"/>
          <c:showSerName val="0"/>
          <c:showPercent val="0"/>
          <c:showBubbleSize val="0"/>
        </c:dLbls>
        <c:gapWidth val="219"/>
        <c:overlap val="-27"/>
        <c:axId val="1363932064"/>
        <c:axId val="707884560"/>
      </c:barChart>
      <c:catAx>
        <c:axId val="13639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884560"/>
        <c:crosses val="autoZero"/>
        <c:auto val="1"/>
        <c:lblAlgn val="ctr"/>
        <c:lblOffset val="100"/>
        <c:noMultiLvlLbl val="0"/>
      </c:catAx>
      <c:valAx>
        <c:axId val="70788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3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Quantity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'Main Task'!$L$288</c:f>
              <c:strCache>
                <c:ptCount val="1"/>
                <c:pt idx="0">
                  <c:v>Total Quantiy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'Main Task'!$K$289:$K$296</c:f>
              <c:strCache>
                <c:ptCount val="8"/>
                <c:pt idx="0">
                  <c:v>Amit</c:v>
                </c:pt>
                <c:pt idx="1">
                  <c:v>Neha</c:v>
                </c:pt>
                <c:pt idx="2">
                  <c:v>Riya</c:v>
                </c:pt>
                <c:pt idx="3">
                  <c:v>Karan</c:v>
                </c:pt>
                <c:pt idx="4">
                  <c:v>Pooja</c:v>
                </c:pt>
                <c:pt idx="5">
                  <c:v>Rahul</c:v>
                </c:pt>
                <c:pt idx="6">
                  <c:v>Meera</c:v>
                </c:pt>
                <c:pt idx="7">
                  <c:v>Vikram</c:v>
                </c:pt>
              </c:strCache>
            </c:strRef>
          </c:cat>
          <c:val>
            <c:numRef>
              <c:f>'Main Task'!$L$289:$L$296</c:f>
              <c:numCache>
                <c:formatCode>General</c:formatCode>
                <c:ptCount val="8"/>
                <c:pt idx="0">
                  <c:v>153</c:v>
                </c:pt>
                <c:pt idx="1">
                  <c:v>172</c:v>
                </c:pt>
                <c:pt idx="2">
                  <c:v>179</c:v>
                </c:pt>
                <c:pt idx="3">
                  <c:v>163</c:v>
                </c:pt>
                <c:pt idx="4">
                  <c:v>179</c:v>
                </c:pt>
                <c:pt idx="5">
                  <c:v>165</c:v>
                </c:pt>
                <c:pt idx="6">
                  <c:v>180</c:v>
                </c:pt>
                <c:pt idx="7">
                  <c:v>173</c:v>
                </c:pt>
              </c:numCache>
            </c:numRef>
          </c:val>
          <c:extLst>
            <c:ext xmlns:c16="http://schemas.microsoft.com/office/drawing/2014/chart" uri="{C3380CC4-5D6E-409C-BE32-E72D297353CC}">
              <c16:uniqueId val="{00000000-B338-4DD7-B2B9-BA2804396675}"/>
            </c:ext>
          </c:extLst>
        </c:ser>
        <c:dLbls>
          <c:dLblPos val="inEnd"/>
          <c:showLegendKey val="0"/>
          <c:showVal val="1"/>
          <c:showCatName val="0"/>
          <c:showSerName val="0"/>
          <c:showPercent val="0"/>
          <c:showBubbleSize val="0"/>
        </c:dLbls>
        <c:gapWidth val="65"/>
        <c:axId val="1363975216"/>
        <c:axId val="707891280"/>
      </c:barChart>
      <c:catAx>
        <c:axId val="13639752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7891280"/>
        <c:crosses val="autoZero"/>
        <c:auto val="1"/>
        <c:lblAlgn val="ctr"/>
        <c:lblOffset val="100"/>
        <c:noMultiLvlLbl val="0"/>
      </c:catAx>
      <c:valAx>
        <c:axId val="707891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397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273784</xdr:colOff>
      <xdr:row>2</xdr:row>
      <xdr:rowOff>57460</xdr:rowOff>
    </xdr:from>
    <xdr:to>
      <xdr:col>4</xdr:col>
      <xdr:colOff>888033</xdr:colOff>
      <xdr:row>10</xdr:row>
      <xdr:rowOff>60579</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24F92407-08AB-4DD1-9184-C1474C08D7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65820" y="486951"/>
              <a:ext cx="2124394" cy="1485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1074421</xdr:colOff>
      <xdr:row>1</xdr:row>
      <xdr:rowOff>135702</xdr:rowOff>
    </xdr:from>
    <xdr:to>
      <xdr:col>8</xdr:col>
      <xdr:colOff>189117</xdr:colOff>
      <xdr:row>9</xdr:row>
      <xdr:rowOff>70830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FE4EFD16-200B-922A-C8F6-9C58864D0A2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413366" y="371229"/>
              <a:ext cx="2384369" cy="14175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135921</xdr:colOff>
      <xdr:row>0</xdr:row>
      <xdr:rowOff>0</xdr:rowOff>
    </xdr:from>
    <xdr:to>
      <xdr:col>16</xdr:col>
      <xdr:colOff>122632</xdr:colOff>
      <xdr:row>11</xdr:row>
      <xdr:rowOff>60251</xdr:rowOff>
    </xdr:to>
    <xdr:graphicFrame macro="">
      <xdr:nvGraphicFramePr>
        <xdr:cNvPr id="5" name="Chart 4">
          <a:extLst>
            <a:ext uri="{FF2B5EF4-FFF2-40B4-BE49-F238E27FC236}">
              <a16:creationId xmlns:a16="http://schemas.microsoft.com/office/drawing/2014/main" id="{7C6C74FD-E09F-B70A-D929-BE4A867FE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135612</xdr:colOff>
      <xdr:row>11</xdr:row>
      <xdr:rowOff>191145</xdr:rowOff>
    </xdr:from>
    <xdr:to>
      <xdr:col>11</xdr:col>
      <xdr:colOff>142069</xdr:colOff>
      <xdr:row>22</xdr:row>
      <xdr:rowOff>200186</xdr:rowOff>
    </xdr:to>
    <xdr:graphicFrame macro="">
      <xdr:nvGraphicFramePr>
        <xdr:cNvPr id="6" name="Chart 5">
          <a:extLst>
            <a:ext uri="{FF2B5EF4-FFF2-40B4-BE49-F238E27FC236}">
              <a16:creationId xmlns:a16="http://schemas.microsoft.com/office/drawing/2014/main" id="{23182DCB-1125-B4F6-CD1C-F7AEB25C4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146975</xdr:colOff>
      <xdr:row>13</xdr:row>
      <xdr:rowOff>107198</xdr:rowOff>
    </xdr:from>
    <xdr:to>
      <xdr:col>5</xdr:col>
      <xdr:colOff>12655</xdr:colOff>
      <xdr:row>20</xdr:row>
      <xdr:rowOff>51663</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ED5BDBE3-6D39-8A03-9ED8-F80BFBF382E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063357" y="2642580"/>
              <a:ext cx="1833026" cy="1232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5</xdr:row>
      <xdr:rowOff>104776</xdr:rowOff>
    </xdr:from>
    <xdr:to>
      <xdr:col>5</xdr:col>
      <xdr:colOff>371475</xdr:colOff>
      <xdr:row>22</xdr:row>
      <xdr:rowOff>57151</xdr:rowOff>
    </xdr:to>
    <xdr:graphicFrame macro="">
      <xdr:nvGraphicFramePr>
        <xdr:cNvPr id="2" name="Chart 1">
          <a:extLst>
            <a:ext uri="{FF2B5EF4-FFF2-40B4-BE49-F238E27FC236}">
              <a16:creationId xmlns:a16="http://schemas.microsoft.com/office/drawing/2014/main" id="{AC902660-FD23-4971-A33E-48E93F989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514349</xdr:colOff>
      <xdr:row>8</xdr:row>
      <xdr:rowOff>57150</xdr:rowOff>
    </xdr:from>
    <xdr:to>
      <xdr:col>13</xdr:col>
      <xdr:colOff>57149</xdr:colOff>
      <xdr:row>26</xdr:row>
      <xdr:rowOff>38100</xdr:rowOff>
    </xdr:to>
    <xdr:graphicFrame macro="">
      <xdr:nvGraphicFramePr>
        <xdr:cNvPr id="3" name="Chart 2">
          <a:extLst>
            <a:ext uri="{FF2B5EF4-FFF2-40B4-BE49-F238E27FC236}">
              <a16:creationId xmlns:a16="http://schemas.microsoft.com/office/drawing/2014/main" id="{910F976A-861A-4273-B6AD-73411003B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552450</xdr:colOff>
      <xdr:row>6</xdr:row>
      <xdr:rowOff>47625</xdr:rowOff>
    </xdr:from>
    <xdr:to>
      <xdr:col>20</xdr:col>
      <xdr:colOff>247650</xdr:colOff>
      <xdr:row>23</xdr:row>
      <xdr:rowOff>114300</xdr:rowOff>
    </xdr:to>
    <xdr:graphicFrame macro="">
      <xdr:nvGraphicFramePr>
        <xdr:cNvPr id="4" name="Chart 3">
          <a:extLst>
            <a:ext uri="{FF2B5EF4-FFF2-40B4-BE49-F238E27FC236}">
              <a16:creationId xmlns:a16="http://schemas.microsoft.com/office/drawing/2014/main" id="{C226BBBB-A104-4084-B193-004E96529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28</xdr:row>
      <xdr:rowOff>0</xdr:rowOff>
    </xdr:from>
    <xdr:to>
      <xdr:col>1</xdr:col>
      <xdr:colOff>461526</xdr:colOff>
      <xdr:row>38</xdr:row>
      <xdr:rowOff>142875</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B9C16960-6FD8-43DA-AC3A-DA59237A089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6404658"/>
              <a:ext cx="2120564" cy="1975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590550</xdr:colOff>
      <xdr:row>30</xdr:row>
      <xdr:rowOff>47625</xdr:rowOff>
    </xdr:from>
    <xdr:to>
      <xdr:col>6</xdr:col>
      <xdr:colOff>1285875</xdr:colOff>
      <xdr:row>43</xdr:row>
      <xdr:rowOff>161925</xdr:rowOff>
    </xdr:to>
    <xdr:graphicFrame macro="">
      <xdr:nvGraphicFramePr>
        <xdr:cNvPr id="8" name="Chart 7">
          <a:extLst>
            <a:ext uri="{FF2B5EF4-FFF2-40B4-BE49-F238E27FC236}">
              <a16:creationId xmlns:a16="http://schemas.microsoft.com/office/drawing/2014/main" id="{74109B6B-3597-4EA9-8AFE-DE8387374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1352550</xdr:colOff>
      <xdr:row>32</xdr:row>
      <xdr:rowOff>76200</xdr:rowOff>
    </xdr:from>
    <xdr:to>
      <xdr:col>9</xdr:col>
      <xdr:colOff>746069</xdr:colOff>
      <xdr:row>40</xdr:row>
      <xdr:rowOff>45965</xdr:rowOff>
    </xdr:to>
    <mc:AlternateContent xmlns:mc="http://schemas.openxmlformats.org/markup-compatibility/2006">
      <mc:Choice xmlns:tsle="http://schemas.microsoft.com/office/drawing/2012/timeslicer" Requires="tsle">
        <xdr:graphicFrame macro="">
          <xdr:nvGraphicFramePr>
            <xdr:cNvPr id="5" name="Order_Date 1">
              <a:extLst>
                <a:ext uri="{FF2B5EF4-FFF2-40B4-BE49-F238E27FC236}">
                  <a16:creationId xmlns:a16="http://schemas.microsoft.com/office/drawing/2014/main" id="{6CF83424-389F-41B7-A47F-E8424A2A1884}"/>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6810375" y="7143750"/>
              <a:ext cx="2384369" cy="14175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257175</xdr:colOff>
      <xdr:row>25</xdr:row>
      <xdr:rowOff>47625</xdr:rowOff>
    </xdr:from>
    <xdr:to>
      <xdr:col>19</xdr:col>
      <xdr:colOff>1213901</xdr:colOff>
      <xdr:row>38</xdr:row>
      <xdr:rowOff>19050</xdr:rowOff>
    </xdr:to>
    <mc:AlternateContent xmlns:mc="http://schemas.openxmlformats.org/markup-compatibility/2006">
      <mc:Choice xmlns:a14="http://schemas.microsoft.com/office/drawing/2010/main" Requires="a14">
        <xdr:graphicFrame macro="">
          <xdr:nvGraphicFramePr>
            <xdr:cNvPr id="6" name="Product_Category 1">
              <a:extLst>
                <a:ext uri="{FF2B5EF4-FFF2-40B4-BE49-F238E27FC236}">
                  <a16:creationId xmlns:a16="http://schemas.microsoft.com/office/drawing/2014/main" id="{66DB6AB2-D389-4726-97E2-7CAF879D723C}"/>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4373225" y="5848350"/>
              <a:ext cx="2204501"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904875</xdr:colOff>
      <xdr:row>29</xdr:row>
      <xdr:rowOff>28575</xdr:rowOff>
    </xdr:from>
    <xdr:to>
      <xdr:col>16</xdr:col>
      <xdr:colOff>285750</xdr:colOff>
      <xdr:row>45</xdr:row>
      <xdr:rowOff>142874</xdr:rowOff>
    </xdr:to>
    <xdr:graphicFrame macro="">
      <xdr:nvGraphicFramePr>
        <xdr:cNvPr id="9" name="Chart 8">
          <a:extLst>
            <a:ext uri="{FF2B5EF4-FFF2-40B4-BE49-F238E27FC236}">
              <a16:creationId xmlns:a16="http://schemas.microsoft.com/office/drawing/2014/main" id="{880A8B74-8795-40A3-A5B6-28F328AB0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297180</xdr:colOff>
      <xdr:row>8</xdr:row>
      <xdr:rowOff>179070</xdr:rowOff>
    </xdr:from>
    <xdr:to>
      <xdr:col>17</xdr:col>
      <xdr:colOff>121920</xdr:colOff>
      <xdr:row>23</xdr:row>
      <xdr:rowOff>179070</xdr:rowOff>
    </xdr:to>
    <xdr:graphicFrame macro="">
      <xdr:nvGraphicFramePr>
        <xdr:cNvPr id="2" name="Chart 1">
          <a:extLst>
            <a:ext uri="{FF2B5EF4-FFF2-40B4-BE49-F238E27FC236}">
              <a16:creationId xmlns:a16="http://schemas.microsoft.com/office/drawing/2014/main" id="{54FF4F8E-D9AF-D989-AA89-CCD17A6A1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267</xdr:row>
      <xdr:rowOff>171450</xdr:rowOff>
    </xdr:from>
    <xdr:to>
      <xdr:col>14</xdr:col>
      <xdr:colOff>480060</xdr:colOff>
      <xdr:row>282</xdr:row>
      <xdr:rowOff>171450</xdr:rowOff>
    </xdr:to>
    <xdr:graphicFrame macro="">
      <xdr:nvGraphicFramePr>
        <xdr:cNvPr id="3" name="Chart 2">
          <a:extLst>
            <a:ext uri="{FF2B5EF4-FFF2-40B4-BE49-F238E27FC236}">
              <a16:creationId xmlns:a16="http://schemas.microsoft.com/office/drawing/2014/main" id="{8AFC3612-93D2-FE80-6CE9-3353B956B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556260</xdr:colOff>
      <xdr:row>297</xdr:row>
      <xdr:rowOff>57150</xdr:rowOff>
    </xdr:from>
    <xdr:to>
      <xdr:col>14</xdr:col>
      <xdr:colOff>152400</xdr:colOff>
      <xdr:row>312</xdr:row>
      <xdr:rowOff>57150</xdr:rowOff>
    </xdr:to>
    <xdr:graphicFrame macro="">
      <xdr:nvGraphicFramePr>
        <xdr:cNvPr id="4" name="Chart 3">
          <a:extLst>
            <a:ext uri="{FF2B5EF4-FFF2-40B4-BE49-F238E27FC236}">
              <a16:creationId xmlns:a16="http://schemas.microsoft.com/office/drawing/2014/main" id="{121CA8DA-66F3-97B2-975B-8E1D9682D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6282.79366516204" createdVersion="8" refreshedVersion="8" minRefreshableVersion="3" recordCount="229" xr:uid="{968976DB-6729-4741-BA37-7A3E7849114B}">
  <cacheSource type="worksheet">
    <worksheetSource name="SalesData"/>
  </cacheSource>
  <cacheFields count="13">
    <cacheField name="Customer_ID" numFmtId="0">
      <sharedItems containsBlank="1"/>
    </cacheField>
    <cacheField name="Customer_Name" numFmtId="0">
      <sharedItems containsBlank="1"/>
    </cacheField>
    <cacheField name="Region" numFmtId="0">
      <sharedItems containsBlank="1" count="6">
        <s v="North"/>
        <s v="South"/>
        <s v="East"/>
        <s v="West"/>
        <s v="Central"/>
        <m/>
      </sharedItems>
    </cacheField>
    <cacheField name="Product_Category" numFmtId="0">
      <sharedItems containsBlank="1" count="6">
        <s v="Electronics"/>
        <s v="Clothing"/>
        <s v="Furniture"/>
        <s v="Books"/>
        <s v="Office Supplies"/>
        <m/>
      </sharedItems>
    </cacheField>
    <cacheField name="Unit_Price" numFmtId="0">
      <sharedItems containsString="0" containsBlank="1" containsNumber="1" containsInteger="1" minValue="500" maxValue="30914"/>
    </cacheField>
    <cacheField name="Quantity" numFmtId="0">
      <sharedItems containsString="0" containsBlank="1" containsNumber="1" containsInteger="1" minValue="1" maxValue="11"/>
    </cacheField>
    <cacheField name="Discount" numFmtId="0">
      <sharedItems containsString="0" containsBlank="1" containsNumber="1" minValue="0" maxValue="0.2"/>
    </cacheField>
    <cacheField name="Order_Date" numFmtId="14">
      <sharedItems containsNonDate="0" containsDate="1" containsString="0" containsBlank="1" minDate="2025-01-01T00:00:00" maxDate="2025-08-12T00:00:00" count="2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2-15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4-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6-15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8-08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9T00:00:00"/>
        <d v="2025-08-10T00:00:00"/>
        <d v="2025-08-11T00:00:00"/>
        <m/>
      </sharedItems>
    </cacheField>
    <cacheField name="Sales" numFmtId="0">
      <sharedItems containsString="0" containsBlank="1" containsNumber="1" minValue="500" maxValue="302238.86"/>
    </cacheField>
    <cacheField name="Profit" numFmtId="0">
      <sharedItems containsString="0" containsBlank="1" containsNumber="1" minValue="40" maxValue="78582.100000000006"/>
    </cacheField>
    <cacheField name="Salesperson" numFmtId="0">
      <sharedItems containsBlank="1" count="9">
        <s v="Amit"/>
        <s v="Neha"/>
        <s v="Riya"/>
        <s v="Karan"/>
        <s v="Pooja"/>
        <s v="Rahul"/>
        <s v="Meera"/>
        <s v="Vikram"/>
        <m/>
      </sharedItems>
    </cacheField>
    <cacheField name="Payment_Mode" numFmtId="0">
      <sharedItems containsBlank="1" count="6">
        <s v="UPI"/>
        <s v="Credit Card"/>
        <s v="Debit Card"/>
        <s v="Cash"/>
        <s v="Net Banking"/>
        <m/>
      </sharedItems>
    </cacheField>
    <cacheField name="Customer_Segment" numFmtId="0">
      <sharedItems containsBlank="1" count="5">
        <s v="Retail"/>
        <s v="Corporate"/>
        <s v="Education"/>
        <s v="Small Business"/>
        <m/>
      </sharedItems>
    </cacheField>
  </cacheFields>
  <extLst>
    <ext xmlns:x14="http://schemas.microsoft.com/office/spreadsheetml/2009/9/main" uri="{725AE2AE-9491-48be-B2B4-4EB974FC3084}">
      <x14:pivotCacheDefinition pivotCacheId="1624084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s v="CUST0001"/>
    <s v="Aarav Shah"/>
    <x v="0"/>
    <x v="0"/>
    <n v="500"/>
    <n v="1"/>
    <n v="0"/>
    <x v="0"/>
    <n v="500"/>
    <n v="40"/>
    <x v="0"/>
    <x v="0"/>
    <x v="0"/>
  </r>
  <r>
    <s v="CUST0002"/>
    <s v="Vivaan Shah"/>
    <x v="1"/>
    <x v="1"/>
    <n v="637"/>
    <n v="8"/>
    <n v="0.02"/>
    <x v="1"/>
    <n v="4994.08"/>
    <n v="499.41"/>
    <x v="1"/>
    <x v="1"/>
    <x v="1"/>
  </r>
  <r>
    <s v="CUST0003"/>
    <s v="Aditya Shah"/>
    <x v="2"/>
    <x v="2"/>
    <n v="774"/>
    <n v="4"/>
    <n v="0.05"/>
    <x v="2"/>
    <n v="2941.2"/>
    <n v="352.94"/>
    <x v="2"/>
    <x v="2"/>
    <x v="2"/>
  </r>
  <r>
    <s v="CUST0004"/>
    <s v="Arjun Shah"/>
    <x v="3"/>
    <x v="3"/>
    <n v="911"/>
    <n v="11"/>
    <n v="0.08"/>
    <x v="3"/>
    <n v="9219.32"/>
    <n v="1290.7"/>
    <x v="3"/>
    <x v="3"/>
    <x v="3"/>
  </r>
  <r>
    <s v="CUST0005"/>
    <s v="Kabir Shah"/>
    <x v="4"/>
    <x v="4"/>
    <n v="1048"/>
    <n v="7"/>
    <n v="0.1"/>
    <x v="4"/>
    <n v="6602.4"/>
    <n v="1056.3800000000001"/>
    <x v="4"/>
    <x v="4"/>
    <x v="0"/>
  </r>
  <r>
    <s v="CUST0006"/>
    <s v="Rohan Shah"/>
    <x v="0"/>
    <x v="0"/>
    <n v="1185"/>
    <n v="3"/>
    <n v="0.12"/>
    <x v="5"/>
    <n v="3128.4"/>
    <n v="563.11"/>
    <x v="5"/>
    <x v="0"/>
    <x v="1"/>
  </r>
  <r>
    <s v="CUST0007"/>
    <s v="Ananya Shah"/>
    <x v="1"/>
    <x v="1"/>
    <n v="1322"/>
    <n v="10"/>
    <n v="0.15"/>
    <x v="6"/>
    <n v="11237"/>
    <n v="2247.4"/>
    <x v="6"/>
    <x v="1"/>
    <x v="2"/>
  </r>
  <r>
    <s v="CUST0008"/>
    <s v="Diya Shah"/>
    <x v="2"/>
    <x v="2"/>
    <n v="1459"/>
    <n v="6"/>
    <n v="0.2"/>
    <x v="7"/>
    <n v="7003.2"/>
    <n v="1540.7"/>
    <x v="7"/>
    <x v="2"/>
    <x v="3"/>
  </r>
  <r>
    <s v="CUST0009"/>
    <s v="Ishita Shah"/>
    <x v="3"/>
    <x v="3"/>
    <n v="1596"/>
    <n v="2"/>
    <n v="0"/>
    <x v="8"/>
    <n v="3192"/>
    <n v="766.08"/>
    <x v="0"/>
    <x v="3"/>
    <x v="0"/>
  </r>
  <r>
    <s v="CUST0010"/>
    <s v="Meera Shah"/>
    <x v="4"/>
    <x v="4"/>
    <n v="1733"/>
    <n v="9"/>
    <n v="0.02"/>
    <x v="9"/>
    <n v="15285.06"/>
    <n v="3974.12"/>
    <x v="1"/>
    <x v="4"/>
    <x v="1"/>
  </r>
  <r>
    <s v="CUST0011"/>
    <s v="Riya Shah"/>
    <x v="0"/>
    <x v="0"/>
    <n v="1870"/>
    <n v="5"/>
    <n v="0.05"/>
    <x v="10"/>
    <n v="8882.5"/>
    <n v="2487.1"/>
    <x v="2"/>
    <x v="0"/>
    <x v="2"/>
  </r>
  <r>
    <s v="CUST0012"/>
    <s v="Pooja Shah"/>
    <x v="1"/>
    <x v="1"/>
    <n v="2007"/>
    <n v="1"/>
    <n v="0.08"/>
    <x v="11"/>
    <n v="1846.44"/>
    <n v="553.92999999999995"/>
    <x v="3"/>
    <x v="1"/>
    <x v="3"/>
  </r>
  <r>
    <s v="CUST0013"/>
    <s v="Neha Shah"/>
    <x v="2"/>
    <x v="2"/>
    <n v="2144"/>
    <n v="8"/>
    <n v="0.1"/>
    <x v="12"/>
    <n v="15436.8"/>
    <n v="1234.94"/>
    <x v="4"/>
    <x v="2"/>
    <x v="0"/>
  </r>
  <r>
    <s v="CUST0014"/>
    <s v="Kavya Shah"/>
    <x v="3"/>
    <x v="3"/>
    <n v="2281"/>
    <n v="4"/>
    <n v="0.12"/>
    <x v="13"/>
    <n v="8029.12"/>
    <n v="802.91"/>
    <x v="5"/>
    <x v="3"/>
    <x v="1"/>
  </r>
  <r>
    <s v="CUST0015"/>
    <s v="Vikram Patel"/>
    <x v="4"/>
    <x v="4"/>
    <n v="2418"/>
    <n v="11"/>
    <n v="0.15"/>
    <x v="14"/>
    <n v="22608.3"/>
    <n v="2713"/>
    <x v="6"/>
    <x v="4"/>
    <x v="2"/>
  </r>
  <r>
    <s v="CUST0016"/>
    <s v="Priya Shah"/>
    <x v="0"/>
    <x v="0"/>
    <n v="2555"/>
    <n v="7"/>
    <n v="0.2"/>
    <x v="15"/>
    <n v="14308"/>
    <n v="2003.12"/>
    <x v="7"/>
    <x v="0"/>
    <x v="3"/>
  </r>
  <r>
    <s v="CUST0017"/>
    <s v="Rahul Shah"/>
    <x v="1"/>
    <x v="1"/>
    <n v="6802"/>
    <n v="3"/>
    <n v="0"/>
    <x v="16"/>
    <n v="20406"/>
    <n v="3264.96"/>
    <x v="0"/>
    <x v="1"/>
    <x v="0"/>
  </r>
  <r>
    <s v="CUST0018"/>
    <s v="Karan Shah"/>
    <x v="2"/>
    <x v="2"/>
    <n v="2829"/>
    <n v="10"/>
    <n v="0.02"/>
    <x v="17"/>
    <n v="27724.2"/>
    <n v="4990.3599999999997"/>
    <x v="1"/>
    <x v="2"/>
    <x v="1"/>
  </r>
  <r>
    <s v="CUST0019"/>
    <s v="Vikram Shah"/>
    <x v="3"/>
    <x v="3"/>
    <n v="2966"/>
    <n v="6"/>
    <n v="0.05"/>
    <x v="18"/>
    <n v="16906.2"/>
    <n v="3381.24"/>
    <x v="2"/>
    <x v="3"/>
    <x v="2"/>
  </r>
  <r>
    <s v="CUST0020"/>
    <s v="Sahil Shah"/>
    <x v="4"/>
    <x v="4"/>
    <n v="3103"/>
    <n v="2"/>
    <n v="0.08"/>
    <x v="19"/>
    <n v="5709.52"/>
    <n v="1256.0899999999999"/>
    <x v="3"/>
    <x v="4"/>
    <x v="3"/>
  </r>
  <r>
    <s v="CUST0021"/>
    <s v="Aarav Patel"/>
    <x v="0"/>
    <x v="0"/>
    <n v="3240"/>
    <n v="9"/>
    <n v="0.1"/>
    <x v="20"/>
    <n v="26244"/>
    <n v="6298.56"/>
    <x v="4"/>
    <x v="0"/>
    <x v="0"/>
  </r>
  <r>
    <s v="CUST0022"/>
    <s v="Vivaan Patel"/>
    <x v="1"/>
    <x v="1"/>
    <n v="3377"/>
    <n v="5"/>
    <n v="0.12"/>
    <x v="21"/>
    <n v="14858.8"/>
    <n v="3863.29"/>
    <x v="5"/>
    <x v="1"/>
    <x v="1"/>
  </r>
  <r>
    <s v="CUST0023"/>
    <s v="Aditya Patel"/>
    <x v="2"/>
    <x v="2"/>
    <n v="3514"/>
    <n v="1"/>
    <n v="0.15"/>
    <x v="22"/>
    <n v="2986.9"/>
    <n v="836.33"/>
    <x v="6"/>
    <x v="2"/>
    <x v="2"/>
  </r>
  <r>
    <s v="CUST0024"/>
    <s v="Arjun Patel"/>
    <x v="3"/>
    <x v="3"/>
    <n v="3651"/>
    <n v="9"/>
    <n v="0.2"/>
    <x v="23"/>
    <n v="26287.200000000001"/>
    <n v="7886.16"/>
    <x v="7"/>
    <x v="3"/>
    <x v="3"/>
  </r>
  <r>
    <s v="CUST0025"/>
    <s v="Kabir Patel"/>
    <x v="4"/>
    <x v="4"/>
    <n v="3788"/>
    <n v="4"/>
    <n v="0"/>
    <x v="24"/>
    <n v="15152"/>
    <n v="1212.1600000000001"/>
    <x v="0"/>
    <x v="4"/>
    <x v="0"/>
  </r>
  <r>
    <s v="CUST0026"/>
    <s v="Rohan Patel"/>
    <x v="0"/>
    <x v="0"/>
    <n v="3925"/>
    <n v="11"/>
    <n v="0.02"/>
    <x v="25"/>
    <n v="42311.5"/>
    <n v="4231.1499999999996"/>
    <x v="1"/>
    <x v="0"/>
    <x v="1"/>
  </r>
  <r>
    <s v="CUST0027"/>
    <s v="Ananya Patel"/>
    <x v="1"/>
    <x v="1"/>
    <n v="4062"/>
    <n v="7"/>
    <n v="0.05"/>
    <x v="26"/>
    <n v="27012.3"/>
    <n v="3241.48"/>
    <x v="2"/>
    <x v="1"/>
    <x v="2"/>
  </r>
  <r>
    <s v="CUST0028"/>
    <s v="Diya Patel"/>
    <x v="2"/>
    <x v="2"/>
    <n v="4199"/>
    <n v="3"/>
    <n v="0.08"/>
    <x v="27"/>
    <n v="11589.24"/>
    <n v="1622.49"/>
    <x v="3"/>
    <x v="2"/>
    <x v="3"/>
  </r>
  <r>
    <s v="CUST0029"/>
    <s v="Ishita Patel"/>
    <x v="3"/>
    <x v="3"/>
    <n v="4336"/>
    <n v="10"/>
    <n v="0.1"/>
    <x v="28"/>
    <n v="39024"/>
    <n v="6243.84"/>
    <x v="4"/>
    <x v="3"/>
    <x v="0"/>
  </r>
  <r>
    <s v="CUST0030"/>
    <s v="Meera Patel"/>
    <x v="4"/>
    <x v="4"/>
    <n v="4473"/>
    <n v="6"/>
    <n v="0.12"/>
    <x v="29"/>
    <n v="23617.439999999999"/>
    <n v="4251.1400000000003"/>
    <x v="5"/>
    <x v="4"/>
    <x v="1"/>
  </r>
  <r>
    <s v="CUST0031"/>
    <s v="Riya Patel"/>
    <x v="0"/>
    <x v="0"/>
    <n v="4610"/>
    <n v="2"/>
    <n v="0.15"/>
    <x v="30"/>
    <n v="7837"/>
    <n v="1567.4"/>
    <x v="6"/>
    <x v="0"/>
    <x v="2"/>
  </r>
  <r>
    <s v="CUST0032"/>
    <s v="Pooja Patel"/>
    <x v="1"/>
    <x v="1"/>
    <n v="4747"/>
    <n v="9"/>
    <n v="0.2"/>
    <x v="31"/>
    <n v="34178.400000000001"/>
    <n v="7519.25"/>
    <x v="7"/>
    <x v="1"/>
    <x v="3"/>
  </r>
  <r>
    <s v="CUST0033"/>
    <s v="Neha Patel"/>
    <x v="2"/>
    <x v="2"/>
    <n v="4884"/>
    <n v="5"/>
    <n v="0"/>
    <x v="32"/>
    <n v="24420"/>
    <n v="5860.8"/>
    <x v="0"/>
    <x v="2"/>
    <x v="0"/>
  </r>
  <r>
    <s v="CUST0034"/>
    <s v="Kavya Patel"/>
    <x v="3"/>
    <x v="3"/>
    <n v="5021"/>
    <n v="1"/>
    <n v="0.02"/>
    <x v="33"/>
    <n v="4920.58"/>
    <n v="1279.3499999999999"/>
    <x v="1"/>
    <x v="3"/>
    <x v="1"/>
  </r>
  <r>
    <s v="CUST0035"/>
    <s v="Aisha Patel"/>
    <x v="4"/>
    <x v="4"/>
    <n v="5158"/>
    <n v="8"/>
    <n v="0.05"/>
    <x v="34"/>
    <n v="39200.800000000003"/>
    <n v="10976.22"/>
    <x v="2"/>
    <x v="4"/>
    <x v="2"/>
  </r>
  <r>
    <s v="CUST0036"/>
    <s v="Priya Patel"/>
    <x v="0"/>
    <x v="0"/>
    <n v="5295"/>
    <n v="4"/>
    <n v="0.08"/>
    <x v="35"/>
    <n v="19485.599999999999"/>
    <n v="5845.68"/>
    <x v="3"/>
    <x v="0"/>
    <x v="3"/>
  </r>
  <r>
    <s v="CUST0037"/>
    <s v="Rahul Patel"/>
    <x v="1"/>
    <x v="1"/>
    <n v="5432"/>
    <n v="11"/>
    <n v="0.1"/>
    <x v="36"/>
    <n v="53776.800000000003"/>
    <n v="4302.1400000000003"/>
    <x v="4"/>
    <x v="1"/>
    <x v="0"/>
  </r>
  <r>
    <s v="CUST0038"/>
    <s v="Karan Patel"/>
    <x v="2"/>
    <x v="2"/>
    <n v="5569"/>
    <n v="7"/>
    <n v="0.12"/>
    <x v="37"/>
    <n v="34305.040000000001"/>
    <n v="3430.5"/>
    <x v="5"/>
    <x v="2"/>
    <x v="1"/>
  </r>
  <r>
    <s v="CUST0039"/>
    <s v="Vikram Patel"/>
    <x v="3"/>
    <x v="3"/>
    <n v="5706"/>
    <n v="3"/>
    <n v="0.15"/>
    <x v="38"/>
    <n v="14550.3"/>
    <n v="1746.04"/>
    <x v="6"/>
    <x v="3"/>
    <x v="2"/>
  </r>
  <r>
    <s v="CUST0040"/>
    <s v="Sahil Patel"/>
    <x v="4"/>
    <x v="4"/>
    <n v="5843"/>
    <n v="10"/>
    <n v="0.2"/>
    <x v="39"/>
    <n v="46744"/>
    <n v="6544.16"/>
    <x v="7"/>
    <x v="4"/>
    <x v="3"/>
  </r>
  <r>
    <s v="CUST0041"/>
    <s v="Aarav Mehta"/>
    <x v="0"/>
    <x v="0"/>
    <n v="5980"/>
    <n v="6"/>
    <n v="0"/>
    <x v="40"/>
    <n v="35880"/>
    <n v="5740.8"/>
    <x v="0"/>
    <x v="0"/>
    <x v="0"/>
  </r>
  <r>
    <s v="CUST0042"/>
    <s v="Vivaan Mehta"/>
    <x v="1"/>
    <x v="1"/>
    <n v="6117"/>
    <n v="2"/>
    <n v="0.02"/>
    <x v="41"/>
    <n v="11989.32"/>
    <n v="2158.08"/>
    <x v="1"/>
    <x v="1"/>
    <x v="1"/>
  </r>
  <r>
    <s v="CUST0043"/>
    <s v="Aditya Mehta"/>
    <x v="2"/>
    <x v="2"/>
    <n v="6254"/>
    <n v="9"/>
    <n v="0.05"/>
    <x v="42"/>
    <n v="53471.7"/>
    <n v="10694.34"/>
    <x v="2"/>
    <x v="2"/>
    <x v="2"/>
  </r>
  <r>
    <s v="CUST0044"/>
    <s v="Arjun Mehta"/>
    <x v="3"/>
    <x v="3"/>
    <n v="6391"/>
    <n v="5"/>
    <n v="0.08"/>
    <x v="43"/>
    <n v="29398.6"/>
    <n v="6467.69"/>
    <x v="3"/>
    <x v="3"/>
    <x v="3"/>
  </r>
  <r>
    <s v="CUST0045"/>
    <s v="Kabir Mehta"/>
    <x v="4"/>
    <x v="4"/>
    <n v="6528"/>
    <n v="1"/>
    <n v="0.1"/>
    <x v="44"/>
    <n v="5875.2"/>
    <n v="1410.05"/>
    <x v="4"/>
    <x v="4"/>
    <x v="0"/>
  </r>
  <r>
    <s v="CUST0046"/>
    <s v="Rohan Mehta"/>
    <x v="0"/>
    <x v="0"/>
    <n v="6665"/>
    <n v="8"/>
    <n v="0.12"/>
    <x v="15"/>
    <n v="46921.599999999999"/>
    <n v="12199.62"/>
    <x v="5"/>
    <x v="0"/>
    <x v="1"/>
  </r>
  <r>
    <s v="CUST0047"/>
    <s v="Ananya Mehta"/>
    <x v="1"/>
    <x v="1"/>
    <n v="6802"/>
    <n v="4"/>
    <n v="0.15"/>
    <x v="45"/>
    <n v="23126.799999999999"/>
    <n v="6475.5"/>
    <x v="6"/>
    <x v="1"/>
    <x v="2"/>
  </r>
  <r>
    <s v="CUST0048"/>
    <s v="Diya Mehta"/>
    <x v="2"/>
    <x v="2"/>
    <n v="6939"/>
    <n v="11"/>
    <n v="0.2"/>
    <x v="46"/>
    <n v="61063.199999999997"/>
    <n v="18318.96"/>
    <x v="7"/>
    <x v="2"/>
    <x v="3"/>
  </r>
  <r>
    <s v="CUST0049"/>
    <s v="Ishita Mehta"/>
    <x v="3"/>
    <x v="3"/>
    <n v="7076"/>
    <n v="7"/>
    <n v="0"/>
    <x v="47"/>
    <n v="49532"/>
    <n v="3962.56"/>
    <x v="0"/>
    <x v="3"/>
    <x v="0"/>
  </r>
  <r>
    <s v="CUST0050"/>
    <s v="Meera Mehta"/>
    <x v="4"/>
    <x v="4"/>
    <n v="7213"/>
    <n v="3"/>
    <n v="0.02"/>
    <x v="48"/>
    <n v="21206.22"/>
    <n v="2120.62"/>
    <x v="1"/>
    <x v="4"/>
    <x v="1"/>
  </r>
  <r>
    <s v="CUST0051"/>
    <s v="Rahul Desai"/>
    <x v="0"/>
    <x v="0"/>
    <n v="7350"/>
    <n v="10"/>
    <n v="0.05"/>
    <x v="49"/>
    <n v="69825"/>
    <n v="8379"/>
    <x v="2"/>
    <x v="0"/>
    <x v="2"/>
  </r>
  <r>
    <s v="CUST0052"/>
    <s v="Pooja Mehta"/>
    <x v="1"/>
    <x v="1"/>
    <n v="7487"/>
    <n v="6"/>
    <n v="0.08"/>
    <x v="50"/>
    <n v="41328.239999999998"/>
    <n v="5785.95"/>
    <x v="3"/>
    <x v="1"/>
    <x v="3"/>
  </r>
  <r>
    <s v="CUST0053"/>
    <s v="Neha Mehta"/>
    <x v="2"/>
    <x v="2"/>
    <n v="7624"/>
    <n v="2"/>
    <n v="0.1"/>
    <x v="51"/>
    <n v="13723.2"/>
    <n v="2195.71"/>
    <x v="4"/>
    <x v="2"/>
    <x v="0"/>
  </r>
  <r>
    <s v="CUST0054"/>
    <s v="Kavya Mehta"/>
    <x v="3"/>
    <x v="3"/>
    <n v="7761"/>
    <n v="9"/>
    <n v="0.12"/>
    <x v="52"/>
    <n v="61467.12"/>
    <n v="11064.08"/>
    <x v="5"/>
    <x v="3"/>
    <x v="1"/>
  </r>
  <r>
    <s v="CUST0055"/>
    <s v="Aisha Mehta"/>
    <x v="4"/>
    <x v="4"/>
    <n v="7898"/>
    <n v="5"/>
    <n v="0.15"/>
    <x v="53"/>
    <n v="33566.5"/>
    <n v="6713.3"/>
    <x v="6"/>
    <x v="4"/>
    <x v="2"/>
  </r>
  <r>
    <s v="CUST0056"/>
    <s v="Priya Mehta"/>
    <x v="0"/>
    <x v="0"/>
    <n v="8035"/>
    <n v="1"/>
    <n v="0.2"/>
    <x v="54"/>
    <n v="6428"/>
    <n v="1414.16"/>
    <x v="7"/>
    <x v="0"/>
    <x v="3"/>
  </r>
  <r>
    <s v="CUST0057"/>
    <s v="Rahul Mehta"/>
    <x v="1"/>
    <x v="1"/>
    <n v="8172"/>
    <n v="8"/>
    <n v="0"/>
    <x v="55"/>
    <n v="65376"/>
    <n v="15690.24"/>
    <x v="0"/>
    <x v="1"/>
    <x v="0"/>
  </r>
  <r>
    <s v="CUST0058"/>
    <s v="Karan Mehta"/>
    <x v="2"/>
    <x v="2"/>
    <n v="8309"/>
    <n v="4"/>
    <n v="0.02"/>
    <x v="56"/>
    <n v="32571.279999999999"/>
    <n v="8468.5300000000007"/>
    <x v="1"/>
    <x v="2"/>
    <x v="1"/>
  </r>
  <r>
    <s v="CUST0059"/>
    <s v="Vikram Mehta"/>
    <x v="3"/>
    <x v="3"/>
    <n v="8446"/>
    <n v="11"/>
    <n v="0.05"/>
    <x v="57"/>
    <n v="88260.7"/>
    <n v="24713"/>
    <x v="2"/>
    <x v="3"/>
    <x v="2"/>
  </r>
  <r>
    <s v="CUST0060"/>
    <s v="Sahil Mehta"/>
    <x v="4"/>
    <x v="4"/>
    <n v="8583"/>
    <n v="7"/>
    <n v="0.08"/>
    <x v="58"/>
    <n v="55274.52"/>
    <n v="16582.36"/>
    <x v="3"/>
    <x v="4"/>
    <x v="3"/>
  </r>
  <r>
    <s v="CUST0061"/>
    <s v="Aarav Desai"/>
    <x v="0"/>
    <x v="0"/>
    <n v="8720"/>
    <n v="3"/>
    <n v="0.1"/>
    <x v="59"/>
    <n v="23544"/>
    <n v="1883.52"/>
    <x v="4"/>
    <x v="0"/>
    <x v="0"/>
  </r>
  <r>
    <s v="CUST0062"/>
    <s v="Vivaan Desai"/>
    <x v="1"/>
    <x v="1"/>
    <n v="8857"/>
    <n v="10"/>
    <n v="0.12"/>
    <x v="60"/>
    <n v="77941.600000000006"/>
    <n v="7794.16"/>
    <x v="5"/>
    <x v="1"/>
    <x v="1"/>
  </r>
  <r>
    <s v="CUST0063"/>
    <s v="Aditya Desai"/>
    <x v="2"/>
    <x v="2"/>
    <n v="8994"/>
    <n v="6"/>
    <n v="0.15"/>
    <x v="61"/>
    <n v="45869.4"/>
    <n v="5504.33"/>
    <x v="6"/>
    <x v="2"/>
    <x v="2"/>
  </r>
  <r>
    <s v="CUST0064"/>
    <s v="Arjun Desai"/>
    <x v="3"/>
    <x v="3"/>
    <n v="9131"/>
    <n v="2"/>
    <n v="0.2"/>
    <x v="62"/>
    <n v="14609.6"/>
    <n v="2045.34"/>
    <x v="7"/>
    <x v="3"/>
    <x v="3"/>
  </r>
  <r>
    <s v="CUST0065"/>
    <s v="Kabir Desai"/>
    <x v="4"/>
    <x v="4"/>
    <n v="9268"/>
    <n v="9"/>
    <n v="0"/>
    <x v="63"/>
    <n v="83412"/>
    <n v="13345.92"/>
    <x v="0"/>
    <x v="4"/>
    <x v="0"/>
  </r>
  <r>
    <s v="CUST0066"/>
    <s v="Rohan Desai"/>
    <x v="0"/>
    <x v="0"/>
    <n v="9405"/>
    <n v="5"/>
    <n v="0.02"/>
    <x v="64"/>
    <n v="46084.5"/>
    <n v="8295.2099999999991"/>
    <x v="1"/>
    <x v="0"/>
    <x v="1"/>
  </r>
  <r>
    <s v="CUST0067"/>
    <s v="Ananya Desai"/>
    <x v="1"/>
    <x v="1"/>
    <n v="9542"/>
    <n v="1"/>
    <n v="0.05"/>
    <x v="65"/>
    <n v="9064.9"/>
    <n v="1812.98"/>
    <x v="2"/>
    <x v="1"/>
    <x v="2"/>
  </r>
  <r>
    <s v="CUST0068"/>
    <s v="Diya Desai"/>
    <x v="2"/>
    <x v="2"/>
    <n v="9679"/>
    <n v="8"/>
    <n v="0.08"/>
    <x v="66"/>
    <n v="71237.440000000002"/>
    <n v="15672.24"/>
    <x v="3"/>
    <x v="2"/>
    <x v="3"/>
  </r>
  <r>
    <s v="CUST0069"/>
    <s v="Ishita Desai"/>
    <x v="3"/>
    <x v="3"/>
    <n v="9816"/>
    <n v="4"/>
    <n v="0.1"/>
    <x v="67"/>
    <n v="35337.599999999999"/>
    <n v="8481.02"/>
    <x v="4"/>
    <x v="3"/>
    <x v="0"/>
  </r>
  <r>
    <s v="CUST0070"/>
    <s v="Meera Desai"/>
    <x v="4"/>
    <x v="4"/>
    <n v="9953"/>
    <n v="11"/>
    <n v="0.12"/>
    <x v="68"/>
    <n v="96345.04"/>
    <n v="25049.71"/>
    <x v="5"/>
    <x v="4"/>
    <x v="1"/>
  </r>
  <r>
    <s v="CUST0071"/>
    <s v="Riya Desai"/>
    <x v="0"/>
    <x v="0"/>
    <n v="10090"/>
    <n v="7"/>
    <n v="0.15"/>
    <x v="69"/>
    <n v="60035.5"/>
    <n v="16809.939999999999"/>
    <x v="6"/>
    <x v="0"/>
    <x v="2"/>
  </r>
  <r>
    <s v="CUST0072"/>
    <s v="Pooja Desai"/>
    <x v="1"/>
    <x v="1"/>
    <n v="10227"/>
    <n v="3"/>
    <n v="0.2"/>
    <x v="70"/>
    <n v="24544.799999999999"/>
    <n v="7363.44"/>
    <x v="7"/>
    <x v="1"/>
    <x v="3"/>
  </r>
  <r>
    <s v="CUST0073"/>
    <s v="Neha Desai"/>
    <x v="2"/>
    <x v="2"/>
    <n v="10364"/>
    <n v="10"/>
    <n v="0"/>
    <x v="71"/>
    <n v="103640"/>
    <n v="8291.2000000000007"/>
    <x v="0"/>
    <x v="2"/>
    <x v="0"/>
  </r>
  <r>
    <s v="CUST0074"/>
    <s v="Kavya Desai"/>
    <x v="3"/>
    <x v="3"/>
    <n v="10501"/>
    <n v="6"/>
    <n v="0.02"/>
    <x v="72"/>
    <n v="61745.88"/>
    <n v="6174.59"/>
    <x v="1"/>
    <x v="3"/>
    <x v="1"/>
  </r>
  <r>
    <s v="CUST0075"/>
    <s v="Aisha Desai"/>
    <x v="4"/>
    <x v="4"/>
    <n v="10638"/>
    <n v="2"/>
    <n v="0.05"/>
    <x v="73"/>
    <n v="20212.2"/>
    <n v="2425.46"/>
    <x v="2"/>
    <x v="4"/>
    <x v="2"/>
  </r>
  <r>
    <s v="CUST0076"/>
    <s v="Priya Desai"/>
    <x v="0"/>
    <x v="0"/>
    <n v="14885"/>
    <n v="9"/>
    <n v="0.08"/>
    <x v="74"/>
    <n v="123247.8"/>
    <n v="17254.689999999999"/>
    <x v="3"/>
    <x v="0"/>
    <x v="3"/>
  </r>
  <r>
    <s v="CUST0077"/>
    <s v="Rahul Desai"/>
    <x v="1"/>
    <x v="1"/>
    <n v="10912"/>
    <n v="5"/>
    <n v="0.1"/>
    <x v="75"/>
    <n v="49104"/>
    <n v="7856.64"/>
    <x v="4"/>
    <x v="1"/>
    <x v="0"/>
  </r>
  <r>
    <s v="CUST0078"/>
    <s v="Karan Desai"/>
    <x v="2"/>
    <x v="2"/>
    <n v="11049"/>
    <n v="1"/>
    <n v="0.12"/>
    <x v="76"/>
    <n v="9723.1200000000008"/>
    <n v="1750.16"/>
    <x v="5"/>
    <x v="2"/>
    <x v="1"/>
  </r>
  <r>
    <s v="CUST0079"/>
    <s v="Vikram Desai"/>
    <x v="3"/>
    <x v="3"/>
    <n v="11186"/>
    <n v="8"/>
    <n v="0.15"/>
    <x v="77"/>
    <n v="76064.800000000003"/>
    <n v="15212.96"/>
    <x v="6"/>
    <x v="3"/>
    <x v="2"/>
  </r>
  <r>
    <s v="CUST0080"/>
    <s v="Sahil Desai"/>
    <x v="4"/>
    <x v="4"/>
    <n v="11323"/>
    <n v="4"/>
    <n v="0.2"/>
    <x v="78"/>
    <n v="36233.599999999999"/>
    <n v="7971.39"/>
    <x v="7"/>
    <x v="4"/>
    <x v="3"/>
  </r>
  <r>
    <s v="CUST0081"/>
    <s v="Aarav Joshi"/>
    <x v="0"/>
    <x v="0"/>
    <n v="11460"/>
    <n v="11"/>
    <n v="0"/>
    <x v="79"/>
    <n v="126060"/>
    <n v="30254.400000000001"/>
    <x v="0"/>
    <x v="0"/>
    <x v="0"/>
  </r>
  <r>
    <s v="CUST0082"/>
    <s v="Vivaan Joshi"/>
    <x v="1"/>
    <x v="1"/>
    <n v="11597"/>
    <n v="7"/>
    <n v="0.02"/>
    <x v="80"/>
    <n v="79555.42"/>
    <n v="20684.41"/>
    <x v="1"/>
    <x v="1"/>
    <x v="1"/>
  </r>
  <r>
    <s v="CUST0083"/>
    <s v="Aditya Joshi"/>
    <x v="2"/>
    <x v="2"/>
    <n v="11734"/>
    <n v="4"/>
    <n v="0.05"/>
    <x v="81"/>
    <n v="44589.2"/>
    <n v="12484.98"/>
    <x v="2"/>
    <x v="2"/>
    <x v="2"/>
  </r>
  <r>
    <s v="CUST0084"/>
    <s v="Arjun Joshi"/>
    <x v="3"/>
    <x v="3"/>
    <n v="11871"/>
    <n v="10"/>
    <n v="0.08"/>
    <x v="82"/>
    <n v="109213.2"/>
    <n v="32763.96"/>
    <x v="3"/>
    <x v="3"/>
    <x v="3"/>
  </r>
  <r>
    <s v="CUST0085"/>
    <s v="Kabir Joshi"/>
    <x v="4"/>
    <x v="4"/>
    <n v="12008"/>
    <n v="6"/>
    <n v="0.05"/>
    <x v="83"/>
    <n v="68445.600000000006"/>
    <n v="5475.65"/>
    <x v="4"/>
    <x v="4"/>
    <x v="0"/>
  </r>
  <r>
    <s v="CUST0086"/>
    <s v="Rohan Joshi"/>
    <x v="0"/>
    <x v="0"/>
    <n v="12145"/>
    <n v="2"/>
    <n v="0.12"/>
    <x v="84"/>
    <n v="21375.200000000001"/>
    <n v="2137.52"/>
    <x v="5"/>
    <x v="0"/>
    <x v="1"/>
  </r>
  <r>
    <s v="CUST0087"/>
    <s v="Ananya Joshi"/>
    <x v="1"/>
    <x v="1"/>
    <n v="12282"/>
    <n v="9"/>
    <n v="0.15"/>
    <x v="85"/>
    <n v="93957.3"/>
    <n v="11274.88"/>
    <x v="6"/>
    <x v="1"/>
    <x v="2"/>
  </r>
  <r>
    <s v="CUST0088"/>
    <s v="Diya Joshi"/>
    <x v="2"/>
    <x v="2"/>
    <n v="12419"/>
    <n v="5"/>
    <n v="0.2"/>
    <x v="86"/>
    <n v="49676"/>
    <n v="6954.64"/>
    <x v="7"/>
    <x v="2"/>
    <x v="3"/>
  </r>
  <r>
    <s v="CUST0089"/>
    <s v="Ishita Joshi"/>
    <x v="3"/>
    <x v="3"/>
    <n v="12556"/>
    <n v="1"/>
    <n v="0"/>
    <x v="87"/>
    <n v="12556"/>
    <n v="2008.96"/>
    <x v="0"/>
    <x v="3"/>
    <x v="0"/>
  </r>
  <r>
    <s v="CUST0090"/>
    <s v="Sahil Gupta"/>
    <x v="4"/>
    <x v="4"/>
    <n v="12693"/>
    <n v="8"/>
    <n v="0.02"/>
    <x v="88"/>
    <n v="99513.12"/>
    <n v="17912.36"/>
    <x v="1"/>
    <x v="4"/>
    <x v="1"/>
  </r>
  <r>
    <s v="CUST0091"/>
    <s v="Riya Joshi"/>
    <x v="0"/>
    <x v="0"/>
    <n v="12830"/>
    <n v="4"/>
    <n v="0.05"/>
    <x v="89"/>
    <n v="48754"/>
    <n v="9750.7999999999993"/>
    <x v="2"/>
    <x v="0"/>
    <x v="2"/>
  </r>
  <r>
    <s v="CUST0092"/>
    <s v="Pooja Joshi"/>
    <x v="1"/>
    <x v="1"/>
    <n v="12967"/>
    <n v="11"/>
    <n v="0.08"/>
    <x v="90"/>
    <n v="131226.04"/>
    <n v="28869.73"/>
    <x v="3"/>
    <x v="1"/>
    <x v="3"/>
  </r>
  <r>
    <s v="CUST0093"/>
    <s v="Neha Joshi"/>
    <x v="2"/>
    <x v="2"/>
    <n v="13104"/>
    <n v="7"/>
    <n v="0.1"/>
    <x v="91"/>
    <n v="82555.199999999997"/>
    <n v="19813.25"/>
    <x v="4"/>
    <x v="2"/>
    <x v="0"/>
  </r>
  <r>
    <s v="CUST0094"/>
    <s v="Kavya Joshi"/>
    <x v="3"/>
    <x v="3"/>
    <n v="13241"/>
    <n v="3"/>
    <n v="0.12"/>
    <x v="92"/>
    <n v="34956.239999999998"/>
    <n v="9088.6200000000008"/>
    <x v="5"/>
    <x v="3"/>
    <x v="1"/>
  </r>
  <r>
    <s v="CUST0095"/>
    <s v="Aisha Joshi"/>
    <x v="4"/>
    <x v="4"/>
    <n v="13378"/>
    <n v="10"/>
    <n v="0.15"/>
    <x v="93"/>
    <n v="113713"/>
    <n v="31839.64"/>
    <x v="6"/>
    <x v="4"/>
    <x v="2"/>
  </r>
  <r>
    <s v="CUST0096"/>
    <s v="Priya Joshi"/>
    <x v="0"/>
    <x v="0"/>
    <n v="13515"/>
    <n v="6"/>
    <n v="0.2"/>
    <x v="94"/>
    <n v="64872"/>
    <n v="19461.599999999999"/>
    <x v="7"/>
    <x v="0"/>
    <x v="3"/>
  </r>
  <r>
    <s v="CUST0097"/>
    <s v="Rahul Joshi"/>
    <x v="1"/>
    <x v="1"/>
    <n v="13652"/>
    <n v="2"/>
    <n v="0"/>
    <x v="95"/>
    <n v="27304"/>
    <n v="2184.3200000000002"/>
    <x v="0"/>
    <x v="1"/>
    <x v="0"/>
  </r>
  <r>
    <s v="CUST0098"/>
    <s v="Karan Joshi"/>
    <x v="2"/>
    <x v="2"/>
    <n v="13789"/>
    <n v="9"/>
    <n v="0.02"/>
    <x v="96"/>
    <n v="121618.98"/>
    <n v="12161.9"/>
    <x v="1"/>
    <x v="2"/>
    <x v="1"/>
  </r>
  <r>
    <s v="CUST0099"/>
    <s v="Vikram Joshi"/>
    <x v="3"/>
    <x v="3"/>
    <n v="13926"/>
    <n v="5"/>
    <n v="0.05"/>
    <x v="97"/>
    <n v="66148.5"/>
    <n v="7937.82"/>
    <x v="2"/>
    <x v="3"/>
    <x v="2"/>
  </r>
  <r>
    <s v="CUST0100"/>
    <s v="Sahil Joshi"/>
    <x v="4"/>
    <x v="4"/>
    <n v="14063"/>
    <n v="1"/>
    <n v="0.08"/>
    <x v="98"/>
    <n v="12937.96"/>
    <n v="1811.31"/>
    <x v="3"/>
    <x v="4"/>
    <x v="3"/>
  </r>
  <r>
    <s v="CUST0101"/>
    <s v="Aarav Gupta"/>
    <x v="0"/>
    <x v="0"/>
    <n v="14200"/>
    <n v="8"/>
    <n v="0.1"/>
    <x v="99"/>
    <n v="102240"/>
    <n v="16358.4"/>
    <x v="4"/>
    <x v="0"/>
    <x v="0"/>
  </r>
  <r>
    <s v="CUST0102"/>
    <s v="Vivaan Gupta"/>
    <x v="1"/>
    <x v="1"/>
    <n v="14337"/>
    <n v="4"/>
    <n v="0.12"/>
    <x v="100"/>
    <n v="50466.239999999998"/>
    <n v="9083.92"/>
    <x v="5"/>
    <x v="1"/>
    <x v="1"/>
  </r>
  <r>
    <s v="CUST0103"/>
    <s v="Aditya Gupta"/>
    <x v="2"/>
    <x v="2"/>
    <n v="14474"/>
    <n v="11"/>
    <n v="0.15"/>
    <x v="101"/>
    <n v="135331.9"/>
    <n v="27066.38"/>
    <x v="6"/>
    <x v="2"/>
    <x v="2"/>
  </r>
  <r>
    <s v="CUST0104"/>
    <s v="Arjun Gupta"/>
    <x v="3"/>
    <x v="3"/>
    <n v="14611"/>
    <n v="7"/>
    <n v="0.2"/>
    <x v="72"/>
    <n v="81821.600000000006"/>
    <n v="18000.75"/>
    <x v="7"/>
    <x v="3"/>
    <x v="3"/>
  </r>
  <r>
    <s v="CUST0105"/>
    <s v="Kabir Gupta"/>
    <x v="4"/>
    <x v="4"/>
    <n v="14748"/>
    <n v="3"/>
    <n v="0"/>
    <x v="102"/>
    <n v="44244"/>
    <n v="10618.56"/>
    <x v="0"/>
    <x v="4"/>
    <x v="0"/>
  </r>
  <r>
    <s v="CUST0106"/>
    <s v="Rohan Gupta"/>
    <x v="0"/>
    <x v="0"/>
    <n v="14885"/>
    <n v="10"/>
    <n v="0.02"/>
    <x v="103"/>
    <n v="145873"/>
    <n v="37926.980000000003"/>
    <x v="1"/>
    <x v="0"/>
    <x v="1"/>
  </r>
  <r>
    <s v="CUST0107"/>
    <s v="Ananya Gupta"/>
    <x v="1"/>
    <x v="1"/>
    <n v="15022"/>
    <n v="6"/>
    <n v="0.05"/>
    <x v="104"/>
    <n v="85625.4"/>
    <n v="23975.11"/>
    <x v="2"/>
    <x v="1"/>
    <x v="2"/>
  </r>
  <r>
    <s v="CUST0108"/>
    <s v="Diya Gupta"/>
    <x v="2"/>
    <x v="2"/>
    <n v="15159"/>
    <n v="2"/>
    <n v="0.08"/>
    <x v="105"/>
    <n v="27892.560000000001"/>
    <n v="8367.77"/>
    <x v="3"/>
    <x v="2"/>
    <x v="3"/>
  </r>
  <r>
    <s v="CUST0109"/>
    <s v="Ishita Gupta"/>
    <x v="3"/>
    <x v="3"/>
    <n v="15296"/>
    <n v="9"/>
    <n v="0.1"/>
    <x v="106"/>
    <n v="123897.60000000001"/>
    <n v="9911.81"/>
    <x v="4"/>
    <x v="3"/>
    <x v="0"/>
  </r>
  <r>
    <s v="CUST0110"/>
    <s v="Meera Gupta"/>
    <x v="4"/>
    <x v="4"/>
    <n v="15433"/>
    <n v="5"/>
    <n v="0.12"/>
    <x v="107"/>
    <n v="67905.2"/>
    <n v="6790.52"/>
    <x v="5"/>
    <x v="4"/>
    <x v="1"/>
  </r>
  <r>
    <s v="CUST0111"/>
    <s v="Riya Gupta"/>
    <x v="0"/>
    <x v="0"/>
    <n v="15570"/>
    <n v="1"/>
    <n v="0.15"/>
    <x v="108"/>
    <n v="13234.5"/>
    <n v="1588.14"/>
    <x v="6"/>
    <x v="0"/>
    <x v="2"/>
  </r>
  <r>
    <s v="CUST0112"/>
    <s v="Pooja Gupta"/>
    <x v="1"/>
    <x v="1"/>
    <n v="15707"/>
    <n v="8"/>
    <n v="0.2"/>
    <x v="109"/>
    <n v="100524.8"/>
    <n v="14073.47"/>
    <x v="7"/>
    <x v="1"/>
    <x v="3"/>
  </r>
  <r>
    <s v="CUST0113"/>
    <s v="Neha Gupta"/>
    <x v="2"/>
    <x v="2"/>
    <n v="15844"/>
    <n v="4"/>
    <n v="0"/>
    <x v="110"/>
    <n v="63376"/>
    <n v="10140.16"/>
    <x v="0"/>
    <x v="2"/>
    <x v="0"/>
  </r>
  <r>
    <s v="CUST0114"/>
    <s v="Kavya Gupta"/>
    <x v="3"/>
    <x v="3"/>
    <n v="15981"/>
    <n v="11"/>
    <n v="0.02"/>
    <x v="111"/>
    <n v="172275.18"/>
    <n v="31009.53"/>
    <x v="1"/>
    <x v="3"/>
    <x v="1"/>
  </r>
  <r>
    <s v="CUST0115"/>
    <s v="Aisha Gupta"/>
    <x v="4"/>
    <x v="4"/>
    <n v="16118"/>
    <n v="7"/>
    <n v="0.05"/>
    <x v="112"/>
    <n v="107184.7"/>
    <n v="21436.94"/>
    <x v="2"/>
    <x v="4"/>
    <x v="2"/>
  </r>
  <r>
    <s v="CUST0116"/>
    <s v="Priya Gupta"/>
    <x v="0"/>
    <x v="0"/>
    <n v="16255"/>
    <n v="3"/>
    <n v="0.08"/>
    <x v="113"/>
    <n v="44863.8"/>
    <n v="9870.0400000000009"/>
    <x v="3"/>
    <x v="0"/>
    <x v="3"/>
  </r>
  <r>
    <s v="CUST0117"/>
    <s v="Rahul Gupta"/>
    <x v="1"/>
    <x v="1"/>
    <n v="16392"/>
    <n v="10"/>
    <n v="0.1"/>
    <x v="114"/>
    <n v="147528"/>
    <n v="35406.720000000001"/>
    <x v="4"/>
    <x v="1"/>
    <x v="0"/>
  </r>
  <r>
    <s v="CUST0118"/>
    <s v="Karan Gupta"/>
    <x v="2"/>
    <x v="2"/>
    <n v="16529"/>
    <n v="6"/>
    <n v="0.12"/>
    <x v="115"/>
    <n v="87273.12"/>
    <n v="22691.01"/>
    <x v="5"/>
    <x v="2"/>
    <x v="1"/>
  </r>
  <r>
    <s v="CUST0119"/>
    <s v="Vikram Gupta"/>
    <x v="3"/>
    <x v="3"/>
    <n v="16666"/>
    <n v="2"/>
    <n v="0.15"/>
    <x v="116"/>
    <n v="28332.2"/>
    <n v="7933.02"/>
    <x v="6"/>
    <x v="3"/>
    <x v="2"/>
  </r>
  <r>
    <s v="CUST0120"/>
    <s v="Sahil Gupta"/>
    <x v="4"/>
    <x v="4"/>
    <n v="16803"/>
    <n v="9"/>
    <n v="0.2"/>
    <x v="117"/>
    <n v="120981.6"/>
    <n v="36294.480000000003"/>
    <x v="7"/>
    <x v="4"/>
    <x v="3"/>
  </r>
  <r>
    <s v="CUST0121"/>
    <s v="Aarav Verma"/>
    <x v="0"/>
    <x v="0"/>
    <n v="16940"/>
    <n v="5"/>
    <n v="0"/>
    <x v="118"/>
    <n v="84700"/>
    <n v="6776"/>
    <x v="0"/>
    <x v="0"/>
    <x v="0"/>
  </r>
  <r>
    <s v="CUST0122"/>
    <s v="Vivaan Verma"/>
    <x v="1"/>
    <x v="1"/>
    <n v="17077"/>
    <n v="1"/>
    <n v="0.02"/>
    <x v="119"/>
    <n v="16735.46"/>
    <n v="1673.55"/>
    <x v="1"/>
    <x v="1"/>
    <x v="1"/>
  </r>
  <r>
    <s v="CUST0123"/>
    <s v="Aditya Verma"/>
    <x v="2"/>
    <x v="2"/>
    <n v="17214"/>
    <n v="8"/>
    <n v="0.05"/>
    <x v="120"/>
    <n v="130826.4"/>
    <n v="15699.17"/>
    <x v="2"/>
    <x v="2"/>
    <x v="2"/>
  </r>
  <r>
    <s v="CUST0124"/>
    <s v="Arjun Verma"/>
    <x v="3"/>
    <x v="3"/>
    <n v="17351"/>
    <n v="4"/>
    <n v="0.08"/>
    <x v="121"/>
    <n v="63851.68"/>
    <n v="8939.24"/>
    <x v="3"/>
    <x v="3"/>
    <x v="3"/>
  </r>
  <r>
    <s v="CUST0125"/>
    <s v="Kabir Verma"/>
    <x v="4"/>
    <x v="4"/>
    <n v="17488"/>
    <n v="11"/>
    <n v="0.1"/>
    <x v="122"/>
    <n v="173131.2"/>
    <n v="27700.99"/>
    <x v="4"/>
    <x v="4"/>
    <x v="0"/>
  </r>
  <r>
    <s v="CUST0126"/>
    <s v="Rohan Verma"/>
    <x v="0"/>
    <x v="0"/>
    <n v="17625"/>
    <n v="7"/>
    <n v="0.12"/>
    <x v="123"/>
    <n v="108570"/>
    <n v="19542.599999999999"/>
    <x v="5"/>
    <x v="0"/>
    <x v="1"/>
  </r>
  <r>
    <s v="CUST0127"/>
    <s v="Ananya Verma"/>
    <x v="1"/>
    <x v="1"/>
    <n v="17762"/>
    <n v="3"/>
    <n v="0.15"/>
    <x v="124"/>
    <n v="45293.1"/>
    <n v="9058.6200000000008"/>
    <x v="6"/>
    <x v="1"/>
    <x v="2"/>
  </r>
  <r>
    <s v="CUST0128"/>
    <s v="Diya Verma"/>
    <x v="2"/>
    <x v="2"/>
    <n v="23379"/>
    <n v="10"/>
    <n v="0.2"/>
    <x v="125"/>
    <n v="187032"/>
    <n v="41147.040000000001"/>
    <x v="7"/>
    <x v="2"/>
    <x v="3"/>
  </r>
  <r>
    <s v="CUST0129"/>
    <s v="Ishita Verma"/>
    <x v="3"/>
    <x v="3"/>
    <n v="18036"/>
    <n v="6"/>
    <n v="0"/>
    <x v="126"/>
    <n v="108216"/>
    <n v="25971.84"/>
    <x v="0"/>
    <x v="3"/>
    <x v="0"/>
  </r>
  <r>
    <s v="CUST0130"/>
    <s v="Meera Verma"/>
    <x v="4"/>
    <x v="4"/>
    <n v="18173"/>
    <n v="2"/>
    <n v="0.02"/>
    <x v="127"/>
    <n v="35619.08"/>
    <n v="9260.9599999999991"/>
    <x v="1"/>
    <x v="4"/>
    <x v="1"/>
  </r>
  <r>
    <s v="CUST0131"/>
    <s v="Riya Verma"/>
    <x v="0"/>
    <x v="0"/>
    <n v="18310"/>
    <n v="9"/>
    <n v="0.05"/>
    <x v="128"/>
    <n v="156550.5"/>
    <n v="43834.14"/>
    <x v="2"/>
    <x v="0"/>
    <x v="2"/>
  </r>
  <r>
    <s v="CUST0132"/>
    <s v="Pooja Verma"/>
    <x v="1"/>
    <x v="1"/>
    <n v="18447"/>
    <n v="5"/>
    <n v="0.08"/>
    <x v="129"/>
    <n v="84856.2"/>
    <n v="25456.86"/>
    <x v="3"/>
    <x v="1"/>
    <x v="3"/>
  </r>
  <r>
    <s v="CUST0133"/>
    <s v="Neha Verma"/>
    <x v="2"/>
    <x v="2"/>
    <n v="18584"/>
    <n v="1"/>
    <n v="0.1"/>
    <x v="130"/>
    <n v="16725.599999999999"/>
    <n v="1338.05"/>
    <x v="4"/>
    <x v="2"/>
    <x v="0"/>
  </r>
  <r>
    <s v="CUST0134"/>
    <s v="Kavya Verma"/>
    <x v="3"/>
    <x v="3"/>
    <n v="18721"/>
    <n v="8"/>
    <n v="0.12"/>
    <x v="131"/>
    <n v="131795.84"/>
    <n v="13179.58"/>
    <x v="5"/>
    <x v="3"/>
    <x v="1"/>
  </r>
  <r>
    <s v="CUST0135"/>
    <s v="Aisha Verma"/>
    <x v="4"/>
    <x v="4"/>
    <n v="18858"/>
    <n v="4"/>
    <n v="0.15"/>
    <x v="132"/>
    <n v="64117.2"/>
    <n v="7694.06"/>
    <x v="6"/>
    <x v="4"/>
    <x v="2"/>
  </r>
  <r>
    <s v="CUST0136"/>
    <s v="Priya Verma"/>
    <x v="0"/>
    <x v="0"/>
    <n v="18995"/>
    <n v="11"/>
    <n v="0.2"/>
    <x v="133"/>
    <n v="167156"/>
    <n v="23401.84"/>
    <x v="7"/>
    <x v="0"/>
    <x v="3"/>
  </r>
  <r>
    <s v="CUST0137"/>
    <s v="Rahul Verma"/>
    <x v="1"/>
    <x v="1"/>
    <n v="19132"/>
    <n v="7"/>
    <n v="0"/>
    <x v="134"/>
    <n v="133924"/>
    <n v="21427.84"/>
    <x v="0"/>
    <x v="1"/>
    <x v="0"/>
  </r>
  <r>
    <s v="CUST0138"/>
    <s v="Karan Verma"/>
    <x v="2"/>
    <x v="2"/>
    <n v="19269"/>
    <n v="3"/>
    <n v="0.02"/>
    <x v="135"/>
    <n v="56650.86"/>
    <n v="10197.15"/>
    <x v="1"/>
    <x v="2"/>
    <x v="1"/>
  </r>
  <r>
    <s v="CUST0139"/>
    <s v="Vikram Verma"/>
    <x v="3"/>
    <x v="3"/>
    <n v="19406"/>
    <n v="10"/>
    <n v="0.05"/>
    <x v="136"/>
    <n v="184357"/>
    <n v="36871.4"/>
    <x v="2"/>
    <x v="3"/>
    <x v="2"/>
  </r>
  <r>
    <s v="CUST0140"/>
    <s v="Sahil Verma"/>
    <x v="4"/>
    <x v="4"/>
    <n v="19543"/>
    <n v="6"/>
    <n v="0.08"/>
    <x v="137"/>
    <n v="107877.36"/>
    <n v="23733.02"/>
    <x v="3"/>
    <x v="4"/>
    <x v="3"/>
  </r>
  <r>
    <s v="CUST0141"/>
    <s v="Aarav Sharma"/>
    <x v="0"/>
    <x v="0"/>
    <n v="19680"/>
    <n v="3"/>
    <n v="0.1"/>
    <x v="138"/>
    <n v="53136"/>
    <n v="12752.64"/>
    <x v="4"/>
    <x v="0"/>
    <x v="0"/>
  </r>
  <r>
    <s v="CUST0142"/>
    <s v="Aisha Trivedi"/>
    <x v="1"/>
    <x v="1"/>
    <n v="19817"/>
    <n v="9"/>
    <n v="0.12"/>
    <x v="139"/>
    <n v="156950.64000000001"/>
    <n v="40807.17"/>
    <x v="5"/>
    <x v="1"/>
    <x v="1"/>
  </r>
  <r>
    <s v="CUST0143"/>
    <s v="Aditya Sharma"/>
    <x v="2"/>
    <x v="2"/>
    <n v="19954"/>
    <n v="5"/>
    <n v="0.15"/>
    <x v="140"/>
    <n v="84804.5"/>
    <n v="23745.26"/>
    <x v="6"/>
    <x v="2"/>
    <x v="2"/>
  </r>
  <r>
    <s v="CUST0144"/>
    <s v="Arjun Sharma"/>
    <x v="3"/>
    <x v="3"/>
    <n v="20091"/>
    <n v="1"/>
    <n v="0.2"/>
    <x v="141"/>
    <n v="16072.8"/>
    <n v="4821.84"/>
    <x v="7"/>
    <x v="3"/>
    <x v="3"/>
  </r>
  <r>
    <s v="CUST0145"/>
    <s v="Kabir Sharma"/>
    <x v="4"/>
    <x v="4"/>
    <n v="20228"/>
    <n v="8"/>
    <n v="0"/>
    <x v="142"/>
    <n v="161824"/>
    <n v="12945.92"/>
    <x v="0"/>
    <x v="4"/>
    <x v="0"/>
  </r>
  <r>
    <s v="CUST0146"/>
    <s v="Rohan Sharma"/>
    <x v="0"/>
    <x v="0"/>
    <n v="20365"/>
    <n v="4"/>
    <n v="0.02"/>
    <x v="143"/>
    <n v="79830.8"/>
    <n v="7983.08"/>
    <x v="1"/>
    <x v="0"/>
    <x v="1"/>
  </r>
  <r>
    <s v="CUST0147"/>
    <s v="Ananya Sharma"/>
    <x v="1"/>
    <x v="1"/>
    <n v="20502"/>
    <n v="11"/>
    <n v="0.05"/>
    <x v="144"/>
    <n v="214245.9"/>
    <n v="25709.51"/>
    <x v="2"/>
    <x v="1"/>
    <x v="2"/>
  </r>
  <r>
    <s v="CUST0148"/>
    <s v="Diya Sharma"/>
    <x v="2"/>
    <x v="2"/>
    <n v="20639"/>
    <n v="7"/>
    <n v="0.08"/>
    <x v="145"/>
    <n v="132915.16"/>
    <n v="18608.12"/>
    <x v="3"/>
    <x v="2"/>
    <x v="3"/>
  </r>
  <r>
    <s v="CUST0149"/>
    <s v="Ishita Sharma"/>
    <x v="3"/>
    <x v="3"/>
    <n v="20776"/>
    <n v="3"/>
    <n v="0.1"/>
    <x v="146"/>
    <n v="56095.199999999997"/>
    <n v="8975.23"/>
    <x v="4"/>
    <x v="3"/>
    <x v="0"/>
  </r>
  <r>
    <s v="CUST0150"/>
    <s v="Meera Sharma"/>
    <x v="4"/>
    <x v="4"/>
    <n v="20913"/>
    <n v="10"/>
    <n v="0.08"/>
    <x v="147"/>
    <n v="192399.6"/>
    <n v="34631.93"/>
    <x v="5"/>
    <x v="4"/>
    <x v="1"/>
  </r>
  <r>
    <s v="CUST0151"/>
    <s v="Riya Sharma"/>
    <x v="0"/>
    <x v="0"/>
    <n v="21050"/>
    <n v="6"/>
    <n v="0.15"/>
    <x v="148"/>
    <n v="107355"/>
    <n v="21471"/>
    <x v="6"/>
    <x v="0"/>
    <x v="2"/>
  </r>
  <r>
    <s v="CUST0152"/>
    <s v="Pooja Sharma"/>
    <x v="1"/>
    <x v="1"/>
    <n v="21187"/>
    <n v="2"/>
    <n v="0.2"/>
    <x v="149"/>
    <n v="33899.199999999997"/>
    <n v="7457.82"/>
    <x v="7"/>
    <x v="1"/>
    <x v="3"/>
  </r>
  <r>
    <s v="CUST0153"/>
    <s v="Neha Sharma"/>
    <x v="2"/>
    <x v="2"/>
    <n v="21324"/>
    <n v="9"/>
    <n v="0"/>
    <x v="150"/>
    <n v="191916"/>
    <n v="46059.839999999997"/>
    <x v="0"/>
    <x v="2"/>
    <x v="0"/>
  </r>
  <r>
    <s v="CUST0154"/>
    <s v="Kavya Sharma"/>
    <x v="3"/>
    <x v="3"/>
    <n v="21461"/>
    <n v="5"/>
    <n v="0.02"/>
    <x v="151"/>
    <n v="105158.9"/>
    <n v="27341.31"/>
    <x v="1"/>
    <x v="3"/>
    <x v="1"/>
  </r>
  <r>
    <s v="CUST0155"/>
    <s v="Aisha Sharma"/>
    <x v="4"/>
    <x v="4"/>
    <n v="21598"/>
    <n v="1"/>
    <n v="0.05"/>
    <x v="152"/>
    <n v="20518.099999999999"/>
    <n v="5745.07"/>
    <x v="2"/>
    <x v="4"/>
    <x v="2"/>
  </r>
  <r>
    <s v="CUST0156"/>
    <s v="Priya Sharma"/>
    <x v="0"/>
    <x v="0"/>
    <n v="21735"/>
    <n v="8"/>
    <n v="0.08"/>
    <x v="153"/>
    <n v="159969.60000000001"/>
    <n v="47990.879999999997"/>
    <x v="3"/>
    <x v="0"/>
    <x v="3"/>
  </r>
  <r>
    <s v="CUST0157"/>
    <s v="Rahul Sharma"/>
    <x v="1"/>
    <x v="1"/>
    <n v="21872"/>
    <n v="4"/>
    <n v="0.1"/>
    <x v="154"/>
    <n v="78739.199999999997"/>
    <n v="6299.14"/>
    <x v="4"/>
    <x v="1"/>
    <x v="0"/>
  </r>
  <r>
    <s v="CUST0158"/>
    <s v="Karan Sharma"/>
    <x v="2"/>
    <x v="2"/>
    <n v="22009"/>
    <n v="11"/>
    <n v="0.12"/>
    <x v="155"/>
    <n v="213047.12"/>
    <n v="21304.71"/>
    <x v="5"/>
    <x v="2"/>
    <x v="1"/>
  </r>
  <r>
    <s v="CUST0159"/>
    <s v="Vikram Sharma"/>
    <x v="3"/>
    <x v="3"/>
    <n v="22146"/>
    <n v="7"/>
    <n v="0.15"/>
    <x v="156"/>
    <n v="131768.70000000001"/>
    <n v="15812.24"/>
    <x v="6"/>
    <x v="3"/>
    <x v="2"/>
  </r>
  <r>
    <s v="CUST0160"/>
    <s v="Sahil Sharma"/>
    <x v="4"/>
    <x v="4"/>
    <n v="22283"/>
    <n v="3"/>
    <n v="0.2"/>
    <x v="157"/>
    <n v="53479.199999999997"/>
    <n v="7487.09"/>
    <x v="7"/>
    <x v="4"/>
    <x v="3"/>
  </r>
  <r>
    <s v="CUST0161"/>
    <s v="Aarav Trivedi"/>
    <x v="0"/>
    <x v="0"/>
    <n v="22420"/>
    <n v="10"/>
    <n v="0"/>
    <x v="158"/>
    <n v="224200"/>
    <n v="35872"/>
    <x v="0"/>
    <x v="0"/>
    <x v="0"/>
  </r>
  <r>
    <s v="CUST0162"/>
    <s v="Vivaan Trivedi"/>
    <x v="1"/>
    <x v="1"/>
    <n v="22557"/>
    <n v="6"/>
    <n v="0.02"/>
    <x v="159"/>
    <n v="132635.16"/>
    <n v="23874.33"/>
    <x v="1"/>
    <x v="1"/>
    <x v="1"/>
  </r>
  <r>
    <s v="CUST0163"/>
    <s v="Aditya Trivedi"/>
    <x v="2"/>
    <x v="2"/>
    <n v="22694"/>
    <n v="2"/>
    <n v="0.05"/>
    <x v="160"/>
    <n v="43118.6"/>
    <n v="8623.7199999999993"/>
    <x v="2"/>
    <x v="2"/>
    <x v="2"/>
  </r>
  <r>
    <s v="CUST0164"/>
    <s v="Arjun Trivedi"/>
    <x v="3"/>
    <x v="3"/>
    <n v="22831"/>
    <n v="9"/>
    <n v="0.08"/>
    <x v="161"/>
    <n v="189040.68"/>
    <n v="41588.949999999997"/>
    <x v="3"/>
    <x v="3"/>
    <x v="3"/>
  </r>
  <r>
    <s v="CUST0165"/>
    <s v="Kabir Trivedi"/>
    <x v="4"/>
    <x v="4"/>
    <n v="22968"/>
    <n v="5"/>
    <n v="0.1"/>
    <x v="162"/>
    <n v="103356"/>
    <n v="24805.439999999999"/>
    <x v="4"/>
    <x v="4"/>
    <x v="0"/>
  </r>
  <r>
    <s v="CUST0166"/>
    <s v="Rohan Trivedi"/>
    <x v="0"/>
    <x v="0"/>
    <n v="23105"/>
    <n v="1"/>
    <n v="0.12"/>
    <x v="133"/>
    <n v="20332.400000000001"/>
    <n v="5286.42"/>
    <x v="5"/>
    <x v="0"/>
    <x v="1"/>
  </r>
  <r>
    <s v="CUST0167"/>
    <s v="Ananya Trivedi"/>
    <x v="1"/>
    <x v="1"/>
    <n v="23242"/>
    <n v="8"/>
    <n v="0.15"/>
    <x v="163"/>
    <n v="158045.6"/>
    <n v="44252.77"/>
    <x v="6"/>
    <x v="1"/>
    <x v="2"/>
  </r>
  <r>
    <s v="CUST0168"/>
    <s v="Diya Trivedi"/>
    <x v="2"/>
    <x v="2"/>
    <n v="23379"/>
    <n v="4"/>
    <n v="0.2"/>
    <x v="164"/>
    <n v="74812.800000000003"/>
    <n v="22443.84"/>
    <x v="7"/>
    <x v="2"/>
    <x v="3"/>
  </r>
  <r>
    <s v="CUST0169"/>
    <s v="Ishita Trivedi"/>
    <x v="3"/>
    <x v="3"/>
    <n v="23516"/>
    <n v="11"/>
    <n v="0"/>
    <x v="165"/>
    <n v="258676"/>
    <n v="20694.080000000002"/>
    <x v="0"/>
    <x v="3"/>
    <x v="0"/>
  </r>
  <r>
    <s v="CUST0170"/>
    <s v="Meera Trivedi"/>
    <x v="4"/>
    <x v="4"/>
    <n v="23653"/>
    <n v="7"/>
    <n v="0.02"/>
    <x v="166"/>
    <n v="162259.57999999999"/>
    <n v="16225.96"/>
    <x v="1"/>
    <x v="4"/>
    <x v="1"/>
  </r>
  <r>
    <s v="CUST0171"/>
    <s v="Riya Trivedi"/>
    <x v="0"/>
    <x v="0"/>
    <n v="23790"/>
    <n v="3"/>
    <n v="0.05"/>
    <x v="167"/>
    <n v="67801.5"/>
    <n v="8136.18"/>
    <x v="2"/>
    <x v="0"/>
    <x v="2"/>
  </r>
  <r>
    <s v="CUST0172"/>
    <s v="Pooja Trivedi"/>
    <x v="1"/>
    <x v="1"/>
    <n v="23927"/>
    <n v="10"/>
    <n v="0.08"/>
    <x v="168"/>
    <n v="220128.4"/>
    <n v="30817.98"/>
    <x v="3"/>
    <x v="1"/>
    <x v="3"/>
  </r>
  <r>
    <s v="CUST0173"/>
    <s v="Neha Trivedi"/>
    <x v="2"/>
    <x v="2"/>
    <n v="24064"/>
    <n v="6"/>
    <n v="0.1"/>
    <x v="169"/>
    <n v="129945.60000000001"/>
    <n v="20791.3"/>
    <x v="4"/>
    <x v="2"/>
    <x v="0"/>
  </r>
  <r>
    <s v="CUST0174"/>
    <s v="Kavya Trivedi"/>
    <x v="3"/>
    <x v="3"/>
    <n v="24201"/>
    <n v="2"/>
    <n v="0.12"/>
    <x v="170"/>
    <n v="42593.760000000002"/>
    <n v="7666.88"/>
    <x v="5"/>
    <x v="3"/>
    <x v="1"/>
  </r>
  <r>
    <s v="CUST0175"/>
    <s v="Aisha Trivedi"/>
    <x v="4"/>
    <x v="4"/>
    <n v="24338"/>
    <n v="9"/>
    <n v="0.15"/>
    <x v="171"/>
    <n v="186185.7"/>
    <n v="37237.14"/>
    <x v="6"/>
    <x v="4"/>
    <x v="2"/>
  </r>
  <r>
    <s v="CUST0176"/>
    <s v="Priya Trivedi"/>
    <x v="0"/>
    <x v="0"/>
    <n v="24475"/>
    <n v="5"/>
    <n v="0.2"/>
    <x v="172"/>
    <n v="97900"/>
    <n v="21538"/>
    <x v="7"/>
    <x v="0"/>
    <x v="3"/>
  </r>
  <r>
    <s v="CUST0177"/>
    <s v="Rahul Trivedi"/>
    <x v="1"/>
    <x v="1"/>
    <n v="24612"/>
    <n v="1"/>
    <n v="0"/>
    <x v="173"/>
    <n v="24612"/>
    <n v="5906.88"/>
    <x v="0"/>
    <x v="1"/>
    <x v="0"/>
  </r>
  <r>
    <s v="CUST0178"/>
    <s v="Karan Trivedi"/>
    <x v="2"/>
    <x v="2"/>
    <n v="24749"/>
    <n v="8"/>
    <n v="0.02"/>
    <x v="174"/>
    <n v="194032.16"/>
    <n v="50448.36"/>
    <x v="1"/>
    <x v="2"/>
    <x v="1"/>
  </r>
  <r>
    <s v="CUST0179"/>
    <s v="Vikram Trivedi"/>
    <x v="3"/>
    <x v="3"/>
    <n v="24886"/>
    <n v="4"/>
    <n v="0.05"/>
    <x v="175"/>
    <n v="94566.8"/>
    <n v="26478.7"/>
    <x v="2"/>
    <x v="3"/>
    <x v="2"/>
  </r>
  <r>
    <s v="CUST0180"/>
    <s v="Sahil Trivedi"/>
    <x v="4"/>
    <x v="4"/>
    <n v="25023"/>
    <n v="11"/>
    <n v="0.08"/>
    <x v="176"/>
    <n v="253232.76"/>
    <n v="75969.83"/>
    <x v="3"/>
    <x v="4"/>
    <x v="3"/>
  </r>
  <r>
    <s v="CUST0181"/>
    <s v="Aarav Rana"/>
    <x v="0"/>
    <x v="0"/>
    <n v="25160"/>
    <n v="7"/>
    <n v="0.1"/>
    <x v="177"/>
    <n v="158508"/>
    <n v="12680.64"/>
    <x v="4"/>
    <x v="0"/>
    <x v="0"/>
  </r>
  <r>
    <s v="CUST0182"/>
    <s v="Vivaan Rana"/>
    <x v="1"/>
    <x v="1"/>
    <n v="25297"/>
    <n v="3"/>
    <n v="0.12"/>
    <x v="178"/>
    <n v="66784.08"/>
    <n v="6678.41"/>
    <x v="5"/>
    <x v="1"/>
    <x v="1"/>
  </r>
  <r>
    <s v="CUST0183"/>
    <s v="Aditya Rana"/>
    <x v="2"/>
    <x v="2"/>
    <n v="25434"/>
    <n v="10"/>
    <n v="0.15"/>
    <x v="179"/>
    <n v="216189"/>
    <n v="25942.68"/>
    <x v="6"/>
    <x v="2"/>
    <x v="2"/>
  </r>
  <r>
    <s v="CUST0184"/>
    <s v="Arjun Rana"/>
    <x v="3"/>
    <x v="3"/>
    <n v="25571"/>
    <n v="6"/>
    <n v="0.2"/>
    <x v="180"/>
    <n v="122740.8"/>
    <n v="17183.71"/>
    <x v="7"/>
    <x v="3"/>
    <x v="3"/>
  </r>
  <r>
    <s v="CUST0185"/>
    <s v="Kabir Rana"/>
    <x v="4"/>
    <x v="4"/>
    <n v="25708"/>
    <n v="2"/>
    <n v="0"/>
    <x v="181"/>
    <n v="51416"/>
    <n v="8226.56"/>
    <x v="0"/>
    <x v="4"/>
    <x v="0"/>
  </r>
  <r>
    <s v="CUST0186"/>
    <s v="Rohan Rana"/>
    <x v="0"/>
    <x v="0"/>
    <n v="25845"/>
    <n v="9"/>
    <n v="0.02"/>
    <x v="182"/>
    <n v="227952.9"/>
    <n v="41031.519999999997"/>
    <x v="1"/>
    <x v="0"/>
    <x v="1"/>
  </r>
  <r>
    <s v="CUST0187"/>
    <s v="Ananya Rana"/>
    <x v="1"/>
    <x v="1"/>
    <n v="25982"/>
    <n v="5"/>
    <n v="0.05"/>
    <x v="183"/>
    <n v="123414.5"/>
    <n v="24682.9"/>
    <x v="2"/>
    <x v="1"/>
    <x v="2"/>
  </r>
  <r>
    <s v="CUST0188"/>
    <s v="Diya Rana"/>
    <x v="2"/>
    <x v="2"/>
    <n v="26119"/>
    <n v="1"/>
    <n v="0.08"/>
    <x v="184"/>
    <n v="24029.48"/>
    <n v="5286.49"/>
    <x v="3"/>
    <x v="2"/>
    <x v="3"/>
  </r>
  <r>
    <s v="CUST0189"/>
    <s v="Rahul Mishra"/>
    <x v="3"/>
    <x v="3"/>
    <n v="26256"/>
    <n v="8"/>
    <n v="0.1"/>
    <x v="185"/>
    <n v="189043.20000000001"/>
    <n v="45370.37"/>
    <x v="4"/>
    <x v="3"/>
    <x v="0"/>
  </r>
  <r>
    <s v="CUST0190"/>
    <s v="Meera Rana"/>
    <x v="4"/>
    <x v="4"/>
    <n v="26393"/>
    <n v="4"/>
    <n v="0.12"/>
    <x v="186"/>
    <n v="92903.360000000001"/>
    <n v="24154.87"/>
    <x v="5"/>
    <x v="4"/>
    <x v="1"/>
  </r>
  <r>
    <s v="CUST0191"/>
    <s v="Riya Rana"/>
    <x v="0"/>
    <x v="0"/>
    <n v="26530"/>
    <n v="11"/>
    <n v="0.15"/>
    <x v="187"/>
    <n v="248055.5"/>
    <n v="69455.539999999994"/>
    <x v="6"/>
    <x v="0"/>
    <x v="2"/>
  </r>
  <r>
    <s v="CUST0192"/>
    <s v="Pooja Rana"/>
    <x v="1"/>
    <x v="1"/>
    <n v="26667"/>
    <n v="7"/>
    <n v="0.12"/>
    <x v="188"/>
    <n v="164268.72"/>
    <n v="49280.62"/>
    <x v="7"/>
    <x v="1"/>
    <x v="3"/>
  </r>
  <r>
    <s v="CUST0193"/>
    <s v="Neha Rana"/>
    <x v="2"/>
    <x v="2"/>
    <n v="30914"/>
    <n v="3"/>
    <n v="0"/>
    <x v="189"/>
    <n v="92742"/>
    <n v="7419.36"/>
    <x v="0"/>
    <x v="2"/>
    <x v="0"/>
  </r>
  <r>
    <s v="CUST0194"/>
    <s v="Kavya Rana"/>
    <x v="3"/>
    <x v="3"/>
    <n v="26941"/>
    <n v="10"/>
    <n v="0.02"/>
    <x v="190"/>
    <n v="264021.8"/>
    <n v="26402.18"/>
    <x v="1"/>
    <x v="3"/>
    <x v="1"/>
  </r>
  <r>
    <s v="CUST0195"/>
    <s v="Aisha Rana"/>
    <x v="4"/>
    <x v="4"/>
    <n v="27078"/>
    <n v="7"/>
    <n v="0.05"/>
    <x v="191"/>
    <n v="180068.7"/>
    <n v="21608.240000000002"/>
    <x v="2"/>
    <x v="4"/>
    <x v="2"/>
  </r>
  <r>
    <s v="CUST0196"/>
    <s v="Priya Rana"/>
    <x v="0"/>
    <x v="0"/>
    <n v="27215"/>
    <n v="2"/>
    <n v="0.08"/>
    <x v="192"/>
    <n v="50075.6"/>
    <n v="7010.58"/>
    <x v="3"/>
    <x v="0"/>
    <x v="3"/>
  </r>
  <r>
    <s v="CUST0197"/>
    <s v="Rahul Rana"/>
    <x v="1"/>
    <x v="1"/>
    <n v="27352"/>
    <n v="9"/>
    <n v="0.1"/>
    <x v="193"/>
    <n v="221551.2"/>
    <n v="35448.19"/>
    <x v="4"/>
    <x v="1"/>
    <x v="0"/>
  </r>
  <r>
    <s v="CUST0198"/>
    <s v="Karan Rana"/>
    <x v="2"/>
    <x v="2"/>
    <n v="27489"/>
    <n v="5"/>
    <n v="0.12"/>
    <x v="194"/>
    <n v="120951.6"/>
    <n v="21771.29"/>
    <x v="5"/>
    <x v="2"/>
    <x v="1"/>
  </r>
  <r>
    <s v="CUST0199"/>
    <s v="Vikram Rana"/>
    <x v="3"/>
    <x v="3"/>
    <n v="27626"/>
    <n v="1"/>
    <n v="0.15"/>
    <x v="195"/>
    <n v="23482.1"/>
    <n v="4696.42"/>
    <x v="6"/>
    <x v="3"/>
    <x v="2"/>
  </r>
  <r>
    <s v="CUST0200"/>
    <s v="Sahil Rana"/>
    <x v="4"/>
    <x v="4"/>
    <n v="27763"/>
    <n v="8"/>
    <n v="0.2"/>
    <x v="196"/>
    <n v="177683.20000000001"/>
    <n v="39090.300000000003"/>
    <x v="7"/>
    <x v="4"/>
    <x v="3"/>
  </r>
  <r>
    <s v="CUST0201"/>
    <s v="Aarav Mishra"/>
    <x v="0"/>
    <x v="0"/>
    <n v="27900"/>
    <n v="4"/>
    <n v="0"/>
    <x v="197"/>
    <n v="111600"/>
    <n v="26784"/>
    <x v="0"/>
    <x v="0"/>
    <x v="0"/>
  </r>
  <r>
    <s v="CUST0202"/>
    <s v="Vivaan Mishra"/>
    <x v="1"/>
    <x v="1"/>
    <n v="28037"/>
    <n v="11"/>
    <n v="0.02"/>
    <x v="198"/>
    <n v="302238.86"/>
    <n v="78582.100000000006"/>
    <x v="1"/>
    <x v="1"/>
    <x v="1"/>
  </r>
  <r>
    <s v="CUST0203"/>
    <s v="Aditya Mishra"/>
    <x v="2"/>
    <x v="2"/>
    <n v="28174"/>
    <n v="7"/>
    <n v="0.05"/>
    <x v="199"/>
    <n v="187357.1"/>
    <n v="52459.99"/>
    <x v="2"/>
    <x v="2"/>
    <x v="2"/>
  </r>
  <r>
    <s v="CUST0204"/>
    <s v="Arjun Mishra"/>
    <x v="3"/>
    <x v="3"/>
    <n v="28311"/>
    <n v="3"/>
    <n v="0.08"/>
    <x v="200"/>
    <n v="78138.36"/>
    <n v="23441.51"/>
    <x v="3"/>
    <x v="3"/>
    <x v="3"/>
  </r>
  <r>
    <s v="CUST0205"/>
    <s v="Kabir Mishra"/>
    <x v="4"/>
    <x v="4"/>
    <n v="28448"/>
    <n v="10"/>
    <n v="0.1"/>
    <x v="201"/>
    <n v="256032"/>
    <n v="20482.560000000001"/>
    <x v="4"/>
    <x v="4"/>
    <x v="0"/>
  </r>
  <r>
    <s v="CUST0206"/>
    <s v="Rohan Mishra"/>
    <x v="0"/>
    <x v="0"/>
    <n v="28585"/>
    <n v="6"/>
    <n v="0.12"/>
    <x v="202"/>
    <n v="150928.79999999999"/>
    <n v="15092.88"/>
    <x v="5"/>
    <x v="0"/>
    <x v="1"/>
  </r>
  <r>
    <s v="CUST0207"/>
    <s v="Ananya Mishra"/>
    <x v="1"/>
    <x v="1"/>
    <n v="28722"/>
    <n v="2"/>
    <n v="0.15"/>
    <x v="203"/>
    <n v="48827.4"/>
    <n v="5859.29"/>
    <x v="6"/>
    <x v="1"/>
    <x v="2"/>
  </r>
  <r>
    <s v="CUST0208"/>
    <s v="Diya Mishra"/>
    <x v="2"/>
    <x v="2"/>
    <n v="28859"/>
    <n v="9"/>
    <n v="0.2"/>
    <x v="204"/>
    <n v="207784.8"/>
    <n v="29089.87"/>
    <x v="7"/>
    <x v="2"/>
    <x v="3"/>
  </r>
  <r>
    <s v="CUST0209"/>
    <s v="Ishita Mishra"/>
    <x v="3"/>
    <x v="3"/>
    <n v="28996"/>
    <n v="5"/>
    <n v="0"/>
    <x v="205"/>
    <n v="144980"/>
    <n v="23196.799999999999"/>
    <x v="0"/>
    <x v="3"/>
    <x v="0"/>
  </r>
  <r>
    <s v="CUST0210"/>
    <s v="Meera Mishra"/>
    <x v="4"/>
    <x v="4"/>
    <n v="29133"/>
    <n v="1"/>
    <n v="0.02"/>
    <x v="206"/>
    <n v="28550.34"/>
    <n v="5139.0600000000004"/>
    <x v="1"/>
    <x v="4"/>
    <x v="1"/>
  </r>
  <r>
    <s v="CUST0211"/>
    <s v="Riya Mishra"/>
    <x v="0"/>
    <x v="0"/>
    <n v="29270"/>
    <n v="8"/>
    <n v="0.05"/>
    <x v="207"/>
    <n v="222452"/>
    <n v="44490.400000000001"/>
    <x v="2"/>
    <x v="0"/>
    <x v="2"/>
  </r>
  <r>
    <s v="CUST0212"/>
    <s v="Pooja Mishra"/>
    <x v="1"/>
    <x v="1"/>
    <n v="29407"/>
    <n v="4"/>
    <n v="0.08"/>
    <x v="208"/>
    <n v="108217.76"/>
    <n v="23807.91"/>
    <x v="3"/>
    <x v="1"/>
    <x v="3"/>
  </r>
  <r>
    <s v="CUST0213"/>
    <s v="Neha Mishra"/>
    <x v="2"/>
    <x v="2"/>
    <n v="29544"/>
    <n v="11"/>
    <n v="0.1"/>
    <x v="209"/>
    <n v="292485.59999999998"/>
    <n v="70196.539999999994"/>
    <x v="4"/>
    <x v="2"/>
    <x v="0"/>
  </r>
  <r>
    <s v="CUST0214"/>
    <s v="Kavya Mishra"/>
    <x v="3"/>
    <x v="3"/>
    <n v="29681"/>
    <n v="7"/>
    <n v="0.12"/>
    <x v="210"/>
    <n v="182834.96"/>
    <n v="47537.09"/>
    <x v="5"/>
    <x v="3"/>
    <x v="1"/>
  </r>
  <r>
    <s v="CUST0215"/>
    <s v="Aisha Mishra"/>
    <x v="4"/>
    <x v="4"/>
    <n v="29818"/>
    <n v="3"/>
    <n v="0.15"/>
    <x v="211"/>
    <n v="76035.899999999994"/>
    <n v="21290.05"/>
    <x v="6"/>
    <x v="4"/>
    <x v="2"/>
  </r>
  <r>
    <s v="CUST0216"/>
    <s v="Priya Mishra"/>
    <x v="0"/>
    <x v="0"/>
    <n v="29955"/>
    <n v="10"/>
    <n v="0.2"/>
    <x v="212"/>
    <n v="239640"/>
    <n v="71892"/>
    <x v="7"/>
    <x v="0"/>
    <x v="3"/>
  </r>
  <r>
    <s v="CUST0217"/>
    <s v="Rahul Mishra"/>
    <x v="1"/>
    <x v="1"/>
    <n v="30092"/>
    <n v="6"/>
    <n v="0"/>
    <x v="213"/>
    <n v="180552"/>
    <n v="14444.16"/>
    <x v="0"/>
    <x v="1"/>
    <x v="0"/>
  </r>
  <r>
    <s v="CUST0218"/>
    <s v="Karan Mishra"/>
    <x v="2"/>
    <x v="2"/>
    <n v="30229"/>
    <n v="2"/>
    <n v="0.02"/>
    <x v="214"/>
    <n v="59248.84"/>
    <n v="5924.88"/>
    <x v="1"/>
    <x v="2"/>
    <x v="1"/>
  </r>
  <r>
    <s v="CUST0219"/>
    <s v="Vikram Mishra"/>
    <x v="3"/>
    <x v="3"/>
    <n v="30366"/>
    <n v="9"/>
    <n v="0.05"/>
    <x v="215"/>
    <n v="259629.3"/>
    <n v="31155.52"/>
    <x v="2"/>
    <x v="3"/>
    <x v="2"/>
  </r>
  <r>
    <s v="CUST0220"/>
    <s v="Sahil Mishra"/>
    <x v="4"/>
    <x v="4"/>
    <n v="30503"/>
    <n v="5"/>
    <n v="0.08"/>
    <x v="186"/>
    <n v="140313.79999999999"/>
    <n v="19643.93"/>
    <x v="3"/>
    <x v="4"/>
    <x v="3"/>
  </r>
  <r>
    <s v="CUST0221"/>
    <s v="Aarav Kapoor"/>
    <x v="0"/>
    <x v="0"/>
    <n v="30640"/>
    <n v="1"/>
    <n v="0.1"/>
    <x v="216"/>
    <n v="27576"/>
    <n v="4412.16"/>
    <x v="4"/>
    <x v="0"/>
    <x v="0"/>
  </r>
  <r>
    <s v="CUST0222"/>
    <s v="Vivaan Kapoor"/>
    <x v="1"/>
    <x v="1"/>
    <n v="30777"/>
    <n v="8"/>
    <n v="0.12"/>
    <x v="217"/>
    <n v="216670.07999999999"/>
    <n v="39000.61"/>
    <x v="5"/>
    <x v="1"/>
    <x v="1"/>
  </r>
  <r>
    <s v="CUST0223"/>
    <s v="Aditya Kapoor"/>
    <x v="2"/>
    <x v="2"/>
    <n v="30914"/>
    <n v="4"/>
    <n v="0.15"/>
    <x v="218"/>
    <n v="105107.6"/>
    <n v="21021.52"/>
    <x v="6"/>
    <x v="2"/>
    <x v="2"/>
  </r>
  <r>
    <s v="CUST0019"/>
    <s v="Vikram Shah"/>
    <x v="3"/>
    <x v="3"/>
    <n v="2966"/>
    <n v="6"/>
    <n v="0.05"/>
    <x v="18"/>
    <n v="16906.2"/>
    <n v="3381.24"/>
    <x v="2"/>
    <x v="3"/>
    <x v="2"/>
  </r>
  <r>
    <s v="CUST0044"/>
    <s v="Arjun Mehta"/>
    <x v="3"/>
    <x v="3"/>
    <n v="6391"/>
    <n v="5"/>
    <n v="0.08"/>
    <x v="43"/>
    <n v="29398.6"/>
    <n v="6467.69"/>
    <x v="3"/>
    <x v="3"/>
    <x v="3"/>
  </r>
  <r>
    <s v="CUST0079"/>
    <s v="Vikram Desai"/>
    <x v="3"/>
    <x v="3"/>
    <n v="11186"/>
    <n v="8"/>
    <n v="0.15"/>
    <x v="77"/>
    <n v="76064.800000000003"/>
    <n v="15212.96"/>
    <x v="6"/>
    <x v="3"/>
    <x v="2"/>
  </r>
  <r>
    <s v="CUST0119"/>
    <s v="Vikram Gupta"/>
    <x v="3"/>
    <x v="3"/>
    <n v="16666"/>
    <n v="2"/>
    <n v="0.15"/>
    <x v="116"/>
    <n v="28332.2"/>
    <n v="7933.02"/>
    <x v="6"/>
    <x v="3"/>
    <x v="2"/>
  </r>
  <r>
    <s v="CUST0159"/>
    <s v="Vikram Sharma"/>
    <x v="3"/>
    <x v="3"/>
    <n v="22146"/>
    <n v="7"/>
    <n v="0.15"/>
    <x v="156"/>
    <n v="131768.70000000001"/>
    <n v="15812.24"/>
    <x v="6"/>
    <x v="3"/>
    <x v="2"/>
  </r>
  <r>
    <m/>
    <m/>
    <x v="5"/>
    <x v="5"/>
    <m/>
    <m/>
    <m/>
    <x v="219"/>
    <m/>
    <m/>
    <x v="8"/>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17FC7-2F1A-44C2-B6C0-2598436180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C21" firstHeaderRow="0" firstDataRow="1" firstDataCol="1"/>
  <pivotFields count="13">
    <pivotField showAll="0"/>
    <pivotField showAll="0"/>
    <pivotField showAll="0"/>
    <pivotField axis="axisRow" showAll="0">
      <items count="7">
        <item x="3"/>
        <item x="1"/>
        <item x="0"/>
        <item x="2"/>
        <item x="4"/>
        <item x="5"/>
        <item t="default"/>
      </items>
    </pivotField>
    <pivotField showAll="0"/>
    <pivotField showAll="0"/>
    <pivotField showAll="0"/>
    <pivotField showAll="0"/>
    <pivotField dataField="1" showAll="0"/>
    <pivotField dataField="1" showAll="0"/>
    <pivotField showAll="0"/>
    <pivotField showAll="0"/>
    <pivotField showAll="0"/>
  </pivotFields>
  <rowFields count="1">
    <field x="3"/>
  </rowFields>
  <rowItems count="7">
    <i>
      <x/>
    </i>
    <i>
      <x v="1"/>
    </i>
    <i>
      <x v="2"/>
    </i>
    <i>
      <x v="3"/>
    </i>
    <i>
      <x v="4"/>
    </i>
    <i>
      <x v="5"/>
    </i>
    <i t="grand">
      <x/>
    </i>
  </rowItems>
  <colFields count="1">
    <field x="-2"/>
  </colFields>
  <colItems count="2">
    <i>
      <x/>
    </i>
    <i i="1">
      <x v="1"/>
    </i>
  </colItems>
  <dataFields count="2">
    <dataField name="Sum of Sales" fld="8" baseField="0" baseItem="0"/>
    <dataField name="Sum of Profit" fld="9" baseField="0" baseItem="0"/>
  </dataFields>
  <formats count="25">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 dxfId="31">
      <pivotArea outline="0" collapsedLevelsAreSubtotals="1" fieldPosition="0"/>
    </format>
    <format dxfId="30">
      <pivotArea dataOnly="0" labelOnly="1" outline="0" fieldPosition="0">
        <references count="1">
          <reference field="4294967294" count="2">
            <x v="0"/>
            <x v="1"/>
          </reference>
        </references>
      </pivotArea>
    </format>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dataOnly="0" labelOnly="1" fieldPosition="0">
        <references count="1">
          <reference field="3" count="0"/>
        </references>
      </pivotArea>
    </format>
    <format dxfId="22">
      <pivotArea grandRow="1" outline="0" collapsedLevelsAreSubtotals="1" fieldPosition="0"/>
    </format>
    <format dxfId="21">
      <pivotArea dataOnly="0" labelOnly="1" grandRow="1" outline="0" fieldPosition="0"/>
    </format>
    <format dxfId="20">
      <pivotArea field="3" type="button" dataOnly="0" labelOnly="1" outline="0" axis="axisRow" fieldPosition="0"/>
    </format>
    <format dxfId="19">
      <pivotArea dataOnly="0" labelOnly="1" outline="0" fieldPosition="0">
        <references count="1">
          <reference field="4294967294" count="2">
            <x v="0"/>
            <x v="1"/>
          </reference>
        </references>
      </pivotArea>
    </format>
  </format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AC329-A27D-4BC7-A563-9F6BD2E3286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13">
    <pivotField showAll="0"/>
    <pivotField showAll="0"/>
    <pivotField axis="axisRow" showAll="0">
      <items count="7">
        <item x="4"/>
        <item x="2"/>
        <item x="0"/>
        <item x="1"/>
        <item x="3"/>
        <item x="5"/>
        <item t="default"/>
      </items>
    </pivotField>
    <pivotField showAll="0"/>
    <pivotField showAll="0"/>
    <pivotField showAll="0"/>
    <pivotField showAll="0"/>
    <pivotField showAll="0">
      <items count="221">
        <item x="0"/>
        <item x="1"/>
        <item x="2"/>
        <item x="3"/>
        <item x="4"/>
        <item x="5"/>
        <item x="6"/>
        <item x="7"/>
        <item x="8"/>
        <item x="9"/>
        <item x="10"/>
        <item x="11"/>
        <item x="12"/>
        <item x="13"/>
        <item x="14"/>
        <item x="16"/>
        <item x="17"/>
        <item x="18"/>
        <item x="19"/>
        <item x="20"/>
        <item x="21"/>
        <item x="22"/>
        <item x="23"/>
        <item x="24"/>
        <item x="25"/>
        <item x="26"/>
        <item x="27"/>
        <item x="28"/>
        <item x="29"/>
        <item x="30"/>
        <item x="31"/>
        <item x="32"/>
        <item x="33"/>
        <item x="34"/>
        <item x="35"/>
        <item x="36"/>
        <item x="37"/>
        <item x="38"/>
        <item x="39"/>
        <item x="40"/>
        <item x="41"/>
        <item x="42"/>
        <item x="43"/>
        <item x="44"/>
        <item x="15"/>
        <item x="45"/>
        <item x="46"/>
        <item x="47"/>
        <item x="48"/>
        <item x="49"/>
        <item x="50"/>
        <item x="51"/>
        <item x="52"/>
        <item x="53"/>
        <item x="54"/>
        <item x="55"/>
        <item x="56"/>
        <item x="57"/>
        <item x="58"/>
        <item x="59"/>
        <item x="60"/>
        <item x="61"/>
        <item x="62"/>
        <item x="63"/>
        <item x="64"/>
        <item x="65"/>
        <item x="66"/>
        <item x="67"/>
        <item x="68"/>
        <item x="69"/>
        <item x="70"/>
        <item x="71"/>
        <item x="73"/>
        <item x="74"/>
        <item x="75"/>
        <item x="76"/>
        <item x="77"/>
        <item x="78"/>
        <item x="79"/>
        <item x="80"/>
        <item x="81"/>
        <item x="82"/>
        <item x="83"/>
        <item x="84"/>
        <item x="85"/>
        <item x="86"/>
        <item x="87"/>
        <item x="88"/>
        <item x="89"/>
        <item x="90"/>
        <item x="91"/>
        <item x="92"/>
        <item x="93"/>
        <item x="94"/>
        <item x="95"/>
        <item x="96"/>
        <item x="97"/>
        <item x="98"/>
        <item x="99"/>
        <item x="100"/>
        <item x="101"/>
        <item x="72"/>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33"/>
        <item x="163"/>
        <item x="164"/>
        <item x="165"/>
        <item x="166"/>
        <item x="167"/>
        <item x="168"/>
        <item x="169"/>
        <item x="170"/>
        <item x="171"/>
        <item x="172"/>
        <item x="173"/>
        <item x="174"/>
        <item x="175"/>
        <item x="176"/>
        <item x="177"/>
        <item x="178"/>
        <item x="179"/>
        <item x="180"/>
        <item x="181"/>
        <item x="182"/>
        <item x="183"/>
        <item x="184"/>
        <item x="185"/>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186"/>
        <item x="216"/>
        <item x="217"/>
        <item x="218"/>
        <item x="219"/>
        <item t="default"/>
      </items>
    </pivotField>
    <pivotField dataField="1"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8" baseField="0" baseItem="0"/>
  </dataFields>
  <formats count="36">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outline="0" axis="axisValues" fieldPosition="0"/>
    </format>
    <format dxfId="67">
      <pivotArea collapsedLevelsAreSubtotals="1" fieldPosition="0">
        <references count="1">
          <reference field="2" count="0"/>
        </references>
      </pivotArea>
    </format>
    <format dxfId="66">
      <pivotArea dataOnly="0" labelOnly="1" fieldPosition="0">
        <references count="1">
          <reference field="2" count="0"/>
        </references>
      </pivotArea>
    </format>
    <format dxfId="65">
      <pivotArea type="all" dataOnly="0" outline="0" fieldPosition="0"/>
    </format>
    <format dxfId="64">
      <pivotArea outline="0" collapsedLevelsAreSubtotals="1" fieldPosition="0"/>
    </format>
    <format dxfId="63">
      <pivotArea dataOnly="0" labelOnly="1" grandRow="1" outline="0" fieldPosition="0"/>
    </format>
    <format dxfId="62">
      <pivotArea grandRow="1" outline="0" collapsedLevelsAreSubtotals="1" fieldPosition="0"/>
    </format>
    <format dxfId="61">
      <pivotArea dataOnly="0" labelOnly="1" fieldPosition="0">
        <references count="1">
          <reference field="2" count="1">
            <x v="5"/>
          </reference>
        </references>
      </pivotArea>
    </format>
    <format dxfId="60">
      <pivotArea collapsedLevelsAreSubtotals="1" fieldPosition="0">
        <references count="1">
          <reference field="2" count="5">
            <x v="0"/>
            <x v="1"/>
            <x v="2"/>
            <x v="3"/>
            <x v="4"/>
          </reference>
        </references>
      </pivotArea>
    </format>
    <format dxfId="59">
      <pivotArea dataOnly="0" labelOnly="1" fieldPosition="0">
        <references count="1">
          <reference field="2" count="5">
            <x v="0"/>
            <x v="1"/>
            <x v="2"/>
            <x v="3"/>
            <x v="4"/>
          </reference>
        </references>
      </pivotArea>
    </format>
    <format dxfId="58">
      <pivotArea dataOnly="0" labelOnly="1" grandRow="1" outline="0" fieldPosition="0"/>
    </format>
    <format dxfId="57">
      <pivotArea collapsedLevelsAreSubtotals="1" fieldPosition="0">
        <references count="1">
          <reference field="2" count="5">
            <x v="0"/>
            <x v="1"/>
            <x v="2"/>
            <x v="3"/>
            <x v="4"/>
          </reference>
        </references>
      </pivotArea>
    </format>
    <format dxfId="56">
      <pivotArea field="2" type="button" dataOnly="0" labelOnly="1" outline="0" axis="axisRow" fieldPosition="0"/>
    </format>
    <format dxfId="55">
      <pivotArea dataOnly="0" labelOnly="1" fieldPosition="0">
        <references count="1">
          <reference field="2" count="5">
            <x v="0"/>
            <x v="1"/>
            <x v="2"/>
            <x v="3"/>
            <x v="4"/>
          </reference>
        </references>
      </pivotArea>
    </format>
    <format dxfId="54">
      <pivotArea dataOnly="0" labelOnly="1" outline="0" axis="axisValues" fieldPosition="0"/>
    </format>
    <format dxfId="53">
      <pivotArea dataOnly="0" labelOnly="1" fieldPosition="0">
        <references count="1">
          <reference field="2" count="1">
            <x v="4"/>
          </reference>
        </references>
      </pivotArea>
    </format>
    <format dxfId="52">
      <pivotArea collapsedLevelsAreSubtotals="1" fieldPosition="0">
        <references count="1">
          <reference field="2" count="1">
            <x v="4"/>
          </reference>
        </references>
      </pivotArea>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5">
      <pivotArea field="2" type="button" dataOnly="0" labelOnly="1" outline="0" axis="axisRow" fieldPosition="0"/>
    </format>
    <format dxfId="44">
      <pivotArea dataOnly="0" labelOnly="1" outline="0" axis="axisValues" fieldPosition="0"/>
    </format>
  </formats>
  <chartFormats count="9">
    <chartFormat chart="4"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8" format="12">
      <pivotArea type="data" outline="0" fieldPosition="0">
        <references count="2">
          <reference field="4294967294" count="1" selected="0">
            <x v="0"/>
          </reference>
          <reference field="2" count="1" selected="0">
            <x v="3"/>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 chart="8" format="14">
      <pivotArea type="data" outline="0" fieldPosition="0">
        <references count="2">
          <reference field="4294967294" count="1" selected="0">
            <x v="0"/>
          </reference>
          <reference field="2" count="1" selected="0">
            <x v="5"/>
          </reference>
        </references>
      </pivotArea>
    </chartFormat>
    <chartFormat chart="4" format="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CCBC76-76FC-45FA-973D-85C03279D5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H46" firstHeaderRow="1" firstDataRow="2" firstDataCol="1"/>
  <pivotFields count="13">
    <pivotField showAll="0"/>
    <pivotField showAll="0"/>
    <pivotField showAll="0"/>
    <pivotField showAll="0"/>
    <pivotField showAll="0"/>
    <pivotField showAll="0"/>
    <pivotField showAll="0"/>
    <pivotField showAll="0"/>
    <pivotField dataField="1" showAll="0"/>
    <pivotField showAll="0"/>
    <pivotField showAll="0"/>
    <pivotField axis="axisCol" showAll="0">
      <items count="7">
        <item x="3"/>
        <item x="1"/>
        <item x="2"/>
        <item x="4"/>
        <item x="0"/>
        <item x="5"/>
        <item t="default"/>
      </items>
    </pivotField>
    <pivotField axis="axisRow" showAll="0">
      <items count="6">
        <item x="1"/>
        <item x="2"/>
        <item x="0"/>
        <item x="3"/>
        <item x="4"/>
        <item t="default"/>
      </items>
    </pivotField>
  </pivotFields>
  <rowFields count="1">
    <field x="12"/>
  </rowFields>
  <rowItems count="6">
    <i>
      <x/>
    </i>
    <i>
      <x v="1"/>
    </i>
    <i>
      <x v="2"/>
    </i>
    <i>
      <x v="3"/>
    </i>
    <i>
      <x v="4"/>
    </i>
    <i t="grand">
      <x/>
    </i>
  </rowItems>
  <colFields count="1">
    <field x="11"/>
  </colFields>
  <colItems count="7">
    <i>
      <x/>
    </i>
    <i>
      <x v="1"/>
    </i>
    <i>
      <x v="2"/>
    </i>
    <i>
      <x v="3"/>
    </i>
    <i>
      <x v="4"/>
    </i>
    <i>
      <x v="5"/>
    </i>
    <i t="grand">
      <x/>
    </i>
  </colItems>
  <dataFields count="1">
    <dataField name="Sum of Sales" fld="8" baseField="0" baseItem="0"/>
  </dataFields>
  <formats count="22">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11" type="button" dataOnly="0" labelOnly="1" outline="0" axis="axisCol" fieldPosition="0"/>
    </format>
    <format dxfId="97">
      <pivotArea type="topRight" dataOnly="0" labelOnly="1" outline="0" fieldPosition="0"/>
    </format>
    <format dxfId="96">
      <pivotArea field="12" type="button" dataOnly="0" labelOnly="1" outline="0" axis="axisRow" fieldPosition="0"/>
    </format>
    <format dxfId="95">
      <pivotArea dataOnly="0" labelOnly="1" fieldPosition="0">
        <references count="1">
          <reference field="12" count="0"/>
        </references>
      </pivotArea>
    </format>
    <format dxfId="94">
      <pivotArea dataOnly="0" labelOnly="1" grandRow="1" outline="0" fieldPosition="0"/>
    </format>
    <format dxfId="93">
      <pivotArea dataOnly="0" labelOnly="1" fieldPosition="0">
        <references count="1">
          <reference field="11" count="0"/>
        </references>
      </pivotArea>
    </format>
    <format dxfId="92">
      <pivotArea dataOnly="0" labelOnly="1" grandCol="1" outline="0"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12" type="button" dataOnly="0" labelOnly="1" outline="0" axis="axisRow" fieldPosition="0"/>
    </format>
    <format dxfId="87">
      <pivotArea field="11" type="button" dataOnly="0" labelOnly="1" outline="0" axis="axisCol" fieldPosition="0"/>
    </format>
    <format dxfId="86">
      <pivotArea type="topRight" dataOnly="0" labelOnly="1" outline="0" fieldPosition="0"/>
    </format>
    <format dxfId="85">
      <pivotArea dataOnly="0" labelOnly="1" fieldPosition="0">
        <references count="1">
          <reference field="11" count="0"/>
        </references>
      </pivotArea>
    </format>
    <format dxfId="84">
      <pivotArea dataOnly="0" labelOnly="1" grandCol="1" outline="0" fieldPosition="0"/>
    </format>
    <format dxfId="83">
      <pivotArea collapsedLevelsAreSubtotals="1" fieldPosition="0">
        <references count="1">
          <reference field="12" count="0"/>
        </references>
      </pivotArea>
    </format>
    <format dxfId="82">
      <pivotArea dataOnly="0" labelOnly="1" fieldPosition="0">
        <references count="1">
          <reference field="12" count="0"/>
        </references>
      </pivotArea>
    </format>
    <format dxfId="81">
      <pivotArea grandRow="1" outline="0" collapsedLevelsAreSubtotals="1" fieldPosition="0"/>
    </format>
    <format dxfId="8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42B9DE-0426-4DF8-8A4D-B316F58AB8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5" firstHeaderRow="1" firstDataRow="1" firstDataCol="1"/>
  <pivotFields count="13">
    <pivotField showAll="0"/>
    <pivotField showAll="0"/>
    <pivotField showAll="0"/>
    <pivotField showAll="0"/>
    <pivotField showAll="0"/>
    <pivotField dataField="1" showAll="0"/>
    <pivotField showAll="0"/>
    <pivotField showAll="0"/>
    <pivotField showAll="0"/>
    <pivotField showAll="0"/>
    <pivotField axis="axisRow" showAll="0">
      <items count="10">
        <item x="0"/>
        <item x="3"/>
        <item x="6"/>
        <item x="1"/>
        <item x="4"/>
        <item x="5"/>
        <item x="2"/>
        <item x="7"/>
        <item x="8"/>
        <item t="default"/>
      </items>
    </pivotField>
    <pivotField showAll="0"/>
    <pivotField showAll="0"/>
  </pivotFields>
  <rowFields count="1">
    <field x="10"/>
  </rowFields>
  <rowItems count="10">
    <i>
      <x/>
    </i>
    <i>
      <x v="1"/>
    </i>
    <i>
      <x v="2"/>
    </i>
    <i>
      <x v="3"/>
    </i>
    <i>
      <x v="4"/>
    </i>
    <i>
      <x v="5"/>
    </i>
    <i>
      <x v="6"/>
    </i>
    <i>
      <x v="7"/>
    </i>
    <i>
      <x v="8"/>
    </i>
    <i t="grand">
      <x/>
    </i>
  </rowItems>
  <colItems count="1">
    <i/>
  </colItems>
  <dataFields count="1">
    <dataField name="Sum of Quantity" fld="5" baseField="0" baseItem="0"/>
  </dataFields>
  <formats count="19">
    <format dxfId="120">
      <pivotArea type="all" dataOnly="0" outline="0" fieldPosition="0"/>
    </format>
    <format dxfId="119">
      <pivotArea outline="0" collapsedLevelsAreSubtotals="1" fieldPosition="0"/>
    </format>
    <format dxfId="118">
      <pivotArea field="10" type="button" dataOnly="0" labelOnly="1" outline="0" axis="axisRow" fieldPosition="0"/>
    </format>
    <format dxfId="117">
      <pivotArea dataOnly="0" labelOnly="1" fieldPosition="0">
        <references count="1">
          <reference field="10"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10" type="button" dataOnly="0" labelOnly="1" outline="0" axis="axisRow" fieldPosition="0"/>
    </format>
    <format dxfId="111">
      <pivotArea dataOnly="0" labelOnly="1" fieldPosition="0">
        <references count="1">
          <reference field="10" count="0"/>
        </references>
      </pivotArea>
    </format>
    <format dxfId="110">
      <pivotArea dataOnly="0" labelOnly="1" outline="0" axis="axisValues" fieldPosition="0"/>
    </format>
    <format dxfId="109">
      <pivotArea grandRow="1" outline="0" collapsedLevelsAreSubtotals="1" fieldPosition="0"/>
    </format>
    <format dxfId="108">
      <pivotArea dataOnly="0" labelOnly="1" grandRow="1" outline="0" fieldPosition="0"/>
    </format>
    <format dxfId="107">
      <pivotArea collapsedLevelsAreSubtotals="1" fieldPosition="0">
        <references count="1">
          <reference field="10" count="0"/>
        </references>
      </pivotArea>
    </format>
    <format dxfId="106">
      <pivotArea field="10" type="button" dataOnly="0" labelOnly="1" outline="0" axis="axisRow" fieldPosition="0"/>
    </format>
    <format dxfId="105">
      <pivotArea dataOnly="0" labelOnly="1" fieldPosition="0">
        <references count="1">
          <reference field="10" count="0"/>
        </references>
      </pivotArea>
    </format>
    <format dxfId="104">
      <pivotArea dataOnly="0" labelOnly="1" outline="0" axis="axisValues" fieldPosition="0"/>
    </format>
    <format dxfId="103">
      <pivotArea field="10" type="button" dataOnly="0" labelOnly="1" outline="0" axis="axisRow"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CEC39D-DC08-4B2B-9CEB-BCBC464A178B}" sourceName="Region">
  <pivotTables>
    <pivotTable tabId="3" name="PivotTable1"/>
  </pivotTables>
  <data>
    <tabular pivotCacheId="1624084774">
      <items count="6">
        <i x="4" s="1"/>
        <i x="2" s="1"/>
        <i x="0" s="1"/>
        <i x="1"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ECA6B6D-DA98-4FA9-9362-DD1AD7CABE5F}" sourceName="Product_Category">
  <pivotTables>
    <pivotTable tabId="3" name="PivotTable2"/>
  </pivotTables>
  <data>
    <tabular pivotCacheId="1624084774">
      <items count="6">
        <i x="3" s="1"/>
        <i x="1" s="1"/>
        <i x="0"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D9BF94F-FF11-4F08-A553-F92FFCF69781}" cache="Slicer_Region" caption="Region" rowHeight="247650"/>
  <slicer name="Product_Category" xr10:uid="{EECB143C-5A22-4826-BF11-C368F7CF8B75}" cache="Slicer_Product_Category" caption="Product_Category" startItem="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7AC42BB-7EE5-48A5-8F23-F662C60ED6CE}" cache="Slicer_Region" caption="Region" rowHeight="247650"/>
  <slicer name="Product_Category 1" xr10:uid="{6B298EC5-CB07-4758-87F0-E06EE301DB01}" cache="Slicer_Product_Category" caption="Product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73E21A-D47F-4DE2-BFDF-24AAFD782451}" name="SalesData" displayName="SalesData" ref="A1:M230" totalsRowShown="0" headerRowDxfId="18" dataDxfId="16" headerRowBorderDxfId="17" tableBorderDxfId="15" totalsRowBorderDxfId="14">
  <autoFilter ref="A1:M230" xr:uid="{0173E21A-D47F-4DE2-BFDF-24AAFD782451}"/>
  <tableColumns count="13">
    <tableColumn id="1" xr3:uid="{C408FC60-C5D9-4088-BA73-F08F615701C8}" name="Customer_ID" dataDxfId="13"/>
    <tableColumn id="2" xr3:uid="{E9DB52FF-E4B3-4AC7-B7A5-F2E55036F337}" name="Customer_Name" dataDxfId="12">
      <calculatedColumnFormula array="1">INDEX({"Aarav","Vivaan","Aditya","Arjun","Kabir","Rohan","Ananya","Diya","Ishita","Meera","Riya","Pooja","Neha","Kavya","Aisha","Priya","Rahul","Karan","Vikram","Sahil"},MOD(ROW()-2,20)+1)&amp;" "&amp;INDEX({"Shah","Patel","Mehta","Desai","Joshi","Gupta","Verma","Sharma","Trivedi","Rana","Mishra","Kapoor","Iyer","Nair","Singh"},MOD(INT((ROW()-2)/20),15)+1)</calculatedColumnFormula>
    </tableColumn>
    <tableColumn id="3" xr3:uid="{C1BABD16-E448-4812-B6ED-41A81D2B04E4}" name="Region" dataDxfId="11">
      <calculatedColumnFormula array="1">INDEX({"North","South","East","West","Central"},MOD(ROW()-2,5)+1)</calculatedColumnFormula>
    </tableColumn>
    <tableColumn id="4" xr3:uid="{7E4C1242-FCDF-47D4-973B-4628810363A6}" name="Product_Category" dataDxfId="10">
      <calculatedColumnFormula array="1">INDEX({"Electronics","Clothing","Furniture","Books","Office Supplies"},MOD(ROW()-2,5)+1)</calculatedColumnFormula>
    </tableColumn>
    <tableColumn id="5" xr3:uid="{CA6C44C3-987B-438E-9EAB-82ACCA1012BA}" name="Unit_Price" dataDxfId="9">
      <calculatedColumnFormula>ROUND(500+MOD((ROW()-2)*137,44500),2)</calculatedColumnFormula>
    </tableColumn>
    <tableColumn id="6" xr3:uid="{FE038EB8-BC4E-476E-B2A7-E6DD16FE08F6}" name="Quantity" dataDxfId="8">
      <calculatedColumnFormula>MOD((ROW()-2)*7,11)+1</calculatedColumnFormula>
    </tableColumn>
    <tableColumn id="7" xr3:uid="{FE35ADA3-C8BD-493C-8E68-DA8B4039858E}" name="Discount" dataDxfId="7">
      <calculatedColumnFormula>CHOOSE(MOD(ROW()-2,8)+1,0,0.02,0.05,0.08,0.1,0.12,0.15,0.2)</calculatedColumnFormula>
    </tableColumn>
    <tableColumn id="8" xr3:uid="{8DBC0111-27EE-4622-910A-0F57DC7C8E0F}" name="Order_Date" dataDxfId="6">
      <calculatedColumnFormula>DATE(2025,1,1)+MOD(ROW()-2,365)</calculatedColumnFormula>
    </tableColumn>
    <tableColumn id="9" xr3:uid="{131E9A25-1CCC-4C10-82C5-50422660B441}" name="Sales" dataDxfId="5">
      <calculatedColumnFormula>ROUND(E2*F2*(1-G2),2)</calculatedColumnFormula>
    </tableColumn>
    <tableColumn id="10" xr3:uid="{82F41A60-FDB2-42FD-A235-DD6D825586E3}" name="Profit" dataDxfId="4">
      <calculatedColumnFormula>ROUND(I2*(0.08+MOD(ROW()-2,12)*0.02),2)</calculatedColumnFormula>
    </tableColumn>
    <tableColumn id="11" xr3:uid="{54274FD0-A2E6-4450-BB59-6ED86D719CF7}" name="Salesperson" dataDxfId="3">
      <calculatedColumnFormula array="1">INDEX({"Amit","Neha","Riya","Karan","Pooja","Rahul","Meera","Vikram"},MOD(ROW()-2,8)+1)</calculatedColumnFormula>
    </tableColumn>
    <tableColumn id="12" xr3:uid="{FE4C0DA0-9C99-4A84-A869-CB11CDA7882C}" name="Payment_Mode" dataDxfId="2">
      <calculatedColumnFormula array="1">INDEX({"UPI","Credit Card","Debit Card","Cash","Net Banking"},MOD(ROW()-2,5)+1)</calculatedColumnFormula>
    </tableColumn>
    <tableColumn id="13" xr3:uid="{34A8053E-4328-4440-B7F3-4F323BA866D2}" name="Customer_Segment" dataDxfId="1">
      <calculatedColumnFormula array="1">INDEX({"Retail","Corporate","Education","Small Business"},MOD(ROW()-2,4)+1)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158CF22-6BD8-4C4B-9BD9-F144A69BBD2F}" sourceName="Order_Date">
  <pivotTables>
    <pivotTable tabId="3" name="PivotTable1"/>
  </pivotTables>
  <state minimalRefreshVersion="6" lastRefreshVersion="6" pivotCacheId="162408477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4EE66F-1567-497D-873B-9F0C7B391DD4}" cache="NativeTimeline_Order_Date" caption="Order_Date" level="2" selectionLevel="2" scrollPosition="2025-06-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5E83BBB-61CC-4B46-B02D-EE6C6D92CEA4}" cache="NativeTimeline_Order_Date" caption="Order_Date" level="2" selectionLevel="2" scrollPosition="2025-06-18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708A0-349E-46A3-B784-485B0CDF3FAF}">
  <dimension ref="A1:W54"/>
  <sheetViews>
    <sheetView zoomScale="110" workbookViewId="0">
      <selection activeCell="N15" sqref="N15"/>
    </sheetView>
  </sheetViews>
  <sheetFormatPr defaultRowHeight="14.4" x14ac:dyDescent="0.3"/>
  <cols>
    <col min="1" max="1" width="14.6640625" bestFit="1" customWidth="1"/>
    <col min="2" max="3" width="12" bestFit="1" customWidth="1"/>
    <col min="4" max="4" width="10" bestFit="1" customWidth="1"/>
    <col min="5" max="5" width="18.6640625" customWidth="1"/>
    <col min="6" max="6" width="10" bestFit="1" customWidth="1"/>
    <col min="7" max="7" width="7" bestFit="1" customWidth="1"/>
    <col min="8" max="8" width="12" bestFit="1" customWidth="1"/>
  </cols>
  <sheetData>
    <row r="1" spans="1:23" ht="18.600000000000001" thickBot="1" x14ac:dyDescent="0.4">
      <c r="A1" s="67" t="s">
        <v>37</v>
      </c>
      <c r="B1" s="68"/>
      <c r="C1" s="68"/>
      <c r="D1" s="68"/>
      <c r="E1" s="68"/>
      <c r="F1" s="68"/>
      <c r="G1" s="68"/>
      <c r="H1" s="69"/>
      <c r="I1" s="54"/>
      <c r="J1" s="54"/>
      <c r="K1" s="54"/>
      <c r="L1" s="54"/>
      <c r="M1" s="54"/>
      <c r="N1" s="54"/>
      <c r="O1" s="54"/>
      <c r="P1" s="54"/>
      <c r="Q1" s="54"/>
      <c r="R1" s="54"/>
      <c r="S1" s="54"/>
      <c r="T1" s="54"/>
      <c r="U1" s="54"/>
      <c r="V1" s="54"/>
      <c r="W1" s="54"/>
    </row>
    <row r="2" spans="1:23" ht="15" thickBot="1" x14ac:dyDescent="0.35">
      <c r="A2" s="54"/>
      <c r="B2" s="54"/>
      <c r="C2" s="54"/>
      <c r="D2" s="54"/>
      <c r="E2" s="54"/>
      <c r="F2" s="54"/>
      <c r="G2" s="54"/>
      <c r="H2" s="54"/>
      <c r="I2" s="54"/>
      <c r="J2" s="54"/>
      <c r="K2" s="54"/>
      <c r="L2" s="54"/>
      <c r="M2" s="54"/>
      <c r="N2" s="54"/>
      <c r="O2" s="54"/>
      <c r="P2" s="54"/>
      <c r="Q2" s="54"/>
      <c r="R2" s="54"/>
      <c r="S2" s="54"/>
      <c r="T2" s="54"/>
      <c r="U2" s="54"/>
      <c r="V2" s="54"/>
      <c r="W2" s="54"/>
    </row>
    <row r="3" spans="1:23" ht="15" thickBot="1" x14ac:dyDescent="0.35">
      <c r="A3" s="41" t="s">
        <v>38</v>
      </c>
      <c r="B3" s="42" t="s">
        <v>41</v>
      </c>
      <c r="C3" s="54"/>
      <c r="D3" s="54"/>
      <c r="E3" s="54"/>
      <c r="F3" s="54"/>
      <c r="G3" s="54"/>
      <c r="H3" s="54"/>
      <c r="I3" s="54"/>
      <c r="J3" s="54"/>
      <c r="K3" s="54"/>
      <c r="L3" s="54"/>
      <c r="M3" s="54"/>
      <c r="N3" s="54"/>
      <c r="O3" s="54"/>
      <c r="P3" s="54"/>
      <c r="Q3" s="54"/>
      <c r="R3" s="54"/>
      <c r="S3" s="54"/>
      <c r="T3" s="54"/>
      <c r="U3" s="54"/>
      <c r="V3" s="54"/>
      <c r="W3" s="54"/>
    </row>
    <row r="4" spans="1:23" x14ac:dyDescent="0.3">
      <c r="A4" s="81" t="s">
        <v>13</v>
      </c>
      <c r="B4" s="79">
        <v>3678973.0600000005</v>
      </c>
      <c r="C4" s="54"/>
      <c r="D4" s="54"/>
      <c r="E4" s="54"/>
      <c r="F4" s="54"/>
      <c r="G4" s="54"/>
      <c r="H4" s="54"/>
      <c r="I4" s="54"/>
      <c r="J4" s="54"/>
      <c r="K4" s="54"/>
      <c r="L4" s="54"/>
      <c r="M4" s="54"/>
      <c r="N4" s="54"/>
      <c r="O4" s="54"/>
      <c r="P4" s="54"/>
      <c r="Q4" s="54"/>
      <c r="R4" s="54"/>
      <c r="S4" s="54"/>
      <c r="T4" s="54"/>
      <c r="U4" s="54"/>
      <c r="V4" s="54"/>
      <c r="W4" s="54"/>
    </row>
    <row r="5" spans="1:23" x14ac:dyDescent="0.3">
      <c r="A5" s="81" t="s">
        <v>11</v>
      </c>
      <c r="B5" s="79">
        <v>3891741.7</v>
      </c>
      <c r="C5" s="54"/>
      <c r="D5" s="54"/>
      <c r="E5" s="54"/>
      <c r="F5" s="54"/>
      <c r="G5" s="54"/>
      <c r="H5" s="54"/>
      <c r="I5" s="54"/>
      <c r="J5" s="54"/>
      <c r="K5" s="54"/>
      <c r="L5" s="54"/>
      <c r="M5" s="54"/>
      <c r="N5" s="54"/>
      <c r="O5" s="54"/>
      <c r="P5" s="54"/>
      <c r="Q5" s="54"/>
      <c r="R5" s="54"/>
      <c r="S5" s="54"/>
      <c r="T5" s="54"/>
      <c r="U5" s="54"/>
      <c r="V5" s="54"/>
      <c r="W5" s="54"/>
    </row>
    <row r="6" spans="1:23" x14ac:dyDescent="0.3">
      <c r="A6" s="81" t="s">
        <v>9</v>
      </c>
      <c r="B6" s="79">
        <v>3866226.5</v>
      </c>
      <c r="C6" s="54"/>
      <c r="D6" s="54"/>
      <c r="E6" s="54"/>
      <c r="F6" s="54"/>
      <c r="G6" s="54"/>
      <c r="H6" s="54"/>
      <c r="I6" s="54"/>
      <c r="J6" s="54"/>
      <c r="K6" s="54"/>
      <c r="L6" s="54"/>
      <c r="M6" s="54"/>
      <c r="N6" s="54"/>
      <c r="O6" s="54"/>
      <c r="P6" s="54"/>
      <c r="Q6" s="54"/>
      <c r="R6" s="54"/>
      <c r="S6" s="54"/>
      <c r="T6" s="54"/>
      <c r="U6" s="54"/>
      <c r="V6" s="54"/>
      <c r="W6" s="54"/>
    </row>
    <row r="7" spans="1:23" x14ac:dyDescent="0.3">
      <c r="A7" s="81" t="s">
        <v>10</v>
      </c>
      <c r="B7" s="79">
        <v>3919562.1399999997</v>
      </c>
      <c r="C7" s="54"/>
      <c r="D7" s="54"/>
      <c r="E7" s="54"/>
      <c r="F7" s="54"/>
      <c r="G7" s="54"/>
      <c r="H7" s="54"/>
      <c r="I7" s="54"/>
      <c r="J7" s="54"/>
      <c r="K7" s="54"/>
      <c r="L7" s="54"/>
      <c r="M7" s="54"/>
      <c r="N7" s="54"/>
      <c r="O7" s="54"/>
      <c r="P7" s="54"/>
      <c r="Q7" s="54"/>
      <c r="R7" s="54"/>
      <c r="S7" s="54"/>
      <c r="T7" s="54"/>
      <c r="U7" s="54"/>
      <c r="V7" s="54"/>
      <c r="W7" s="54"/>
    </row>
    <row r="8" spans="1:23" x14ac:dyDescent="0.3">
      <c r="A8" s="81" t="s">
        <v>12</v>
      </c>
      <c r="B8" s="79">
        <v>4097279.9199999995</v>
      </c>
      <c r="C8" s="54"/>
      <c r="D8" s="54"/>
      <c r="E8" s="54"/>
      <c r="F8" s="54"/>
      <c r="G8" s="54"/>
      <c r="H8" s="54"/>
      <c r="I8" s="54"/>
      <c r="J8" s="54"/>
      <c r="K8" s="54"/>
      <c r="L8" s="54"/>
      <c r="M8" s="54"/>
      <c r="N8" s="54"/>
      <c r="O8" s="54"/>
      <c r="P8" s="54"/>
      <c r="Q8" s="54"/>
      <c r="R8" s="54"/>
      <c r="S8" s="54"/>
      <c r="T8" s="54"/>
      <c r="U8" s="54"/>
      <c r="V8" s="54"/>
      <c r="W8" s="54"/>
    </row>
    <row r="9" spans="1:23" ht="15" thickBot="1" x14ac:dyDescent="0.35">
      <c r="A9" s="81" t="s">
        <v>39</v>
      </c>
      <c r="B9" s="79"/>
      <c r="C9" s="54"/>
      <c r="D9" s="54"/>
      <c r="E9" s="54"/>
      <c r="F9" s="54"/>
      <c r="G9" s="54"/>
      <c r="H9" s="54"/>
      <c r="I9" s="54"/>
      <c r="J9" s="54"/>
      <c r="K9" s="54"/>
      <c r="L9" s="54"/>
      <c r="M9" s="54"/>
      <c r="N9" s="54"/>
      <c r="O9" s="54"/>
      <c r="P9" s="54"/>
      <c r="Q9" s="54"/>
      <c r="R9" s="54"/>
      <c r="S9" s="54"/>
      <c r="T9" s="54"/>
      <c r="U9" s="54"/>
      <c r="V9" s="54"/>
      <c r="W9" s="54"/>
    </row>
    <row r="10" spans="1:23" ht="15" thickBot="1" x14ac:dyDescent="0.35">
      <c r="A10" s="42" t="s">
        <v>40</v>
      </c>
      <c r="B10" s="80">
        <v>19453783.32</v>
      </c>
      <c r="C10" s="54"/>
      <c r="D10" s="54"/>
      <c r="E10" s="54"/>
      <c r="F10" s="54"/>
      <c r="G10" s="54"/>
      <c r="H10" s="54"/>
      <c r="I10" s="54"/>
      <c r="J10" s="54"/>
      <c r="K10" s="54"/>
      <c r="L10" s="54"/>
      <c r="M10" s="54"/>
      <c r="N10" s="54"/>
      <c r="O10" s="54"/>
      <c r="P10" s="54"/>
      <c r="Q10" s="54"/>
      <c r="R10" s="54"/>
      <c r="S10" s="54"/>
      <c r="T10" s="54"/>
      <c r="U10" s="54"/>
      <c r="V10" s="54"/>
      <c r="W10" s="54"/>
    </row>
    <row r="11" spans="1:23" ht="15" thickBot="1" x14ac:dyDescent="0.35">
      <c r="A11" s="54"/>
      <c r="B11" s="54"/>
      <c r="C11" s="54"/>
      <c r="D11" s="54"/>
      <c r="E11" s="54"/>
      <c r="F11" s="54"/>
      <c r="G11" s="54"/>
      <c r="H11" s="54"/>
      <c r="I11" s="54"/>
      <c r="J11" s="54"/>
      <c r="K11" s="54"/>
      <c r="L11" s="54"/>
      <c r="M11" s="54"/>
      <c r="N11" s="54"/>
      <c r="O11" s="54"/>
      <c r="P11" s="54"/>
      <c r="Q11" s="54"/>
      <c r="R11" s="54"/>
      <c r="S11" s="54"/>
      <c r="T11" s="54"/>
      <c r="U11" s="54"/>
      <c r="V11" s="54"/>
      <c r="W11" s="54"/>
    </row>
    <row r="12" spans="1:23" ht="16.2" thickBot="1" x14ac:dyDescent="0.35">
      <c r="A12" s="70" t="s">
        <v>42</v>
      </c>
      <c r="B12" s="71"/>
      <c r="C12" s="71"/>
      <c r="D12" s="71"/>
      <c r="E12" s="72"/>
      <c r="F12" s="55"/>
      <c r="G12" s="55"/>
      <c r="H12" s="54"/>
      <c r="I12" s="54"/>
      <c r="J12" s="54"/>
      <c r="K12" s="54"/>
      <c r="L12" s="54"/>
      <c r="M12" s="54"/>
      <c r="N12" s="54"/>
      <c r="O12" s="54"/>
      <c r="P12" s="54"/>
      <c r="Q12" s="54"/>
      <c r="R12" s="54"/>
      <c r="S12" s="54"/>
      <c r="T12" s="54"/>
      <c r="U12" s="54"/>
      <c r="V12" s="54"/>
      <c r="W12" s="54"/>
    </row>
    <row r="13" spans="1:23" ht="15" thickBot="1" x14ac:dyDescent="0.35">
      <c r="A13" s="54"/>
      <c r="B13" s="54"/>
      <c r="C13" s="54"/>
      <c r="D13" s="54"/>
      <c r="E13" s="54"/>
      <c r="F13" s="54"/>
      <c r="G13" s="54"/>
      <c r="H13" s="54"/>
      <c r="I13" s="54"/>
      <c r="J13" s="54"/>
      <c r="K13" s="54"/>
      <c r="L13" s="54"/>
      <c r="M13" s="54"/>
      <c r="N13" s="54"/>
      <c r="O13" s="54"/>
      <c r="P13" s="54"/>
      <c r="Q13" s="54"/>
      <c r="R13" s="54"/>
      <c r="S13" s="54"/>
      <c r="T13" s="54"/>
      <c r="U13" s="54"/>
      <c r="V13" s="54"/>
      <c r="W13" s="54"/>
    </row>
    <row r="14" spans="1:23" ht="15" thickBot="1" x14ac:dyDescent="0.35">
      <c r="A14" s="41" t="s">
        <v>38</v>
      </c>
      <c r="B14" s="44" t="s">
        <v>41</v>
      </c>
      <c r="C14" s="45" t="s">
        <v>43</v>
      </c>
      <c r="D14" s="54"/>
      <c r="E14" s="54"/>
      <c r="F14" s="54"/>
      <c r="G14" s="54"/>
      <c r="H14" s="54"/>
      <c r="I14" s="54"/>
      <c r="J14" s="54"/>
      <c r="K14" s="54"/>
      <c r="L14" s="54"/>
      <c r="M14" s="54"/>
      <c r="N14" s="54"/>
      <c r="O14" s="54"/>
      <c r="P14" s="54"/>
      <c r="Q14" s="54"/>
      <c r="R14" s="54"/>
      <c r="S14" s="54"/>
      <c r="T14" s="54"/>
      <c r="U14" s="54"/>
      <c r="V14" s="54"/>
      <c r="W14" s="54"/>
    </row>
    <row r="15" spans="1:23" x14ac:dyDescent="0.3">
      <c r="A15" s="23" t="s">
        <v>18</v>
      </c>
      <c r="B15" s="26">
        <v>4097279.9199999995</v>
      </c>
      <c r="C15" s="21">
        <v>726304.07000000007</v>
      </c>
      <c r="D15" s="54"/>
      <c r="E15" s="54"/>
      <c r="F15" s="54"/>
      <c r="G15" s="54"/>
      <c r="H15" s="54"/>
      <c r="I15" s="54"/>
      <c r="J15" s="54"/>
      <c r="K15" s="54"/>
      <c r="L15" s="54"/>
      <c r="M15" s="54"/>
      <c r="N15" s="54"/>
      <c r="O15" s="54"/>
      <c r="P15" s="54"/>
      <c r="Q15" s="54"/>
      <c r="R15" s="54"/>
      <c r="S15" s="54"/>
      <c r="T15" s="54"/>
      <c r="U15" s="54"/>
      <c r="V15" s="54"/>
      <c r="W15" s="54"/>
    </row>
    <row r="16" spans="1:23" x14ac:dyDescent="0.3">
      <c r="A16" s="23" t="s">
        <v>16</v>
      </c>
      <c r="B16" s="6">
        <v>3919562.1399999997</v>
      </c>
      <c r="C16" s="23">
        <v>746508.07000000007</v>
      </c>
      <c r="D16" s="54"/>
      <c r="E16" s="54"/>
      <c r="F16" s="54"/>
      <c r="G16" s="54"/>
      <c r="H16" s="54"/>
      <c r="I16" s="54"/>
      <c r="J16" s="54"/>
      <c r="K16" s="54"/>
      <c r="L16" s="54"/>
      <c r="M16" s="54"/>
      <c r="N16" s="54"/>
      <c r="O16" s="54"/>
      <c r="P16" s="54"/>
      <c r="Q16" s="54"/>
      <c r="R16" s="54"/>
      <c r="S16" s="54"/>
      <c r="T16" s="54"/>
      <c r="U16" s="54"/>
      <c r="V16" s="54"/>
      <c r="W16" s="54"/>
    </row>
    <row r="17" spans="1:23" x14ac:dyDescent="0.3">
      <c r="A17" s="23" t="s">
        <v>15</v>
      </c>
      <c r="B17" s="6">
        <v>3866226.5</v>
      </c>
      <c r="C17" s="23">
        <v>769795.44000000018</v>
      </c>
      <c r="D17" s="54"/>
      <c r="E17" s="54"/>
      <c r="F17" s="54"/>
      <c r="G17" s="54"/>
      <c r="H17" s="54"/>
      <c r="I17" s="54"/>
      <c r="J17" s="54"/>
      <c r="K17" s="54"/>
      <c r="L17" s="54"/>
      <c r="M17" s="54"/>
      <c r="N17" s="54"/>
      <c r="O17" s="54"/>
      <c r="P17" s="54"/>
      <c r="Q17" s="54"/>
      <c r="R17" s="54"/>
      <c r="S17" s="54"/>
      <c r="T17" s="54"/>
      <c r="U17" s="54"/>
      <c r="V17" s="54"/>
      <c r="W17" s="54"/>
    </row>
    <row r="18" spans="1:23" x14ac:dyDescent="0.3">
      <c r="A18" s="23" t="s">
        <v>17</v>
      </c>
      <c r="B18" s="6">
        <v>3891741.7</v>
      </c>
      <c r="C18" s="23">
        <v>729963.8</v>
      </c>
      <c r="D18" s="54"/>
      <c r="E18" s="54"/>
      <c r="F18" s="54"/>
      <c r="G18" s="54"/>
      <c r="H18" s="54"/>
      <c r="I18" s="54"/>
      <c r="J18" s="54"/>
      <c r="K18" s="54"/>
      <c r="L18" s="54"/>
      <c r="M18" s="54"/>
      <c r="N18" s="54"/>
      <c r="O18" s="54"/>
      <c r="P18" s="54"/>
      <c r="Q18" s="54"/>
      <c r="R18" s="54"/>
      <c r="S18" s="54"/>
      <c r="T18" s="54"/>
      <c r="U18" s="54"/>
      <c r="V18" s="54"/>
      <c r="W18" s="54"/>
    </row>
    <row r="19" spans="1:23" x14ac:dyDescent="0.3">
      <c r="A19" s="23" t="s">
        <v>19</v>
      </c>
      <c r="B19" s="6">
        <v>3678973.0600000005</v>
      </c>
      <c r="C19" s="23">
        <v>682854.52000000037</v>
      </c>
      <c r="D19" s="54"/>
      <c r="E19" s="54"/>
      <c r="F19" s="54"/>
      <c r="G19" s="54"/>
      <c r="H19" s="54"/>
      <c r="I19" s="54"/>
      <c r="J19" s="54"/>
      <c r="K19" s="54"/>
      <c r="L19" s="54"/>
      <c r="M19" s="54"/>
      <c r="N19" s="54"/>
      <c r="O19" s="54"/>
      <c r="P19" s="54"/>
      <c r="Q19" s="54"/>
      <c r="R19" s="54"/>
      <c r="S19" s="54"/>
      <c r="T19" s="54"/>
      <c r="U19" s="54"/>
      <c r="V19" s="54"/>
      <c r="W19" s="54"/>
    </row>
    <row r="20" spans="1:23" ht="15" thickBot="1" x14ac:dyDescent="0.35">
      <c r="A20" s="23" t="s">
        <v>39</v>
      </c>
      <c r="B20" s="6"/>
      <c r="C20" s="23"/>
      <c r="D20" s="54"/>
      <c r="E20" s="54"/>
      <c r="F20" s="54"/>
      <c r="G20" s="54"/>
      <c r="H20" s="54"/>
      <c r="I20" s="54"/>
      <c r="J20" s="54"/>
      <c r="K20" s="54"/>
      <c r="L20" s="54"/>
      <c r="M20" s="54"/>
      <c r="N20" s="54"/>
      <c r="O20" s="54"/>
      <c r="P20" s="54"/>
      <c r="Q20" s="54"/>
      <c r="R20" s="54"/>
      <c r="S20" s="54"/>
      <c r="T20" s="54"/>
      <c r="U20" s="54"/>
      <c r="V20" s="54"/>
      <c r="W20" s="54"/>
    </row>
    <row r="21" spans="1:23" ht="15" thickBot="1" x14ac:dyDescent="0.35">
      <c r="A21" s="42" t="s">
        <v>40</v>
      </c>
      <c r="B21" s="50">
        <v>19453783.32</v>
      </c>
      <c r="C21" s="45">
        <v>3655425.9000000004</v>
      </c>
      <c r="D21" s="54"/>
      <c r="E21" s="54"/>
      <c r="F21" s="54"/>
      <c r="G21" s="54"/>
      <c r="H21" s="54"/>
      <c r="I21" s="54"/>
      <c r="J21" s="54"/>
      <c r="K21" s="54"/>
      <c r="L21" s="54"/>
      <c r="M21" s="54"/>
      <c r="N21" s="54"/>
      <c r="O21" s="54"/>
      <c r="P21" s="54"/>
      <c r="Q21" s="54"/>
      <c r="R21" s="54"/>
      <c r="S21" s="54"/>
      <c r="T21" s="54"/>
      <c r="U21" s="54"/>
      <c r="V21" s="54"/>
      <c r="W21" s="54"/>
    </row>
    <row r="22" spans="1:23" ht="15" thickBot="1" x14ac:dyDescent="0.35">
      <c r="A22" s="54"/>
      <c r="B22" s="54"/>
      <c r="C22" s="54"/>
      <c r="D22" s="54"/>
      <c r="E22" s="54"/>
      <c r="F22" s="54"/>
      <c r="G22" s="54"/>
      <c r="H22" s="54"/>
      <c r="I22" s="54"/>
      <c r="J22" s="54"/>
      <c r="K22" s="54"/>
      <c r="L22" s="54"/>
      <c r="M22" s="54"/>
      <c r="N22" s="54"/>
      <c r="O22" s="54"/>
      <c r="P22" s="54"/>
      <c r="Q22" s="54"/>
      <c r="R22" s="54"/>
      <c r="S22" s="54"/>
      <c r="T22" s="54"/>
      <c r="U22" s="54"/>
      <c r="V22" s="54"/>
      <c r="W22" s="54"/>
    </row>
    <row r="23" spans="1:23" ht="18.600000000000001" thickBot="1" x14ac:dyDescent="0.4">
      <c r="A23" s="67" t="s">
        <v>44</v>
      </c>
      <c r="B23" s="68"/>
      <c r="C23" s="68"/>
      <c r="D23" s="68"/>
      <c r="E23" s="69"/>
      <c r="F23" s="54"/>
      <c r="G23" s="54"/>
      <c r="H23" s="54"/>
      <c r="I23" s="54"/>
      <c r="J23" s="54"/>
      <c r="K23" s="54"/>
      <c r="L23" s="54"/>
      <c r="M23" s="54"/>
      <c r="N23" s="54"/>
      <c r="O23" s="54"/>
      <c r="P23" s="54"/>
      <c r="Q23" s="54"/>
      <c r="R23" s="54"/>
      <c r="S23" s="54"/>
      <c r="T23" s="54"/>
      <c r="U23" s="54"/>
      <c r="V23" s="54"/>
      <c r="W23" s="54"/>
    </row>
    <row r="24" spans="1:23" ht="15" thickBot="1" x14ac:dyDescent="0.35">
      <c r="A24" s="54"/>
      <c r="B24" s="54"/>
      <c r="C24" s="54"/>
      <c r="D24" s="54"/>
      <c r="E24" s="54"/>
      <c r="F24" s="54"/>
      <c r="G24" s="54"/>
      <c r="H24" s="54"/>
      <c r="I24" s="54"/>
      <c r="J24" s="54"/>
      <c r="K24" s="54"/>
      <c r="L24" s="54"/>
      <c r="M24" s="54"/>
      <c r="N24" s="54"/>
      <c r="O24" s="54"/>
      <c r="P24" s="54"/>
      <c r="Q24" s="54"/>
      <c r="R24" s="54"/>
      <c r="S24" s="54"/>
      <c r="T24" s="54"/>
      <c r="U24" s="54"/>
      <c r="V24" s="54"/>
      <c r="W24" s="54"/>
    </row>
    <row r="25" spans="1:23" ht="15" thickBot="1" x14ac:dyDescent="0.35">
      <c r="A25" s="52" t="s">
        <v>38</v>
      </c>
      <c r="B25" s="45" t="s">
        <v>50</v>
      </c>
      <c r="C25" s="54"/>
      <c r="D25" s="54"/>
      <c r="E25" s="54"/>
      <c r="F25" s="54"/>
      <c r="G25" s="54"/>
      <c r="H25" s="54"/>
      <c r="I25" s="54"/>
      <c r="J25" s="54"/>
      <c r="K25" s="54"/>
      <c r="L25" s="54"/>
      <c r="M25" s="54"/>
      <c r="N25" s="54"/>
      <c r="O25" s="54"/>
      <c r="P25" s="54"/>
      <c r="Q25" s="54"/>
      <c r="R25" s="54"/>
      <c r="S25" s="54"/>
      <c r="T25" s="54"/>
      <c r="U25" s="54"/>
      <c r="V25" s="54"/>
      <c r="W25" s="54"/>
    </row>
    <row r="26" spans="1:23" x14ac:dyDescent="0.3">
      <c r="A26" s="53" t="s">
        <v>45</v>
      </c>
      <c r="B26" s="51">
        <v>153</v>
      </c>
      <c r="C26" s="54"/>
      <c r="D26" s="54"/>
      <c r="E26" s="54"/>
      <c r="F26" s="54"/>
      <c r="G26" s="54"/>
      <c r="H26" s="54"/>
      <c r="I26" s="54"/>
      <c r="J26" s="54"/>
      <c r="K26" s="54"/>
      <c r="L26" s="54"/>
      <c r="M26" s="54"/>
      <c r="N26" s="54"/>
      <c r="O26" s="54"/>
      <c r="P26" s="54"/>
      <c r="Q26" s="54"/>
      <c r="R26" s="54"/>
      <c r="S26" s="54"/>
      <c r="T26" s="54"/>
      <c r="U26" s="54"/>
      <c r="V26" s="54"/>
      <c r="W26" s="54"/>
    </row>
    <row r="27" spans="1:23" x14ac:dyDescent="0.3">
      <c r="A27" s="22" t="s">
        <v>34</v>
      </c>
      <c r="B27" s="23">
        <v>163</v>
      </c>
      <c r="C27" s="54"/>
      <c r="D27" s="54"/>
      <c r="E27" s="54"/>
      <c r="F27" s="54"/>
      <c r="G27" s="54"/>
      <c r="H27" s="54"/>
      <c r="I27" s="54"/>
      <c r="J27" s="54"/>
      <c r="K27" s="54"/>
      <c r="L27" s="54"/>
      <c r="M27" s="54"/>
      <c r="N27" s="54"/>
      <c r="O27" s="54"/>
      <c r="P27" s="54"/>
      <c r="Q27" s="54"/>
      <c r="R27" s="54"/>
      <c r="S27" s="54"/>
      <c r="T27" s="54"/>
      <c r="U27" s="54"/>
      <c r="V27" s="54"/>
      <c r="W27" s="54"/>
    </row>
    <row r="28" spans="1:23" x14ac:dyDescent="0.3">
      <c r="A28" s="22" t="s">
        <v>36</v>
      </c>
      <c r="B28" s="23">
        <v>180</v>
      </c>
      <c r="C28" s="54"/>
      <c r="D28" s="54"/>
      <c r="E28" s="54"/>
      <c r="F28" s="54"/>
      <c r="G28" s="54"/>
      <c r="H28" s="54"/>
      <c r="I28" s="54"/>
      <c r="J28" s="54"/>
      <c r="K28" s="54"/>
      <c r="L28" s="54"/>
      <c r="M28" s="54"/>
      <c r="N28" s="54"/>
      <c r="O28" s="54"/>
      <c r="P28" s="54"/>
      <c r="Q28" s="54"/>
      <c r="R28" s="54"/>
      <c r="S28" s="54"/>
      <c r="T28" s="54"/>
      <c r="U28" s="54"/>
      <c r="V28" s="54"/>
      <c r="W28" s="54"/>
    </row>
    <row r="29" spans="1:23" x14ac:dyDescent="0.3">
      <c r="A29" s="22" t="s">
        <v>46</v>
      </c>
      <c r="B29" s="23">
        <v>173</v>
      </c>
      <c r="C29" s="54"/>
      <c r="D29" s="54"/>
      <c r="E29" s="54"/>
      <c r="F29" s="54"/>
      <c r="G29" s="54"/>
      <c r="H29" s="54"/>
      <c r="I29" s="54"/>
      <c r="J29" s="54"/>
      <c r="K29" s="54"/>
      <c r="L29" s="54"/>
      <c r="M29" s="54"/>
      <c r="N29" s="54"/>
      <c r="O29" s="54"/>
      <c r="P29" s="54"/>
      <c r="Q29" s="54"/>
      <c r="R29" s="54"/>
      <c r="S29" s="54"/>
      <c r="T29" s="54"/>
      <c r="U29" s="54"/>
      <c r="V29" s="54"/>
      <c r="W29" s="54"/>
    </row>
    <row r="30" spans="1:23" x14ac:dyDescent="0.3">
      <c r="A30" s="22" t="s">
        <v>47</v>
      </c>
      <c r="B30" s="23">
        <v>179</v>
      </c>
      <c r="C30" s="54"/>
      <c r="D30" s="54"/>
      <c r="E30" s="54"/>
      <c r="F30" s="54"/>
      <c r="G30" s="54"/>
      <c r="H30" s="54"/>
      <c r="I30" s="54"/>
      <c r="J30" s="54"/>
      <c r="K30" s="54"/>
      <c r="L30" s="54"/>
      <c r="M30" s="54"/>
      <c r="N30" s="54"/>
      <c r="O30" s="54"/>
      <c r="P30" s="54"/>
      <c r="Q30" s="54"/>
      <c r="R30" s="54"/>
      <c r="S30" s="54"/>
      <c r="T30" s="54"/>
      <c r="U30" s="54"/>
      <c r="V30" s="54"/>
      <c r="W30" s="54"/>
    </row>
    <row r="31" spans="1:23" x14ac:dyDescent="0.3">
      <c r="A31" s="22" t="s">
        <v>48</v>
      </c>
      <c r="B31" s="23">
        <v>165</v>
      </c>
      <c r="C31" s="54"/>
      <c r="D31" s="54"/>
      <c r="E31" s="54"/>
      <c r="F31" s="54"/>
      <c r="G31" s="54"/>
      <c r="H31" s="54"/>
      <c r="I31" s="54"/>
      <c r="J31" s="54"/>
      <c r="K31" s="54"/>
      <c r="L31" s="54"/>
      <c r="M31" s="54"/>
      <c r="N31" s="54"/>
      <c r="O31" s="54"/>
      <c r="P31" s="54"/>
      <c r="Q31" s="54"/>
      <c r="R31" s="54"/>
      <c r="S31" s="54"/>
      <c r="T31" s="54"/>
      <c r="U31" s="54"/>
      <c r="V31" s="54"/>
      <c r="W31" s="54"/>
    </row>
    <row r="32" spans="1:23" x14ac:dyDescent="0.3">
      <c r="A32" s="22" t="s">
        <v>31</v>
      </c>
      <c r="B32" s="23">
        <v>179</v>
      </c>
      <c r="C32" s="54"/>
      <c r="D32" s="54"/>
      <c r="E32" s="54"/>
      <c r="F32" s="54"/>
      <c r="G32" s="54"/>
      <c r="H32" s="54"/>
      <c r="I32" s="54"/>
      <c r="J32" s="54"/>
      <c r="K32" s="54"/>
      <c r="L32" s="54"/>
      <c r="M32" s="54"/>
      <c r="N32" s="54"/>
      <c r="O32" s="54"/>
      <c r="P32" s="54"/>
      <c r="Q32" s="54"/>
      <c r="R32" s="54"/>
      <c r="S32" s="54"/>
      <c r="T32" s="54"/>
      <c r="U32" s="54"/>
      <c r="V32" s="54"/>
      <c r="W32" s="54"/>
    </row>
    <row r="33" spans="1:23" x14ac:dyDescent="0.3">
      <c r="A33" s="22" t="s">
        <v>49</v>
      </c>
      <c r="B33" s="23">
        <v>173</v>
      </c>
      <c r="C33" s="54"/>
      <c r="D33" s="54"/>
      <c r="E33" s="54"/>
      <c r="F33" s="54"/>
      <c r="G33" s="54"/>
      <c r="H33" s="54"/>
      <c r="I33" s="54"/>
      <c r="J33" s="54"/>
      <c r="K33" s="54"/>
      <c r="L33" s="54"/>
      <c r="M33" s="54"/>
      <c r="N33" s="54"/>
      <c r="O33" s="54"/>
      <c r="P33" s="54"/>
      <c r="Q33" s="54"/>
      <c r="R33" s="54"/>
      <c r="S33" s="54"/>
      <c r="T33" s="54"/>
      <c r="U33" s="54"/>
      <c r="V33" s="54"/>
      <c r="W33" s="54"/>
    </row>
    <row r="34" spans="1:23" ht="15" thickBot="1" x14ac:dyDescent="0.35">
      <c r="A34" s="24" t="s">
        <v>39</v>
      </c>
      <c r="B34" s="25"/>
      <c r="C34" s="54"/>
      <c r="D34" s="54"/>
      <c r="E34" s="54"/>
      <c r="F34" s="54"/>
      <c r="G34" s="54"/>
      <c r="H34" s="54"/>
      <c r="I34" s="54"/>
      <c r="J34" s="54"/>
      <c r="K34" s="54"/>
      <c r="L34" s="54"/>
      <c r="M34" s="54"/>
      <c r="N34" s="54"/>
      <c r="O34" s="54"/>
      <c r="P34" s="54"/>
      <c r="Q34" s="54"/>
      <c r="R34" s="54"/>
      <c r="S34" s="54"/>
      <c r="T34" s="54"/>
      <c r="U34" s="54"/>
      <c r="V34" s="54"/>
      <c r="W34" s="54"/>
    </row>
    <row r="35" spans="1:23" ht="15" thickBot="1" x14ac:dyDescent="0.35">
      <c r="A35" s="44" t="s">
        <v>40</v>
      </c>
      <c r="B35" s="45">
        <v>1365</v>
      </c>
      <c r="C35" s="54"/>
      <c r="D35" s="54"/>
      <c r="E35" s="54"/>
      <c r="F35" s="54"/>
      <c r="G35" s="54"/>
      <c r="H35" s="54"/>
      <c r="I35" s="54"/>
      <c r="J35" s="54"/>
      <c r="K35" s="54"/>
      <c r="L35" s="54"/>
      <c r="M35" s="54"/>
      <c r="N35" s="54"/>
      <c r="O35" s="54"/>
      <c r="P35" s="54"/>
      <c r="Q35" s="54"/>
      <c r="R35" s="54"/>
      <c r="S35" s="54"/>
      <c r="T35" s="54"/>
      <c r="U35" s="54"/>
      <c r="V35" s="54"/>
      <c r="W35" s="54"/>
    </row>
    <row r="36" spans="1:23" ht="15" thickBot="1" x14ac:dyDescent="0.35">
      <c r="A36" s="54"/>
      <c r="B36" s="54"/>
      <c r="C36" s="54"/>
      <c r="D36" s="54"/>
      <c r="E36" s="54"/>
      <c r="F36" s="54"/>
      <c r="G36" s="54"/>
      <c r="H36" s="54"/>
      <c r="I36" s="54"/>
      <c r="J36" s="54"/>
      <c r="K36" s="54"/>
      <c r="L36" s="54"/>
      <c r="M36" s="54"/>
      <c r="N36" s="54"/>
      <c r="O36" s="54"/>
      <c r="P36" s="54"/>
      <c r="Q36" s="54"/>
      <c r="R36" s="54"/>
      <c r="S36" s="54"/>
      <c r="T36" s="54"/>
      <c r="U36" s="54"/>
      <c r="V36" s="54"/>
      <c r="W36" s="54"/>
    </row>
    <row r="37" spans="1:23" ht="18.600000000000001" thickBot="1" x14ac:dyDescent="0.4">
      <c r="A37" s="67" t="s">
        <v>51</v>
      </c>
      <c r="B37" s="68"/>
      <c r="C37" s="68"/>
      <c r="D37" s="68"/>
      <c r="E37" s="68"/>
      <c r="F37" s="68"/>
      <c r="G37" s="69"/>
      <c r="H37" s="54"/>
      <c r="I37" s="54"/>
      <c r="J37" s="54"/>
      <c r="K37" s="54"/>
      <c r="L37" s="54"/>
      <c r="M37" s="54"/>
      <c r="N37" s="54"/>
      <c r="O37" s="54"/>
      <c r="P37" s="54"/>
      <c r="Q37" s="54"/>
      <c r="R37" s="54"/>
      <c r="S37" s="54"/>
      <c r="T37" s="54"/>
      <c r="U37" s="54"/>
      <c r="V37" s="54"/>
      <c r="W37" s="54"/>
    </row>
    <row r="38" spans="1:23" ht="15" thickBot="1" x14ac:dyDescent="0.35">
      <c r="A38" s="54"/>
      <c r="B38" s="54"/>
      <c r="C38" s="54"/>
      <c r="D38" s="54"/>
      <c r="E38" s="54"/>
      <c r="F38" s="54"/>
      <c r="G38" s="54"/>
      <c r="H38" s="54"/>
      <c r="I38" s="54"/>
      <c r="J38" s="54"/>
      <c r="K38" s="54"/>
      <c r="L38" s="54"/>
      <c r="M38" s="54"/>
      <c r="N38" s="54"/>
      <c r="O38" s="54"/>
      <c r="P38" s="54"/>
      <c r="Q38" s="54"/>
      <c r="R38" s="54"/>
      <c r="S38" s="54"/>
      <c r="T38" s="54"/>
      <c r="U38" s="54"/>
      <c r="V38" s="54"/>
      <c r="W38" s="54"/>
    </row>
    <row r="39" spans="1:23" x14ac:dyDescent="0.3">
      <c r="A39" s="46" t="s">
        <v>41</v>
      </c>
      <c r="B39" s="20" t="s">
        <v>58</v>
      </c>
      <c r="C39" s="26"/>
      <c r="D39" s="26"/>
      <c r="E39" s="26"/>
      <c r="F39" s="26"/>
      <c r="G39" s="26"/>
      <c r="H39" s="21"/>
      <c r="I39" s="54"/>
      <c r="J39" s="54"/>
      <c r="K39" s="54"/>
      <c r="L39" s="54"/>
      <c r="M39" s="54"/>
      <c r="N39" s="54"/>
      <c r="O39" s="54"/>
      <c r="P39" s="54"/>
      <c r="Q39" s="54"/>
      <c r="R39" s="54"/>
      <c r="S39" s="54"/>
      <c r="T39" s="54"/>
      <c r="U39" s="54"/>
      <c r="V39" s="54"/>
      <c r="W39" s="54"/>
    </row>
    <row r="40" spans="1:23" ht="15" thickBot="1" x14ac:dyDescent="0.35">
      <c r="A40" s="47" t="s">
        <v>38</v>
      </c>
      <c r="B40" s="48" t="s">
        <v>32</v>
      </c>
      <c r="C40" s="11" t="s">
        <v>54</v>
      </c>
      <c r="D40" s="11" t="s">
        <v>55</v>
      </c>
      <c r="E40" s="11" t="s">
        <v>56</v>
      </c>
      <c r="F40" s="11" t="s">
        <v>57</v>
      </c>
      <c r="G40" s="11" t="s">
        <v>39</v>
      </c>
      <c r="H40" s="49" t="s">
        <v>40</v>
      </c>
      <c r="I40" s="54"/>
      <c r="J40" s="54"/>
      <c r="K40" s="54"/>
      <c r="L40" s="54"/>
      <c r="M40" s="54"/>
      <c r="N40" s="54"/>
      <c r="O40" s="54"/>
      <c r="P40" s="54"/>
      <c r="Q40" s="54"/>
      <c r="R40" s="54"/>
      <c r="S40" s="54"/>
      <c r="T40" s="54"/>
      <c r="U40" s="54"/>
      <c r="V40" s="54"/>
      <c r="W40" s="54"/>
    </row>
    <row r="41" spans="1:23" x14ac:dyDescent="0.3">
      <c r="A41" s="28" t="s">
        <v>52</v>
      </c>
      <c r="B41" s="26">
        <v>1069799.3799999999</v>
      </c>
      <c r="C41" s="26">
        <v>1131819.74</v>
      </c>
      <c r="D41" s="26">
        <v>957146.32</v>
      </c>
      <c r="E41" s="26">
        <v>835604.03999999992</v>
      </c>
      <c r="F41" s="26">
        <v>893309.10000000009</v>
      </c>
      <c r="G41" s="26"/>
      <c r="H41" s="21">
        <v>4887678.58</v>
      </c>
      <c r="I41" s="54"/>
      <c r="J41" s="54"/>
      <c r="K41" s="54"/>
      <c r="L41" s="54"/>
      <c r="M41" s="54"/>
      <c r="N41" s="54"/>
      <c r="O41" s="54"/>
      <c r="P41" s="54"/>
      <c r="Q41" s="54"/>
      <c r="R41" s="54"/>
      <c r="S41" s="54"/>
      <c r="T41" s="54"/>
      <c r="U41" s="54"/>
      <c r="V41" s="54"/>
      <c r="W41" s="54"/>
    </row>
    <row r="42" spans="1:23" x14ac:dyDescent="0.3">
      <c r="A42" s="22" t="s">
        <v>33</v>
      </c>
      <c r="B42" s="6">
        <v>1237138.5</v>
      </c>
      <c r="C42" s="6">
        <v>839850.2</v>
      </c>
      <c r="D42" s="6">
        <v>1052593.5</v>
      </c>
      <c r="E42" s="6">
        <v>863411.1</v>
      </c>
      <c r="F42" s="6">
        <v>1010783</v>
      </c>
      <c r="G42" s="6"/>
      <c r="H42" s="23">
        <v>5003776.3000000007</v>
      </c>
      <c r="I42" s="54"/>
      <c r="J42" s="54"/>
      <c r="K42" s="54"/>
      <c r="L42" s="54"/>
      <c r="M42" s="54"/>
      <c r="N42" s="54"/>
      <c r="O42" s="54"/>
      <c r="P42" s="54"/>
      <c r="Q42" s="54"/>
      <c r="R42" s="54"/>
      <c r="S42" s="54"/>
      <c r="T42" s="54"/>
      <c r="U42" s="54"/>
      <c r="V42" s="54"/>
      <c r="W42" s="54"/>
    </row>
    <row r="43" spans="1:23" x14ac:dyDescent="0.3">
      <c r="A43" s="22" t="s">
        <v>53</v>
      </c>
      <c r="B43" s="6">
        <v>1020549.6000000001</v>
      </c>
      <c r="C43" s="6">
        <v>1002873.2</v>
      </c>
      <c r="D43" s="6">
        <v>1026966</v>
      </c>
      <c r="E43" s="6">
        <v>969490.4</v>
      </c>
      <c r="F43" s="6">
        <v>974188</v>
      </c>
      <c r="G43" s="6"/>
      <c r="H43" s="23">
        <v>4994067.1999999993</v>
      </c>
      <c r="I43" s="54"/>
      <c r="J43" s="54"/>
      <c r="K43" s="54"/>
      <c r="L43" s="54"/>
      <c r="M43" s="54"/>
      <c r="N43" s="54"/>
      <c r="O43" s="54"/>
      <c r="P43" s="54"/>
      <c r="Q43" s="54"/>
      <c r="R43" s="54"/>
      <c r="S43" s="54"/>
      <c r="T43" s="54"/>
      <c r="U43" s="54"/>
      <c r="V43" s="54"/>
      <c r="W43" s="54"/>
    </row>
    <row r="44" spans="1:23" x14ac:dyDescent="0.3">
      <c r="A44" s="22" t="s">
        <v>35</v>
      </c>
      <c r="B44" s="6">
        <v>769792.44</v>
      </c>
      <c r="C44" s="6">
        <v>945019</v>
      </c>
      <c r="D44" s="6">
        <v>855035.88000000012</v>
      </c>
      <c r="E44" s="6">
        <v>1010467.52</v>
      </c>
      <c r="F44" s="6">
        <v>987946.4</v>
      </c>
      <c r="G44" s="6"/>
      <c r="H44" s="23">
        <v>4568261.24</v>
      </c>
      <c r="I44" s="54"/>
      <c r="J44" s="54"/>
      <c r="K44" s="54"/>
      <c r="L44" s="54"/>
      <c r="M44" s="54"/>
      <c r="N44" s="54"/>
      <c r="O44" s="54"/>
      <c r="P44" s="54"/>
      <c r="Q44" s="54"/>
      <c r="R44" s="54"/>
      <c r="S44" s="54"/>
      <c r="T44" s="54"/>
      <c r="U44" s="54"/>
      <c r="V44" s="54"/>
      <c r="W44" s="54"/>
    </row>
    <row r="45" spans="1:23" ht="15" thickBot="1" x14ac:dyDescent="0.35">
      <c r="A45" s="48" t="s">
        <v>39</v>
      </c>
      <c r="B45" s="11"/>
      <c r="C45" s="11"/>
      <c r="D45" s="11"/>
      <c r="E45" s="11"/>
      <c r="F45" s="11"/>
      <c r="G45" s="11"/>
      <c r="H45" s="49"/>
      <c r="I45" s="54"/>
      <c r="J45" s="54"/>
      <c r="K45" s="54"/>
      <c r="L45" s="54"/>
      <c r="M45" s="54"/>
      <c r="N45" s="54"/>
      <c r="O45" s="54"/>
      <c r="P45" s="54"/>
      <c r="Q45" s="54"/>
      <c r="R45" s="54"/>
      <c r="S45" s="54"/>
      <c r="T45" s="54"/>
      <c r="U45" s="54"/>
      <c r="V45" s="54"/>
      <c r="W45" s="54"/>
    </row>
    <row r="46" spans="1:23" ht="15" thickBot="1" x14ac:dyDescent="0.35">
      <c r="A46" s="44" t="s">
        <v>40</v>
      </c>
      <c r="B46" s="50">
        <v>4097279.92</v>
      </c>
      <c r="C46" s="50">
        <v>3919562.1399999997</v>
      </c>
      <c r="D46" s="50">
        <v>3891741.7</v>
      </c>
      <c r="E46" s="50">
        <v>3678973.06</v>
      </c>
      <c r="F46" s="50">
        <v>3866226.5</v>
      </c>
      <c r="G46" s="50"/>
      <c r="H46" s="45">
        <v>19453783.32</v>
      </c>
      <c r="I46" s="54"/>
      <c r="J46" s="54"/>
      <c r="K46" s="54"/>
      <c r="L46" s="54"/>
      <c r="M46" s="54"/>
      <c r="N46" s="54"/>
      <c r="O46" s="54"/>
      <c r="P46" s="54"/>
      <c r="Q46" s="54"/>
      <c r="R46" s="54"/>
      <c r="S46" s="54"/>
      <c r="T46" s="54"/>
      <c r="U46" s="54"/>
      <c r="V46" s="54"/>
      <c r="W46" s="54"/>
    </row>
    <row r="47" spans="1:23" x14ac:dyDescent="0.3">
      <c r="A47" s="54"/>
      <c r="B47" s="54"/>
      <c r="C47" s="54"/>
      <c r="D47" s="54"/>
      <c r="E47" s="54"/>
      <c r="F47" s="54"/>
      <c r="G47" s="54"/>
      <c r="H47" s="54"/>
      <c r="I47" s="54"/>
      <c r="J47" s="54"/>
      <c r="K47" s="54"/>
      <c r="L47" s="54"/>
      <c r="M47" s="54"/>
      <c r="N47" s="54"/>
      <c r="O47" s="54"/>
      <c r="P47" s="54"/>
      <c r="Q47" s="54"/>
      <c r="R47" s="54"/>
      <c r="S47" s="54"/>
      <c r="T47" s="54"/>
      <c r="U47" s="54"/>
      <c r="V47" s="54"/>
      <c r="W47" s="54"/>
    </row>
    <row r="48" spans="1:23" x14ac:dyDescent="0.3">
      <c r="A48" s="54"/>
      <c r="B48" s="54"/>
      <c r="C48" s="54"/>
      <c r="D48" s="54"/>
      <c r="E48" s="54"/>
      <c r="F48" s="54"/>
      <c r="G48" s="54"/>
      <c r="H48" s="54"/>
      <c r="I48" s="54"/>
      <c r="J48" s="54"/>
      <c r="K48" s="54"/>
      <c r="L48" s="54"/>
      <c r="M48" s="54"/>
      <c r="N48" s="54"/>
      <c r="O48" s="54"/>
      <c r="P48" s="54"/>
      <c r="Q48" s="54"/>
      <c r="R48" s="54"/>
      <c r="S48" s="54"/>
      <c r="T48" s="54"/>
      <c r="U48" s="54"/>
      <c r="V48" s="54"/>
      <c r="W48" s="54"/>
    </row>
    <row r="49" spans="1:23" x14ac:dyDescent="0.3">
      <c r="A49" s="54"/>
      <c r="B49" s="54"/>
      <c r="C49" s="54"/>
      <c r="D49" s="54"/>
      <c r="E49" s="54"/>
      <c r="F49" s="54"/>
      <c r="G49" s="54"/>
      <c r="H49" s="54"/>
      <c r="I49" s="54"/>
      <c r="J49" s="54"/>
      <c r="K49" s="54"/>
      <c r="L49" s="54"/>
      <c r="M49" s="54"/>
      <c r="N49" s="54"/>
      <c r="O49" s="54"/>
      <c r="P49" s="54"/>
      <c r="Q49" s="54"/>
      <c r="R49" s="54"/>
      <c r="S49" s="54"/>
      <c r="T49" s="54"/>
      <c r="U49" s="54"/>
      <c r="V49" s="54"/>
      <c r="W49" s="54"/>
    </row>
    <row r="50" spans="1:23" x14ac:dyDescent="0.3">
      <c r="A50" s="54"/>
      <c r="B50" s="54"/>
      <c r="C50" s="54"/>
      <c r="D50" s="54"/>
      <c r="E50" s="54"/>
      <c r="F50" s="54"/>
      <c r="G50" s="54"/>
      <c r="H50" s="54"/>
      <c r="I50" s="54"/>
      <c r="J50" s="54"/>
      <c r="K50" s="54"/>
      <c r="L50" s="54"/>
      <c r="M50" s="54"/>
      <c r="N50" s="54"/>
      <c r="O50" s="54"/>
      <c r="P50" s="54"/>
      <c r="Q50" s="54"/>
      <c r="R50" s="54"/>
      <c r="S50" s="54"/>
      <c r="T50" s="54"/>
      <c r="U50" s="54"/>
      <c r="V50" s="54"/>
      <c r="W50" s="54"/>
    </row>
    <row r="51" spans="1:23" x14ac:dyDescent="0.3">
      <c r="A51" s="54"/>
      <c r="B51" s="54"/>
      <c r="C51" s="54"/>
      <c r="D51" s="54"/>
      <c r="E51" s="54"/>
      <c r="F51" s="54"/>
      <c r="G51" s="54"/>
      <c r="H51" s="54"/>
      <c r="I51" s="54"/>
      <c r="J51" s="54"/>
      <c r="K51" s="54"/>
      <c r="L51" s="54"/>
      <c r="M51" s="54"/>
      <c r="N51" s="54"/>
      <c r="O51" s="54"/>
      <c r="P51" s="54"/>
      <c r="Q51" s="54"/>
      <c r="R51" s="54"/>
      <c r="S51" s="54"/>
      <c r="T51" s="54"/>
      <c r="U51" s="54"/>
      <c r="V51" s="54"/>
      <c r="W51" s="54"/>
    </row>
    <row r="52" spans="1:23" x14ac:dyDescent="0.3">
      <c r="A52" s="54"/>
      <c r="B52" s="54"/>
      <c r="C52" s="54"/>
      <c r="D52" s="54"/>
      <c r="E52" s="54"/>
      <c r="F52" s="54"/>
      <c r="G52" s="54"/>
      <c r="H52" s="54"/>
      <c r="I52" s="54"/>
      <c r="J52" s="54"/>
      <c r="K52" s="54"/>
      <c r="L52" s="54"/>
      <c r="M52" s="54"/>
      <c r="N52" s="54"/>
      <c r="O52" s="54"/>
      <c r="P52" s="54"/>
      <c r="Q52" s="54"/>
      <c r="R52" s="54"/>
      <c r="S52" s="54"/>
      <c r="T52" s="54"/>
      <c r="U52" s="54"/>
      <c r="V52" s="54"/>
      <c r="W52" s="54"/>
    </row>
    <row r="53" spans="1:23" x14ac:dyDescent="0.3">
      <c r="A53" s="54"/>
      <c r="B53" s="54"/>
      <c r="C53" s="54"/>
      <c r="D53" s="54"/>
      <c r="E53" s="54"/>
      <c r="F53" s="54"/>
      <c r="G53" s="54"/>
      <c r="H53" s="54"/>
      <c r="I53" s="54"/>
      <c r="J53" s="54"/>
      <c r="K53" s="54"/>
      <c r="L53" s="54"/>
      <c r="M53" s="54"/>
      <c r="N53" s="54"/>
      <c r="O53" s="54"/>
      <c r="P53" s="54"/>
      <c r="Q53" s="54"/>
      <c r="R53" s="54"/>
      <c r="S53" s="54"/>
      <c r="T53" s="54"/>
      <c r="U53" s="54"/>
      <c r="V53" s="54"/>
      <c r="W53" s="54"/>
    </row>
    <row r="54" spans="1:23" x14ac:dyDescent="0.3">
      <c r="A54" s="54"/>
      <c r="B54" s="54"/>
      <c r="C54" s="54"/>
      <c r="D54" s="54"/>
      <c r="E54" s="54"/>
      <c r="F54" s="54"/>
      <c r="G54" s="54"/>
      <c r="H54" s="54"/>
      <c r="I54" s="54"/>
      <c r="J54" s="54"/>
      <c r="K54" s="54"/>
      <c r="L54" s="54"/>
      <c r="M54" s="54"/>
      <c r="N54" s="54"/>
      <c r="O54" s="54"/>
      <c r="P54" s="54"/>
      <c r="Q54" s="54"/>
      <c r="R54" s="54"/>
      <c r="S54" s="54"/>
      <c r="T54" s="54"/>
      <c r="U54" s="54"/>
      <c r="V54" s="54"/>
      <c r="W54" s="54"/>
    </row>
  </sheetData>
  <mergeCells count="4">
    <mergeCell ref="A1:H1"/>
    <mergeCell ref="A23:E23"/>
    <mergeCell ref="A37:G37"/>
    <mergeCell ref="A12:E12"/>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C9E2-DDA0-46F3-9E6C-4CA712269169}">
  <dimension ref="A1:M287"/>
  <sheetViews>
    <sheetView zoomScale="86" workbookViewId="0">
      <selection activeCell="H2" sqref="H2:H229"/>
    </sheetView>
  </sheetViews>
  <sheetFormatPr defaultRowHeight="14.4" x14ac:dyDescent="0.3"/>
  <cols>
    <col min="1" max="1" width="16.88671875" customWidth="1"/>
    <col min="2" max="2" width="21.88671875" customWidth="1"/>
    <col min="3" max="3" width="13.88671875" customWidth="1"/>
    <col min="4" max="4" width="23" customWidth="1"/>
    <col min="5" max="5" width="16.77734375" customWidth="1"/>
    <col min="6" max="6" width="15.6640625" customWidth="1"/>
    <col min="7" max="7" width="15" customWidth="1"/>
    <col min="8" max="8" width="17.109375" customWidth="1"/>
    <col min="9" max="9" width="15.88671875" customWidth="1"/>
    <col min="10" max="10" width="11.6640625" customWidth="1"/>
    <col min="11" max="11" width="17.88671875" customWidth="1"/>
    <col min="12" max="12" width="21.33203125" customWidth="1"/>
    <col min="13" max="13" width="24" customWidth="1"/>
  </cols>
  <sheetData>
    <row r="1" spans="1:13" x14ac:dyDescent="0.3">
      <c r="A1" s="16" t="s">
        <v>0</v>
      </c>
      <c r="B1" s="17" t="s">
        <v>1</v>
      </c>
      <c r="C1" s="17" t="s">
        <v>8</v>
      </c>
      <c r="D1" s="17" t="s">
        <v>14</v>
      </c>
      <c r="E1" s="17" t="s">
        <v>20</v>
      </c>
      <c r="F1" s="17" t="s">
        <v>21</v>
      </c>
      <c r="G1" s="17" t="s">
        <v>22</v>
      </c>
      <c r="H1" s="17" t="s">
        <v>23</v>
      </c>
      <c r="I1" s="17" t="s">
        <v>24</v>
      </c>
      <c r="J1" s="17" t="s">
        <v>25</v>
      </c>
      <c r="K1" s="17" t="s">
        <v>26</v>
      </c>
      <c r="L1" s="17" t="s">
        <v>27</v>
      </c>
      <c r="M1" s="18" t="s">
        <v>28</v>
      </c>
    </row>
    <row r="2" spans="1:13" x14ac:dyDescent="0.3">
      <c r="A2" s="5" t="str">
        <f t="shared" ref="A2:A65" si="0">"CUST"&amp;TEXT(ROW()-1,"0000")</f>
        <v>CUST0001</v>
      </c>
      <c r="B2" s="6" t="str" cm="1">
        <f t="array" ref="B2">INDEX({"Aarav","Vivaan","Aditya","Arjun","Kabir","Rohan","Ananya","Diya","Ishita","Meera","Riya","Pooja","Neha","Kavya","Aisha","Priya","Rahul","Karan","Vikram","Sahil"},MOD(ROW()-2,20)+1)&amp;" "&amp;INDEX({"Shah","Patel","Mehta","Desai","Joshi","Gupta","Verma","Sharma","Trivedi","Rana","Mishra","Kapoor","Iyer","Nair","Singh"},MOD(INT((ROW()-2)/20),15)+1)</f>
        <v>Aarav Shah</v>
      </c>
      <c r="C2" s="6" t="str" cm="1">
        <f t="array" ref="C2">INDEX({"North","South","East","West","Central"},MOD(ROW()-2,5)+1)</f>
        <v>North</v>
      </c>
      <c r="D2" s="6" t="str" cm="1">
        <f t="array" ref="D2">INDEX({"Electronics","Clothing","Furniture","Books","Office Supplies"},MOD(ROW()-2,5)+1)</f>
        <v>Electronics</v>
      </c>
      <c r="E2" s="6">
        <f t="shared" ref="E2:E17" si="1">ROUND(500+MOD((ROW()-2)*137,44500),2)</f>
        <v>500</v>
      </c>
      <c r="F2" s="6">
        <f t="shared" ref="F2:F24" si="2">MOD((ROW()-2)*7,11)+1</f>
        <v>1</v>
      </c>
      <c r="G2" s="7">
        <f t="shared" ref="G2:G33" si="3">CHOOSE(MOD(ROW()-2,8)+1,0,0.02,0.05,0.08,0.1,0.12,0.15,0.2)</f>
        <v>0</v>
      </c>
      <c r="H2" s="8">
        <f t="shared" ref="H2:H16" si="4">DATE(2025,1,1)+MOD(ROW()-2,365)</f>
        <v>45658</v>
      </c>
      <c r="I2" s="9">
        <f t="shared" ref="I2:I65" si="5">ROUND(E2*F2*(1-G2),2)</f>
        <v>500</v>
      </c>
      <c r="J2" s="6">
        <f t="shared" ref="J2:J65" si="6">ROUND(I2*(0.08+MOD(ROW()-2,12)*0.02),2)</f>
        <v>40</v>
      </c>
      <c r="K2" s="6" t="str" cm="1">
        <f t="array" ref="K2">INDEX({"Amit","Neha","Riya","Karan","Pooja","Rahul","Meera","Vikram"},MOD(ROW()-2,8)+1)</f>
        <v>Amit</v>
      </c>
      <c r="L2" s="6" t="str" cm="1">
        <f t="array" ref="L2">INDEX({"UPI","Credit Card","Debit Card","Cash","Net Banking"},MOD(ROW()-2,5)+1)</f>
        <v>UPI</v>
      </c>
      <c r="M2" s="10" t="str" cm="1">
        <f t="array" ref="M2">INDEX({"Retail","Corporate","Education","Small Business"},MOD(ROW()-2,4)+1)</f>
        <v>Retail</v>
      </c>
    </row>
    <row r="3" spans="1:13" x14ac:dyDescent="0.3">
      <c r="A3" s="5" t="str">
        <f t="shared" si="0"/>
        <v>CUST0002</v>
      </c>
      <c r="B3" s="6" t="str" cm="1">
        <f t="array" ref="B3">INDEX({"Aarav","Vivaan","Aditya","Arjun","Kabir","Rohan","Ananya","Diya","Ishita","Meera","Riya","Pooja","Neha","Kavya","Aisha","Priya","Rahul","Karan","Vikram","Sahil"},MOD(ROW()-2,20)+1)&amp;" "&amp;INDEX({"Shah","Patel","Mehta","Desai","Joshi","Gupta","Verma","Sharma","Trivedi","Rana","Mishra","Kapoor","Iyer","Nair","Singh"},MOD(INT((ROW()-2)/20),15)+1)</f>
        <v>Vivaan Shah</v>
      </c>
      <c r="C3" s="6" t="str" cm="1">
        <f t="array" ref="C3">INDEX({"North","South","East","West","Central"},MOD(ROW()-2,5)+1)</f>
        <v>South</v>
      </c>
      <c r="D3" s="6" t="str" cm="1">
        <f t="array" ref="D3">INDEX({"Electronics","Clothing","Furniture","Books","Office Supplies"},MOD(ROW()-2,5)+1)</f>
        <v>Clothing</v>
      </c>
      <c r="E3" s="6">
        <f t="shared" si="1"/>
        <v>637</v>
      </c>
      <c r="F3" s="6">
        <f t="shared" si="2"/>
        <v>8</v>
      </c>
      <c r="G3" s="7">
        <f t="shared" si="3"/>
        <v>0.02</v>
      </c>
      <c r="H3" s="8">
        <f t="shared" si="4"/>
        <v>45659</v>
      </c>
      <c r="I3" s="9">
        <f t="shared" si="5"/>
        <v>4994.08</v>
      </c>
      <c r="J3" s="6">
        <f t="shared" si="6"/>
        <v>499.41</v>
      </c>
      <c r="K3" s="6" t="str" cm="1">
        <f t="array" ref="K3">INDEX({"Amit","Neha","Riya","Karan","Pooja","Rahul","Meera","Vikram"},MOD(ROW()-2,8)+1)</f>
        <v>Neha</v>
      </c>
      <c r="L3" s="6" t="str" cm="1">
        <f t="array" ref="L3">INDEX({"UPI","Credit Card","Debit Card","Cash","Net Banking"},MOD(ROW()-2,5)+1)</f>
        <v>Credit Card</v>
      </c>
      <c r="M3" s="10" t="str" cm="1">
        <f t="array" ref="M3">INDEX({"Retail","Corporate","Education","Small Business"},MOD(ROW()-2,4)+1)</f>
        <v>Corporate</v>
      </c>
    </row>
    <row r="4" spans="1:13" x14ac:dyDescent="0.3">
      <c r="A4" s="5" t="str">
        <f t="shared" si="0"/>
        <v>CUST0003</v>
      </c>
      <c r="B4" s="6" t="str" cm="1">
        <f t="array" ref="B4">INDEX({"Aarav","Vivaan","Aditya","Arjun","Kabir","Rohan","Ananya","Diya","Ishita","Meera","Riya","Pooja","Neha","Kavya","Aisha","Priya","Rahul","Karan","Vikram","Sahil"},MOD(ROW()-2,20)+1)&amp;" "&amp;INDEX({"Shah","Patel","Mehta","Desai","Joshi","Gupta","Verma","Sharma","Trivedi","Rana","Mishra","Kapoor","Iyer","Nair","Singh"},MOD(INT((ROW()-2)/20),15)+1)</f>
        <v>Aditya Shah</v>
      </c>
      <c r="C4" s="6" t="str" cm="1">
        <f t="array" ref="C4">INDEX({"North","South","East","West","Central"},MOD(ROW()-2,5)+1)</f>
        <v>East</v>
      </c>
      <c r="D4" s="6" t="str" cm="1">
        <f t="array" ref="D4">INDEX({"Electronics","Clothing","Furniture","Books","Office Supplies"},MOD(ROW()-2,5)+1)</f>
        <v>Furniture</v>
      </c>
      <c r="E4" s="6">
        <f t="shared" si="1"/>
        <v>774</v>
      </c>
      <c r="F4" s="6">
        <f t="shared" si="2"/>
        <v>4</v>
      </c>
      <c r="G4" s="7">
        <f t="shared" si="3"/>
        <v>0.05</v>
      </c>
      <c r="H4" s="8">
        <f t="shared" si="4"/>
        <v>45660</v>
      </c>
      <c r="I4" s="9">
        <f t="shared" si="5"/>
        <v>2941.2</v>
      </c>
      <c r="J4" s="6">
        <f t="shared" si="6"/>
        <v>352.94</v>
      </c>
      <c r="K4" s="6" t="str" cm="1">
        <f t="array" ref="K4">INDEX({"Amit","Neha","Riya","Karan","Pooja","Rahul","Meera","Vikram"},MOD(ROW()-2,8)+1)</f>
        <v>Riya</v>
      </c>
      <c r="L4" s="6" t="str" cm="1">
        <f t="array" ref="L4">INDEX({"UPI","Credit Card","Debit Card","Cash","Net Banking"},MOD(ROW()-2,5)+1)</f>
        <v>Debit Card</v>
      </c>
      <c r="M4" s="10" t="str" cm="1">
        <f t="array" ref="M4">INDEX({"Retail","Corporate","Education","Small Business"},MOD(ROW()-2,4)+1)</f>
        <v>Education</v>
      </c>
    </row>
    <row r="5" spans="1:13" x14ac:dyDescent="0.3">
      <c r="A5" s="5" t="str">
        <f t="shared" si="0"/>
        <v>CUST0004</v>
      </c>
      <c r="B5" s="6" t="str" cm="1">
        <f t="array" ref="B5">INDEX({"Aarav","Vivaan","Aditya","Arjun","Kabir","Rohan","Ananya","Diya","Ishita","Meera","Riya","Pooja","Neha","Kavya","Aisha","Priya","Rahul","Karan","Vikram","Sahil"},MOD(ROW()-2,20)+1)&amp;" "&amp;INDEX({"Shah","Patel","Mehta","Desai","Joshi","Gupta","Verma","Sharma","Trivedi","Rana","Mishra","Kapoor","Iyer","Nair","Singh"},MOD(INT((ROW()-2)/20),15)+1)</f>
        <v>Arjun Shah</v>
      </c>
      <c r="C5" s="6" t="str" cm="1">
        <f t="array" ref="C5">INDEX({"North","South","East","West","Central"},MOD(ROW()-2,5)+1)</f>
        <v>West</v>
      </c>
      <c r="D5" s="6" t="str" cm="1">
        <f t="array" ref="D5">INDEX({"Electronics","Clothing","Furniture","Books","Office Supplies"},MOD(ROW()-2,5)+1)</f>
        <v>Books</v>
      </c>
      <c r="E5" s="6">
        <f t="shared" si="1"/>
        <v>911</v>
      </c>
      <c r="F5" s="6">
        <f t="shared" si="2"/>
        <v>11</v>
      </c>
      <c r="G5" s="7">
        <f t="shared" si="3"/>
        <v>0.08</v>
      </c>
      <c r="H5" s="8">
        <f t="shared" si="4"/>
        <v>45661</v>
      </c>
      <c r="I5" s="9">
        <f t="shared" si="5"/>
        <v>9219.32</v>
      </c>
      <c r="J5" s="6">
        <f t="shared" si="6"/>
        <v>1290.7</v>
      </c>
      <c r="K5" s="6" t="str" cm="1">
        <f t="array" ref="K5">INDEX({"Amit","Neha","Riya","Karan","Pooja","Rahul","Meera","Vikram"},MOD(ROW()-2,8)+1)</f>
        <v>Karan</v>
      </c>
      <c r="L5" s="6" t="str" cm="1">
        <f t="array" ref="L5">INDEX({"UPI","Credit Card","Debit Card","Cash","Net Banking"},MOD(ROW()-2,5)+1)</f>
        <v>Cash</v>
      </c>
      <c r="M5" s="10" t="str" cm="1">
        <f t="array" ref="M5">INDEX({"Retail","Corporate","Education","Small Business"},MOD(ROW()-2,4)+1)</f>
        <v>Small Business</v>
      </c>
    </row>
    <row r="6" spans="1:13" x14ac:dyDescent="0.3">
      <c r="A6" s="5" t="str">
        <f t="shared" si="0"/>
        <v>CUST0005</v>
      </c>
      <c r="B6" s="6" t="str" cm="1">
        <f t="array" ref="B6">INDEX({"Aarav","Vivaan","Aditya","Arjun","Kabir","Rohan","Ananya","Diya","Ishita","Meera","Riya","Pooja","Neha","Kavya","Aisha","Priya","Rahul","Karan","Vikram","Sahil"},MOD(ROW()-2,20)+1)&amp;" "&amp;INDEX({"Shah","Patel","Mehta","Desai","Joshi","Gupta","Verma","Sharma","Trivedi","Rana","Mishra","Kapoor","Iyer","Nair","Singh"},MOD(INT((ROW()-2)/20),15)+1)</f>
        <v>Kabir Shah</v>
      </c>
      <c r="C6" s="6" t="str" cm="1">
        <f t="array" ref="C6">INDEX({"North","South","East","West","Central"},MOD(ROW()-2,5)+1)</f>
        <v>Central</v>
      </c>
      <c r="D6" s="6" t="str" cm="1">
        <f t="array" ref="D6">INDEX({"Electronics","Clothing","Furniture","Books","Office Supplies"},MOD(ROW()-2,5)+1)</f>
        <v>Office Supplies</v>
      </c>
      <c r="E6" s="6">
        <f t="shared" si="1"/>
        <v>1048</v>
      </c>
      <c r="F6" s="6">
        <f t="shared" si="2"/>
        <v>7</v>
      </c>
      <c r="G6" s="7">
        <f t="shared" si="3"/>
        <v>0.1</v>
      </c>
      <c r="H6" s="8">
        <f t="shared" si="4"/>
        <v>45662</v>
      </c>
      <c r="I6" s="9">
        <f t="shared" si="5"/>
        <v>6602.4</v>
      </c>
      <c r="J6" s="6">
        <f t="shared" si="6"/>
        <v>1056.3800000000001</v>
      </c>
      <c r="K6" s="6" t="str" cm="1">
        <f t="array" ref="K6">INDEX({"Amit","Neha","Riya","Karan","Pooja","Rahul","Meera","Vikram"},MOD(ROW()-2,8)+1)</f>
        <v>Pooja</v>
      </c>
      <c r="L6" s="6" t="str" cm="1">
        <f t="array" ref="L6">INDEX({"UPI","Credit Card","Debit Card","Cash","Net Banking"},MOD(ROW()-2,5)+1)</f>
        <v>Net Banking</v>
      </c>
      <c r="M6" s="10" t="str" cm="1">
        <f t="array" ref="M6">INDEX({"Retail","Corporate","Education","Small Business"},MOD(ROW()-2,4)+1)</f>
        <v>Retail</v>
      </c>
    </row>
    <row r="7" spans="1:13" x14ac:dyDescent="0.3">
      <c r="A7" s="5" t="str">
        <f t="shared" si="0"/>
        <v>CUST0006</v>
      </c>
      <c r="B7" s="6" t="str" cm="1">
        <f t="array" ref="B7">INDEX({"Aarav","Vivaan","Aditya","Arjun","Kabir","Rohan","Ananya","Diya","Ishita","Meera","Riya","Pooja","Neha","Kavya","Aisha","Priya","Rahul","Karan","Vikram","Sahil"},MOD(ROW()-2,20)+1)&amp;" "&amp;INDEX({"Shah","Patel","Mehta","Desai","Joshi","Gupta","Verma","Sharma","Trivedi","Rana","Mishra","Kapoor","Iyer","Nair","Singh"},MOD(INT((ROW()-2)/20),15)+1)</f>
        <v>Rohan Shah</v>
      </c>
      <c r="C7" s="6" t="str" cm="1">
        <f t="array" ref="C7">INDEX({"North","South","East","West","Central"},MOD(ROW()-2,5)+1)</f>
        <v>North</v>
      </c>
      <c r="D7" s="6" t="str" cm="1">
        <f t="array" ref="D7">INDEX({"Electronics","Clothing","Furniture","Books","Office Supplies"},MOD(ROW()-2,5)+1)</f>
        <v>Electronics</v>
      </c>
      <c r="E7" s="6">
        <f t="shared" si="1"/>
        <v>1185</v>
      </c>
      <c r="F7" s="6">
        <f t="shared" si="2"/>
        <v>3</v>
      </c>
      <c r="G7" s="7">
        <f t="shared" si="3"/>
        <v>0.12</v>
      </c>
      <c r="H7" s="8">
        <f t="shared" si="4"/>
        <v>45663</v>
      </c>
      <c r="I7" s="9">
        <f t="shared" si="5"/>
        <v>3128.4</v>
      </c>
      <c r="J7" s="6">
        <f t="shared" si="6"/>
        <v>563.11</v>
      </c>
      <c r="K7" s="6" t="str" cm="1">
        <f t="array" ref="K7">INDEX({"Amit","Neha","Riya","Karan","Pooja","Rahul","Meera","Vikram"},MOD(ROW()-2,8)+1)</f>
        <v>Rahul</v>
      </c>
      <c r="L7" s="6" t="str" cm="1">
        <f t="array" ref="L7">INDEX({"UPI","Credit Card","Debit Card","Cash","Net Banking"},MOD(ROW()-2,5)+1)</f>
        <v>UPI</v>
      </c>
      <c r="M7" s="10" t="str" cm="1">
        <f t="array" ref="M7">INDEX({"Retail","Corporate","Education","Small Business"},MOD(ROW()-2,4)+1)</f>
        <v>Corporate</v>
      </c>
    </row>
    <row r="8" spans="1:13" x14ac:dyDescent="0.3">
      <c r="A8" s="5" t="str">
        <f t="shared" si="0"/>
        <v>CUST0007</v>
      </c>
      <c r="B8" s="6" t="str" cm="1">
        <f t="array" ref="B8">INDEX({"Aarav","Vivaan","Aditya","Arjun","Kabir","Rohan","Ananya","Diya","Ishita","Meera","Riya","Pooja","Neha","Kavya","Aisha","Priya","Rahul","Karan","Vikram","Sahil"},MOD(ROW()-2,20)+1)&amp;" "&amp;INDEX({"Shah","Patel","Mehta","Desai","Joshi","Gupta","Verma","Sharma","Trivedi","Rana","Mishra","Kapoor","Iyer","Nair","Singh"},MOD(INT((ROW()-2)/20),15)+1)</f>
        <v>Ananya Shah</v>
      </c>
      <c r="C8" s="6" t="str" cm="1">
        <f t="array" ref="C8">INDEX({"North","South","East","West","Central"},MOD(ROW()-2,5)+1)</f>
        <v>South</v>
      </c>
      <c r="D8" s="6" t="str" cm="1">
        <f t="array" ref="D8">INDEX({"Electronics","Clothing","Furniture","Books","Office Supplies"},MOD(ROW()-2,5)+1)</f>
        <v>Clothing</v>
      </c>
      <c r="E8" s="6">
        <f t="shared" si="1"/>
        <v>1322</v>
      </c>
      <c r="F8" s="6">
        <f t="shared" si="2"/>
        <v>10</v>
      </c>
      <c r="G8" s="7">
        <f t="shared" si="3"/>
        <v>0.15</v>
      </c>
      <c r="H8" s="8">
        <f t="shared" si="4"/>
        <v>45664</v>
      </c>
      <c r="I8" s="9">
        <f t="shared" si="5"/>
        <v>11237</v>
      </c>
      <c r="J8" s="6">
        <f t="shared" si="6"/>
        <v>2247.4</v>
      </c>
      <c r="K8" s="6" t="str" cm="1">
        <f t="array" ref="K8">INDEX({"Amit","Neha","Riya","Karan","Pooja","Rahul","Meera","Vikram"},MOD(ROW()-2,8)+1)</f>
        <v>Meera</v>
      </c>
      <c r="L8" s="6" t="str" cm="1">
        <f t="array" ref="L8">INDEX({"UPI","Credit Card","Debit Card","Cash","Net Banking"},MOD(ROW()-2,5)+1)</f>
        <v>Credit Card</v>
      </c>
      <c r="M8" s="10" t="str" cm="1">
        <f t="array" ref="M8">INDEX({"Retail","Corporate","Education","Small Business"},MOD(ROW()-2,4)+1)</f>
        <v>Education</v>
      </c>
    </row>
    <row r="9" spans="1:13" x14ac:dyDescent="0.3">
      <c r="A9" s="5" t="str">
        <f t="shared" si="0"/>
        <v>CUST0008</v>
      </c>
      <c r="B9" s="6" t="str" cm="1">
        <f t="array" ref="B9">INDEX({"Aarav","Vivaan","Aditya","Arjun","Kabir","Rohan","Ananya","Diya","Ishita","Meera","Riya","Pooja","Neha","Kavya","Aisha","Priya","Rahul","Karan","Vikram","Sahil"},MOD(ROW()-2,20)+1)&amp;" "&amp;INDEX({"Shah","Patel","Mehta","Desai","Joshi","Gupta","Verma","Sharma","Trivedi","Rana","Mishra","Kapoor","Iyer","Nair","Singh"},MOD(INT((ROW()-2)/20),15)+1)</f>
        <v>Diya Shah</v>
      </c>
      <c r="C9" s="6" t="str" cm="1">
        <f t="array" ref="C9">INDEX({"North","South","East","West","Central"},MOD(ROW()-2,5)+1)</f>
        <v>East</v>
      </c>
      <c r="D9" s="6" t="str" cm="1">
        <f t="array" ref="D9">INDEX({"Electronics","Clothing","Furniture","Books","Office Supplies"},MOD(ROW()-2,5)+1)</f>
        <v>Furniture</v>
      </c>
      <c r="E9" s="6">
        <f t="shared" si="1"/>
        <v>1459</v>
      </c>
      <c r="F9" s="6">
        <f t="shared" si="2"/>
        <v>6</v>
      </c>
      <c r="G9" s="7">
        <f t="shared" si="3"/>
        <v>0.2</v>
      </c>
      <c r="H9" s="8">
        <f t="shared" si="4"/>
        <v>45665</v>
      </c>
      <c r="I9" s="9">
        <f t="shared" si="5"/>
        <v>7003.2</v>
      </c>
      <c r="J9" s="6">
        <f t="shared" si="6"/>
        <v>1540.7</v>
      </c>
      <c r="K9" s="6" t="str" cm="1">
        <f t="array" ref="K9">INDEX({"Amit","Neha","Riya","Karan","Pooja","Rahul","Meera","Vikram"},MOD(ROW()-2,8)+1)</f>
        <v>Vikram</v>
      </c>
      <c r="L9" s="6" t="str" cm="1">
        <f t="array" ref="L9">INDEX({"UPI","Credit Card","Debit Card","Cash","Net Banking"},MOD(ROW()-2,5)+1)</f>
        <v>Debit Card</v>
      </c>
      <c r="M9" s="10" t="str" cm="1">
        <f t="array" ref="M9">INDEX({"Retail","Corporate","Education","Small Business"},MOD(ROW()-2,4)+1)</f>
        <v>Small Business</v>
      </c>
    </row>
    <row r="10" spans="1:13" x14ac:dyDescent="0.3">
      <c r="A10" s="5" t="str">
        <f t="shared" si="0"/>
        <v>CUST0009</v>
      </c>
      <c r="B10" s="6" t="str" cm="1">
        <f t="array" ref="B10">INDEX({"Aarav","Vivaan","Aditya","Arjun","Kabir","Rohan","Ananya","Diya","Ishita","Meera","Riya","Pooja","Neha","Kavya","Aisha","Priya","Rahul","Karan","Vikram","Sahil"},MOD(ROW()-2,20)+1)&amp;" "&amp;INDEX({"Shah","Patel","Mehta","Desai","Joshi","Gupta","Verma","Sharma","Trivedi","Rana","Mishra","Kapoor","Iyer","Nair","Singh"},MOD(INT((ROW()-2)/20),15)+1)</f>
        <v>Ishita Shah</v>
      </c>
      <c r="C10" s="6" t="str" cm="1">
        <f t="array" ref="C10">INDEX({"North","South","East","West","Central"},MOD(ROW()-2,5)+1)</f>
        <v>West</v>
      </c>
      <c r="D10" s="6" t="str" cm="1">
        <f t="array" ref="D10">INDEX({"Electronics","Clothing","Furniture","Books","Office Supplies"},MOD(ROW()-2,5)+1)</f>
        <v>Books</v>
      </c>
      <c r="E10" s="6">
        <f t="shared" si="1"/>
        <v>1596</v>
      </c>
      <c r="F10" s="6">
        <f t="shared" si="2"/>
        <v>2</v>
      </c>
      <c r="G10" s="7">
        <f t="shared" si="3"/>
        <v>0</v>
      </c>
      <c r="H10" s="8">
        <f t="shared" si="4"/>
        <v>45666</v>
      </c>
      <c r="I10" s="9">
        <f t="shared" si="5"/>
        <v>3192</v>
      </c>
      <c r="J10" s="6">
        <f t="shared" si="6"/>
        <v>766.08</v>
      </c>
      <c r="K10" s="6" t="str" cm="1">
        <f t="array" ref="K10">INDEX({"Amit","Neha","Riya","Karan","Pooja","Rahul","Meera","Vikram"},MOD(ROW()-2,8)+1)</f>
        <v>Amit</v>
      </c>
      <c r="L10" s="6" t="str" cm="1">
        <f t="array" ref="L10">INDEX({"UPI","Credit Card","Debit Card","Cash","Net Banking"},MOD(ROW()-2,5)+1)</f>
        <v>Cash</v>
      </c>
      <c r="M10" s="10" t="str" cm="1">
        <f t="array" ref="M10">INDEX({"Retail","Corporate","Education","Small Business"},MOD(ROW()-2,4)+1)</f>
        <v>Retail</v>
      </c>
    </row>
    <row r="11" spans="1:13" x14ac:dyDescent="0.3">
      <c r="A11" s="5" t="str">
        <f t="shared" si="0"/>
        <v>CUST0010</v>
      </c>
      <c r="B11" s="6" t="str" cm="1">
        <f t="array" ref="B11">INDEX({"Aarav","Vivaan","Aditya","Arjun","Kabir","Rohan","Ananya","Diya","Ishita","Meera","Riya","Pooja","Neha","Kavya","Aisha","Priya","Rahul","Karan","Vikram","Sahil"},MOD(ROW()-2,20)+1)&amp;" "&amp;INDEX({"Shah","Patel","Mehta","Desai","Joshi","Gupta","Verma","Sharma","Trivedi","Rana","Mishra","Kapoor","Iyer","Nair","Singh"},MOD(INT((ROW()-2)/20),15)+1)</f>
        <v>Meera Shah</v>
      </c>
      <c r="C11" s="6" t="str" cm="1">
        <f t="array" ref="C11">INDEX({"North","South","East","West","Central"},MOD(ROW()-2,5)+1)</f>
        <v>Central</v>
      </c>
      <c r="D11" s="6" t="str" cm="1">
        <f t="array" ref="D11">INDEX({"Electronics","Clothing","Furniture","Books","Office Supplies"},MOD(ROW()-2,5)+1)</f>
        <v>Office Supplies</v>
      </c>
      <c r="E11" s="6">
        <f t="shared" si="1"/>
        <v>1733</v>
      </c>
      <c r="F11" s="6">
        <f t="shared" si="2"/>
        <v>9</v>
      </c>
      <c r="G11" s="7">
        <f t="shared" si="3"/>
        <v>0.02</v>
      </c>
      <c r="H11" s="8">
        <f t="shared" si="4"/>
        <v>45667</v>
      </c>
      <c r="I11" s="9">
        <f t="shared" si="5"/>
        <v>15285.06</v>
      </c>
      <c r="J11" s="6">
        <f t="shared" si="6"/>
        <v>3974.12</v>
      </c>
      <c r="K11" s="6" t="str" cm="1">
        <f t="array" ref="K11">INDEX({"Amit","Neha","Riya","Karan","Pooja","Rahul","Meera","Vikram"},MOD(ROW()-2,8)+1)</f>
        <v>Neha</v>
      </c>
      <c r="L11" s="6" t="str" cm="1">
        <f t="array" ref="L11">INDEX({"UPI","Credit Card","Debit Card","Cash","Net Banking"},MOD(ROW()-2,5)+1)</f>
        <v>Net Banking</v>
      </c>
      <c r="M11" s="10" t="str" cm="1">
        <f t="array" ref="M11">INDEX({"Retail","Corporate","Education","Small Business"},MOD(ROW()-2,4)+1)</f>
        <v>Corporate</v>
      </c>
    </row>
    <row r="12" spans="1:13" x14ac:dyDescent="0.3">
      <c r="A12" s="5" t="str">
        <f t="shared" si="0"/>
        <v>CUST0011</v>
      </c>
      <c r="B12" s="6" t="str" cm="1">
        <f t="array" ref="B12">INDEX({"Aarav","Vivaan","Aditya","Arjun","Kabir","Rohan","Ananya","Diya","Ishita","Meera","Riya","Pooja","Neha","Kavya","Aisha","Priya","Rahul","Karan","Vikram","Sahil"},MOD(ROW()-2,20)+1)&amp;" "&amp;INDEX({"Shah","Patel","Mehta","Desai","Joshi","Gupta","Verma","Sharma","Trivedi","Rana","Mishra","Kapoor","Iyer","Nair","Singh"},MOD(INT((ROW()-2)/20),15)+1)</f>
        <v>Riya Shah</v>
      </c>
      <c r="C12" s="6" t="str" cm="1">
        <f t="array" ref="C12">INDEX({"North","South","East","West","Central"},MOD(ROW()-2,5)+1)</f>
        <v>North</v>
      </c>
      <c r="D12" s="6" t="str" cm="1">
        <f t="array" ref="D12">INDEX({"Electronics","Clothing","Furniture","Books","Office Supplies"},MOD(ROW()-2,5)+1)</f>
        <v>Electronics</v>
      </c>
      <c r="E12" s="6">
        <f t="shared" si="1"/>
        <v>1870</v>
      </c>
      <c r="F12" s="6">
        <f t="shared" si="2"/>
        <v>5</v>
      </c>
      <c r="G12" s="7">
        <f t="shared" si="3"/>
        <v>0.05</v>
      </c>
      <c r="H12" s="8">
        <f t="shared" si="4"/>
        <v>45668</v>
      </c>
      <c r="I12" s="9">
        <f t="shared" si="5"/>
        <v>8882.5</v>
      </c>
      <c r="J12" s="6">
        <f t="shared" si="6"/>
        <v>2487.1</v>
      </c>
      <c r="K12" s="6" t="str" cm="1">
        <f t="array" ref="K12">INDEX({"Amit","Neha","Riya","Karan","Pooja","Rahul","Meera","Vikram"},MOD(ROW()-2,8)+1)</f>
        <v>Riya</v>
      </c>
      <c r="L12" s="6" t="str" cm="1">
        <f t="array" ref="L12">INDEX({"UPI","Credit Card","Debit Card","Cash","Net Banking"},MOD(ROW()-2,5)+1)</f>
        <v>UPI</v>
      </c>
      <c r="M12" s="10" t="str" cm="1">
        <f t="array" ref="M12">INDEX({"Retail","Corporate","Education","Small Business"},MOD(ROW()-2,4)+1)</f>
        <v>Education</v>
      </c>
    </row>
    <row r="13" spans="1:13" x14ac:dyDescent="0.3">
      <c r="A13" s="5" t="str">
        <f t="shared" si="0"/>
        <v>CUST0012</v>
      </c>
      <c r="B13" s="6" t="str" cm="1">
        <f t="array" ref="B13">INDEX({"Aarav","Vivaan","Aditya","Arjun","Kabir","Rohan","Ananya","Diya","Ishita","Meera","Riya","Pooja","Neha","Kavya","Aisha","Priya","Rahul","Karan","Vikram","Sahil"},MOD(ROW()-2,20)+1)&amp;" "&amp;INDEX({"Shah","Patel","Mehta","Desai","Joshi","Gupta","Verma","Sharma","Trivedi","Rana","Mishra","Kapoor","Iyer","Nair","Singh"},MOD(INT((ROW()-2)/20),15)+1)</f>
        <v>Pooja Shah</v>
      </c>
      <c r="C13" s="6" t="str" cm="1">
        <f t="array" ref="C13">INDEX({"North","South","East","West","Central"},MOD(ROW()-2,5)+1)</f>
        <v>South</v>
      </c>
      <c r="D13" s="6" t="str" cm="1">
        <f t="array" ref="D13">INDEX({"Electronics","Clothing","Furniture","Books","Office Supplies"},MOD(ROW()-2,5)+1)</f>
        <v>Clothing</v>
      </c>
      <c r="E13" s="6">
        <f t="shared" si="1"/>
        <v>2007</v>
      </c>
      <c r="F13" s="6">
        <f t="shared" si="2"/>
        <v>1</v>
      </c>
      <c r="G13" s="7">
        <f t="shared" si="3"/>
        <v>0.08</v>
      </c>
      <c r="H13" s="8">
        <f t="shared" si="4"/>
        <v>45669</v>
      </c>
      <c r="I13" s="9">
        <f t="shared" si="5"/>
        <v>1846.44</v>
      </c>
      <c r="J13" s="6">
        <f t="shared" si="6"/>
        <v>553.92999999999995</v>
      </c>
      <c r="K13" s="6" t="str" cm="1">
        <f t="array" ref="K13">INDEX({"Amit","Neha","Riya","Karan","Pooja","Rahul","Meera","Vikram"},MOD(ROW()-2,8)+1)</f>
        <v>Karan</v>
      </c>
      <c r="L13" s="6" t="str" cm="1">
        <f t="array" ref="L13">INDEX({"UPI","Credit Card","Debit Card","Cash","Net Banking"},MOD(ROW()-2,5)+1)</f>
        <v>Credit Card</v>
      </c>
      <c r="M13" s="10" t="str" cm="1">
        <f t="array" ref="M13">INDEX({"Retail","Corporate","Education","Small Business"},MOD(ROW()-2,4)+1)</f>
        <v>Small Business</v>
      </c>
    </row>
    <row r="14" spans="1:13" x14ac:dyDescent="0.3">
      <c r="A14" s="5" t="str">
        <f t="shared" si="0"/>
        <v>CUST0013</v>
      </c>
      <c r="B14" s="6" t="str" cm="1">
        <f t="array" ref="B14">INDEX({"Aarav","Vivaan","Aditya","Arjun","Kabir","Rohan","Ananya","Diya","Ishita","Meera","Riya","Pooja","Neha","Kavya","Aisha","Priya","Rahul","Karan","Vikram","Sahil"},MOD(ROW()-2,20)+1)&amp;" "&amp;INDEX({"Shah","Patel","Mehta","Desai","Joshi","Gupta","Verma","Sharma","Trivedi","Rana","Mishra","Kapoor","Iyer","Nair","Singh"},MOD(INT((ROW()-2)/20),15)+1)</f>
        <v>Neha Shah</v>
      </c>
      <c r="C14" s="6" t="str" cm="1">
        <f t="array" ref="C14">INDEX({"North","South","East","West","Central"},MOD(ROW()-2,5)+1)</f>
        <v>East</v>
      </c>
      <c r="D14" s="6" t="str" cm="1">
        <f t="array" ref="D14">INDEX({"Electronics","Clothing","Furniture","Books","Office Supplies"},MOD(ROW()-2,5)+1)</f>
        <v>Furniture</v>
      </c>
      <c r="E14" s="6">
        <f t="shared" si="1"/>
        <v>2144</v>
      </c>
      <c r="F14" s="6">
        <f t="shared" si="2"/>
        <v>8</v>
      </c>
      <c r="G14" s="7">
        <f t="shared" si="3"/>
        <v>0.1</v>
      </c>
      <c r="H14" s="8">
        <f t="shared" si="4"/>
        <v>45670</v>
      </c>
      <c r="I14" s="9">
        <f t="shared" si="5"/>
        <v>15436.8</v>
      </c>
      <c r="J14" s="6">
        <f t="shared" si="6"/>
        <v>1234.94</v>
      </c>
      <c r="K14" s="6" t="str" cm="1">
        <f t="array" ref="K14">INDEX({"Amit","Neha","Riya","Karan","Pooja","Rahul","Meera","Vikram"},MOD(ROW()-2,8)+1)</f>
        <v>Pooja</v>
      </c>
      <c r="L14" s="6" t="str" cm="1">
        <f t="array" ref="L14">INDEX({"UPI","Credit Card","Debit Card","Cash","Net Banking"},MOD(ROW()-2,5)+1)</f>
        <v>Debit Card</v>
      </c>
      <c r="M14" s="10" t="str" cm="1">
        <f t="array" ref="M14">INDEX({"Retail","Corporate","Education","Small Business"},MOD(ROW()-2,4)+1)</f>
        <v>Retail</v>
      </c>
    </row>
    <row r="15" spans="1:13" x14ac:dyDescent="0.3">
      <c r="A15" s="5" t="str">
        <f t="shared" si="0"/>
        <v>CUST0014</v>
      </c>
      <c r="B15" s="6" t="str" cm="1">
        <f t="array" ref="B15">INDEX({"Aarav","Vivaan","Aditya","Arjun","Kabir","Rohan","Ananya","Diya","Ishita","Meera","Riya","Pooja","Neha","Kavya","Aisha","Priya","Rahul","Karan","Vikram","Sahil"},MOD(ROW()-2,20)+1)&amp;" "&amp;INDEX({"Shah","Patel","Mehta","Desai","Joshi","Gupta","Verma","Sharma","Trivedi","Rana","Mishra","Kapoor","Iyer","Nair","Singh"},MOD(INT((ROW()-2)/20),15)+1)</f>
        <v>Kavya Shah</v>
      </c>
      <c r="C15" s="6" t="str" cm="1">
        <f t="array" ref="C15">INDEX({"North","South","East","West","Central"},MOD(ROW()-2,5)+1)</f>
        <v>West</v>
      </c>
      <c r="D15" s="6" t="str" cm="1">
        <f t="array" ref="D15">INDEX({"Electronics","Clothing","Furniture","Books","Office Supplies"},MOD(ROW()-2,5)+1)</f>
        <v>Books</v>
      </c>
      <c r="E15" s="6">
        <f t="shared" si="1"/>
        <v>2281</v>
      </c>
      <c r="F15" s="6">
        <f t="shared" si="2"/>
        <v>4</v>
      </c>
      <c r="G15" s="7">
        <f t="shared" si="3"/>
        <v>0.12</v>
      </c>
      <c r="H15" s="8">
        <f t="shared" si="4"/>
        <v>45671</v>
      </c>
      <c r="I15" s="9">
        <f t="shared" si="5"/>
        <v>8029.12</v>
      </c>
      <c r="J15" s="6">
        <f t="shared" si="6"/>
        <v>802.91</v>
      </c>
      <c r="K15" s="6" t="str" cm="1">
        <f t="array" ref="K15">INDEX({"Amit","Neha","Riya","Karan","Pooja","Rahul","Meera","Vikram"},MOD(ROW()-2,8)+1)</f>
        <v>Rahul</v>
      </c>
      <c r="L15" s="6" t="str" cm="1">
        <f t="array" ref="L15">INDEX({"UPI","Credit Card","Debit Card","Cash","Net Banking"},MOD(ROW()-2,5)+1)</f>
        <v>Cash</v>
      </c>
      <c r="M15" s="10" t="str" cm="1">
        <f t="array" ref="M15">INDEX({"Retail","Corporate","Education","Small Business"},MOD(ROW()-2,4)+1)</f>
        <v>Corporate</v>
      </c>
    </row>
    <row r="16" spans="1:13" x14ac:dyDescent="0.3">
      <c r="A16" s="5" t="str">
        <f t="shared" si="0"/>
        <v>CUST0015</v>
      </c>
      <c r="B16" s="6" t="s">
        <v>2</v>
      </c>
      <c r="C16" s="6" t="str" cm="1">
        <f t="array" ref="C16">INDEX({"North","South","East","West","Central"},MOD(ROW()-2,5)+1)</f>
        <v>Central</v>
      </c>
      <c r="D16" s="6" t="str" cm="1">
        <f t="array" ref="D16">INDEX({"Electronics","Clothing","Furniture","Books","Office Supplies"},MOD(ROW()-2,5)+1)</f>
        <v>Office Supplies</v>
      </c>
      <c r="E16" s="6">
        <f t="shared" si="1"/>
        <v>2418</v>
      </c>
      <c r="F16" s="6">
        <f t="shared" si="2"/>
        <v>11</v>
      </c>
      <c r="G16" s="7">
        <f t="shared" si="3"/>
        <v>0.15</v>
      </c>
      <c r="H16" s="8">
        <f t="shared" si="4"/>
        <v>45672</v>
      </c>
      <c r="I16" s="9">
        <f t="shared" si="5"/>
        <v>22608.3</v>
      </c>
      <c r="J16" s="6">
        <f t="shared" si="6"/>
        <v>2713</v>
      </c>
      <c r="K16" s="6" t="str" cm="1">
        <f t="array" ref="K16">INDEX({"Amit","Neha","Riya","Karan","Pooja","Rahul","Meera","Vikram"},MOD(ROW()-2,8)+1)</f>
        <v>Meera</v>
      </c>
      <c r="L16" s="6" t="str" cm="1">
        <f t="array" ref="L16">INDEX({"UPI","Credit Card","Debit Card","Cash","Net Banking"},MOD(ROW()-2,5)+1)</f>
        <v>Net Banking</v>
      </c>
      <c r="M16" s="10" t="str" cm="1">
        <f t="array" ref="M16">INDEX({"Retail","Corporate","Education","Small Business"},MOD(ROW()-2,4)+1)</f>
        <v>Education</v>
      </c>
    </row>
    <row r="17" spans="1:13" x14ac:dyDescent="0.3">
      <c r="A17" s="5" t="str">
        <f t="shared" si="0"/>
        <v>CUST0016</v>
      </c>
      <c r="B17" s="6" t="str" cm="1">
        <f t="array" ref="B17">INDEX({"Aarav","Vivaan","Aditya","Arjun","Kabir","Rohan","Ananya","Diya","Ishita","Meera","Riya","Pooja","Neha","Kavya","Aisha","Priya","Rahul","Karan","Vikram","Sahil"},MOD(ROW()-2,20)+1)&amp;" "&amp;INDEX({"Shah","Patel","Mehta","Desai","Joshi","Gupta","Verma","Sharma","Trivedi","Rana","Mishra","Kapoor","Iyer","Nair","Singh"},MOD(INT((ROW()-2)/20),15)+1)</f>
        <v>Priya Shah</v>
      </c>
      <c r="C17" s="6" t="str" cm="1">
        <f t="array" ref="C17">INDEX({"North","South","East","West","Central"},MOD(ROW()-2,5)+1)</f>
        <v>North</v>
      </c>
      <c r="D17" s="6" t="str" cm="1">
        <f t="array" ref="D17">INDEX({"Electronics","Clothing","Furniture","Books","Office Supplies"},MOD(ROW()-2,5)+1)</f>
        <v>Electronics</v>
      </c>
      <c r="E17" s="6">
        <f t="shared" si="1"/>
        <v>2555</v>
      </c>
      <c r="F17" s="6">
        <f t="shared" si="2"/>
        <v>7</v>
      </c>
      <c r="G17" s="7">
        <f t="shared" si="3"/>
        <v>0.2</v>
      </c>
      <c r="H17" s="8">
        <v>45703</v>
      </c>
      <c r="I17" s="9">
        <f t="shared" si="5"/>
        <v>14308</v>
      </c>
      <c r="J17" s="6">
        <f t="shared" si="6"/>
        <v>2003.12</v>
      </c>
      <c r="K17" s="6" t="str" cm="1">
        <f t="array" ref="K17">INDEX({"Amit","Neha","Riya","Karan","Pooja","Rahul","Meera","Vikram"},MOD(ROW()-2,8)+1)</f>
        <v>Vikram</v>
      </c>
      <c r="L17" s="6" t="str" cm="1">
        <f t="array" ref="L17">INDEX({"UPI","Credit Card","Debit Card","Cash","Net Banking"},MOD(ROW()-2,5)+1)</f>
        <v>UPI</v>
      </c>
      <c r="M17" s="10" t="str" cm="1">
        <f t="array" ref="M17">INDEX({"Retail","Corporate","Education","Small Business"},MOD(ROW()-2,4)+1)</f>
        <v>Small Business</v>
      </c>
    </row>
    <row r="18" spans="1:13" x14ac:dyDescent="0.3">
      <c r="A18" s="5" t="str">
        <f t="shared" si="0"/>
        <v>CUST0017</v>
      </c>
      <c r="B18" s="6" t="str" cm="1">
        <f t="array" ref="B18">INDEX({"Aarav","Vivaan","Aditya","Arjun","Kabir","Rohan","Ananya","Diya","Ishita","Meera","Riya","Pooja","Neha","Kavya","Aisha","Priya","Rahul","Karan","Vikram","Sahil"},MOD(ROW()-2,20)+1)&amp;" "&amp;INDEX({"Shah","Patel","Mehta","Desai","Joshi","Gupta","Verma","Sharma","Trivedi","Rana","Mishra","Kapoor","Iyer","Nair","Singh"},MOD(INT((ROW()-2)/20),15)+1)</f>
        <v>Rahul Shah</v>
      </c>
      <c r="C18" s="6" t="str" cm="1">
        <f t="array" ref="C18">INDEX({"North","South","East","West","Central"},MOD(ROW()-2,5)+1)</f>
        <v>South</v>
      </c>
      <c r="D18" s="6" t="str" cm="1">
        <f t="array" ref="D18">INDEX({"Electronics","Clothing","Furniture","Books","Office Supplies"},MOD(ROW()-2,5)+1)</f>
        <v>Clothing</v>
      </c>
      <c r="E18" s="6">
        <v>6802</v>
      </c>
      <c r="F18" s="6">
        <f t="shared" si="2"/>
        <v>3</v>
      </c>
      <c r="G18" s="7">
        <f t="shared" si="3"/>
        <v>0</v>
      </c>
      <c r="H18" s="8">
        <f t="shared" ref="H18:H49" si="7">DATE(2025,1,1)+MOD(ROW()-2,365)</f>
        <v>45674</v>
      </c>
      <c r="I18" s="9">
        <f t="shared" si="5"/>
        <v>20406</v>
      </c>
      <c r="J18" s="6">
        <f t="shared" si="6"/>
        <v>3264.96</v>
      </c>
      <c r="K18" s="6" t="str" cm="1">
        <f t="array" ref="K18">INDEX({"Amit","Neha","Riya","Karan","Pooja","Rahul","Meera","Vikram"},MOD(ROW()-2,8)+1)</f>
        <v>Amit</v>
      </c>
      <c r="L18" s="6" t="str" cm="1">
        <f t="array" ref="L18">INDEX({"UPI","Credit Card","Debit Card","Cash","Net Banking"},MOD(ROW()-2,5)+1)</f>
        <v>Credit Card</v>
      </c>
      <c r="M18" s="10" t="str" cm="1">
        <f t="array" ref="M18">INDEX({"Retail","Corporate","Education","Small Business"},MOD(ROW()-2,4)+1)</f>
        <v>Retail</v>
      </c>
    </row>
    <row r="19" spans="1:13" x14ac:dyDescent="0.3">
      <c r="A19" s="5" t="str">
        <f t="shared" si="0"/>
        <v>CUST0018</v>
      </c>
      <c r="B19" s="6" t="str" cm="1">
        <f t="array" ref="B19">INDEX({"Aarav","Vivaan","Aditya","Arjun","Kabir","Rohan","Ananya","Diya","Ishita","Meera","Riya","Pooja","Neha","Kavya","Aisha","Priya","Rahul","Karan","Vikram","Sahil"},MOD(ROW()-2,20)+1)&amp;" "&amp;INDEX({"Shah","Patel","Mehta","Desai","Joshi","Gupta","Verma","Sharma","Trivedi","Rana","Mishra","Kapoor","Iyer","Nair","Singh"},MOD(INT((ROW()-2)/20),15)+1)</f>
        <v>Karan Shah</v>
      </c>
      <c r="C19" s="6" t="str" cm="1">
        <f t="array" ref="C19">INDEX({"North","South","East","West","Central"},MOD(ROW()-2,5)+1)</f>
        <v>East</v>
      </c>
      <c r="D19" s="6" t="str" cm="1">
        <f t="array" ref="D19">INDEX({"Electronics","Clothing","Furniture","Books","Office Supplies"},MOD(ROW()-2,5)+1)</f>
        <v>Furniture</v>
      </c>
      <c r="E19" s="6">
        <f t="shared" ref="E19:E50" si="8">ROUND(500+MOD((ROW()-2)*137,44500),2)</f>
        <v>2829</v>
      </c>
      <c r="F19" s="6">
        <f t="shared" si="2"/>
        <v>10</v>
      </c>
      <c r="G19" s="7">
        <f t="shared" si="3"/>
        <v>0.02</v>
      </c>
      <c r="H19" s="8">
        <f t="shared" si="7"/>
        <v>45675</v>
      </c>
      <c r="I19" s="9">
        <f t="shared" si="5"/>
        <v>27724.2</v>
      </c>
      <c r="J19" s="6">
        <f t="shared" si="6"/>
        <v>4990.3599999999997</v>
      </c>
      <c r="K19" s="6" t="str" cm="1">
        <f t="array" ref="K19">INDEX({"Amit","Neha","Riya","Karan","Pooja","Rahul","Meera","Vikram"},MOD(ROW()-2,8)+1)</f>
        <v>Neha</v>
      </c>
      <c r="L19" s="6" t="str" cm="1">
        <f t="array" ref="L19">INDEX({"UPI","Credit Card","Debit Card","Cash","Net Banking"},MOD(ROW()-2,5)+1)</f>
        <v>Debit Card</v>
      </c>
      <c r="M19" s="10" t="str" cm="1">
        <f t="array" ref="M19">INDEX({"Retail","Corporate","Education","Small Business"},MOD(ROW()-2,4)+1)</f>
        <v>Corporate</v>
      </c>
    </row>
    <row r="20" spans="1:13" x14ac:dyDescent="0.3">
      <c r="A20" s="5" t="str">
        <f t="shared" si="0"/>
        <v>CUST0019</v>
      </c>
      <c r="B20" s="6" t="str" cm="1">
        <f t="array" ref="B20">INDEX({"Aarav","Vivaan","Aditya","Arjun","Kabir","Rohan","Ananya","Diya","Ishita","Meera","Riya","Pooja","Neha","Kavya","Aisha","Priya","Rahul","Karan","Vikram","Sahil"},MOD(ROW()-2,20)+1)&amp;" "&amp;INDEX({"Shah","Patel","Mehta","Desai","Joshi","Gupta","Verma","Sharma","Trivedi","Rana","Mishra","Kapoor","Iyer","Nair","Singh"},MOD(INT((ROW()-2)/20),15)+1)</f>
        <v>Vikram Shah</v>
      </c>
      <c r="C20" s="6" t="str" cm="1">
        <f t="array" ref="C20">INDEX({"North","South","East","West","Central"},MOD(ROW()-2,5)+1)</f>
        <v>West</v>
      </c>
      <c r="D20" s="6" t="str" cm="1">
        <f t="array" ref="D20">INDEX({"Electronics","Clothing","Furniture","Books","Office Supplies"},MOD(ROW()-2,5)+1)</f>
        <v>Books</v>
      </c>
      <c r="E20" s="6">
        <f t="shared" si="8"/>
        <v>2966</v>
      </c>
      <c r="F20" s="6">
        <f t="shared" si="2"/>
        <v>6</v>
      </c>
      <c r="G20" s="7">
        <f t="shared" si="3"/>
        <v>0.05</v>
      </c>
      <c r="H20" s="8">
        <f t="shared" si="7"/>
        <v>45676</v>
      </c>
      <c r="I20" s="9">
        <f t="shared" si="5"/>
        <v>16906.2</v>
      </c>
      <c r="J20" s="6">
        <f t="shared" si="6"/>
        <v>3381.24</v>
      </c>
      <c r="K20" s="6" t="str" cm="1">
        <f t="array" ref="K20">INDEX({"Amit","Neha","Riya","Karan","Pooja","Rahul","Meera","Vikram"},MOD(ROW()-2,8)+1)</f>
        <v>Riya</v>
      </c>
      <c r="L20" s="6" t="str" cm="1">
        <f t="array" ref="L20">INDEX({"UPI","Credit Card","Debit Card","Cash","Net Banking"},MOD(ROW()-2,5)+1)</f>
        <v>Cash</v>
      </c>
      <c r="M20" s="10" t="str" cm="1">
        <f t="array" ref="M20">INDEX({"Retail","Corporate","Education","Small Business"},MOD(ROW()-2,4)+1)</f>
        <v>Education</v>
      </c>
    </row>
    <row r="21" spans="1:13" x14ac:dyDescent="0.3">
      <c r="A21" s="5" t="str">
        <f t="shared" si="0"/>
        <v>CUST0020</v>
      </c>
      <c r="B21" s="6" t="str" cm="1">
        <f t="array" ref="B21">INDEX({"Aarav","Vivaan","Aditya","Arjun","Kabir","Rohan","Ananya","Diya","Ishita","Meera","Riya","Pooja","Neha","Kavya","Aisha","Priya","Rahul","Karan","Vikram","Sahil"},MOD(ROW()-2,20)+1)&amp;" "&amp;INDEX({"Shah","Patel","Mehta","Desai","Joshi","Gupta","Verma","Sharma","Trivedi","Rana","Mishra","Kapoor","Iyer","Nair","Singh"},MOD(INT((ROW()-2)/20),15)+1)</f>
        <v>Sahil Shah</v>
      </c>
      <c r="C21" s="6" t="str" cm="1">
        <f t="array" ref="C21">INDEX({"North","South","East","West","Central"},MOD(ROW()-2,5)+1)</f>
        <v>Central</v>
      </c>
      <c r="D21" s="6" t="str" cm="1">
        <f t="array" ref="D21">INDEX({"Electronics","Clothing","Furniture","Books","Office Supplies"},MOD(ROW()-2,5)+1)</f>
        <v>Office Supplies</v>
      </c>
      <c r="E21" s="6">
        <f t="shared" si="8"/>
        <v>3103</v>
      </c>
      <c r="F21" s="6">
        <f t="shared" si="2"/>
        <v>2</v>
      </c>
      <c r="G21" s="7">
        <f t="shared" si="3"/>
        <v>0.08</v>
      </c>
      <c r="H21" s="8">
        <f t="shared" si="7"/>
        <v>45677</v>
      </c>
      <c r="I21" s="9">
        <f t="shared" si="5"/>
        <v>5709.52</v>
      </c>
      <c r="J21" s="6">
        <f t="shared" si="6"/>
        <v>1256.0899999999999</v>
      </c>
      <c r="K21" s="6" t="str" cm="1">
        <f t="array" ref="K21">INDEX({"Amit","Neha","Riya","Karan","Pooja","Rahul","Meera","Vikram"},MOD(ROW()-2,8)+1)</f>
        <v>Karan</v>
      </c>
      <c r="L21" s="6" t="str" cm="1">
        <f t="array" ref="L21">INDEX({"UPI","Credit Card","Debit Card","Cash","Net Banking"},MOD(ROW()-2,5)+1)</f>
        <v>Net Banking</v>
      </c>
      <c r="M21" s="10" t="str" cm="1">
        <f t="array" ref="M21">INDEX({"Retail","Corporate","Education","Small Business"},MOD(ROW()-2,4)+1)</f>
        <v>Small Business</v>
      </c>
    </row>
    <row r="22" spans="1:13" x14ac:dyDescent="0.3">
      <c r="A22" s="5" t="str">
        <f t="shared" si="0"/>
        <v>CUST0021</v>
      </c>
      <c r="B22" s="6" t="str" cm="1">
        <f t="array" ref="B22">INDEX({"Aarav","Vivaan","Aditya","Arjun","Kabir","Rohan","Ananya","Diya","Ishita","Meera","Riya","Pooja","Neha","Kavya","Aisha","Priya","Rahul","Karan","Vikram","Sahil"},MOD(ROW()-2,20)+1)&amp;" "&amp;INDEX({"Shah","Patel","Mehta","Desai","Joshi","Gupta","Verma","Sharma","Trivedi","Rana","Mishra","Kapoor","Iyer","Nair","Singh"},MOD(INT((ROW()-2)/20),15)+1)</f>
        <v>Aarav Patel</v>
      </c>
      <c r="C22" s="6" t="str" cm="1">
        <f t="array" ref="C22">INDEX({"North","South","East","West","Central"},MOD(ROW()-2,5)+1)</f>
        <v>North</v>
      </c>
      <c r="D22" s="6" t="str" cm="1">
        <f t="array" ref="D22">INDEX({"Electronics","Clothing","Furniture","Books","Office Supplies"},MOD(ROW()-2,5)+1)</f>
        <v>Electronics</v>
      </c>
      <c r="E22" s="6">
        <f t="shared" si="8"/>
        <v>3240</v>
      </c>
      <c r="F22" s="6">
        <f t="shared" si="2"/>
        <v>9</v>
      </c>
      <c r="G22" s="7">
        <f t="shared" si="3"/>
        <v>0.1</v>
      </c>
      <c r="H22" s="8">
        <f t="shared" si="7"/>
        <v>45678</v>
      </c>
      <c r="I22" s="9">
        <f t="shared" si="5"/>
        <v>26244</v>
      </c>
      <c r="J22" s="6">
        <f t="shared" si="6"/>
        <v>6298.56</v>
      </c>
      <c r="K22" s="6" t="str" cm="1">
        <f t="array" ref="K22">INDEX({"Amit","Neha","Riya","Karan","Pooja","Rahul","Meera","Vikram"},MOD(ROW()-2,8)+1)</f>
        <v>Pooja</v>
      </c>
      <c r="L22" s="6" t="str" cm="1">
        <f t="array" ref="L22">INDEX({"UPI","Credit Card","Debit Card","Cash","Net Banking"},MOD(ROW()-2,5)+1)</f>
        <v>UPI</v>
      </c>
      <c r="M22" s="10" t="str" cm="1">
        <f t="array" ref="M22">INDEX({"Retail","Corporate","Education","Small Business"},MOD(ROW()-2,4)+1)</f>
        <v>Retail</v>
      </c>
    </row>
    <row r="23" spans="1:13" x14ac:dyDescent="0.3">
      <c r="A23" s="5" t="str">
        <f t="shared" si="0"/>
        <v>CUST0022</v>
      </c>
      <c r="B23" s="6" t="str" cm="1">
        <f t="array" ref="B23">INDEX({"Aarav","Vivaan","Aditya","Arjun","Kabir","Rohan","Ananya","Diya","Ishita","Meera","Riya","Pooja","Neha","Kavya","Aisha","Priya","Rahul","Karan","Vikram","Sahil"},MOD(ROW()-2,20)+1)&amp;" "&amp;INDEX({"Shah","Patel","Mehta","Desai","Joshi","Gupta","Verma","Sharma","Trivedi","Rana","Mishra","Kapoor","Iyer","Nair","Singh"},MOD(INT((ROW()-2)/20),15)+1)</f>
        <v>Vivaan Patel</v>
      </c>
      <c r="C23" s="6" t="str" cm="1">
        <f t="array" ref="C23">INDEX({"North","South","East","West","Central"},MOD(ROW()-2,5)+1)</f>
        <v>South</v>
      </c>
      <c r="D23" s="6" t="str" cm="1">
        <f t="array" ref="D23">INDEX({"Electronics","Clothing","Furniture","Books","Office Supplies"},MOD(ROW()-2,5)+1)</f>
        <v>Clothing</v>
      </c>
      <c r="E23" s="6">
        <f t="shared" si="8"/>
        <v>3377</v>
      </c>
      <c r="F23" s="6">
        <f t="shared" si="2"/>
        <v>5</v>
      </c>
      <c r="G23" s="7">
        <f t="shared" si="3"/>
        <v>0.12</v>
      </c>
      <c r="H23" s="8">
        <f t="shared" si="7"/>
        <v>45679</v>
      </c>
      <c r="I23" s="9">
        <f t="shared" si="5"/>
        <v>14858.8</v>
      </c>
      <c r="J23" s="6">
        <f t="shared" si="6"/>
        <v>3863.29</v>
      </c>
      <c r="K23" s="6" t="str" cm="1">
        <f t="array" ref="K23">INDEX({"Amit","Neha","Riya","Karan","Pooja","Rahul","Meera","Vikram"},MOD(ROW()-2,8)+1)</f>
        <v>Rahul</v>
      </c>
      <c r="L23" s="6" t="str" cm="1">
        <f t="array" ref="L23">INDEX({"UPI","Credit Card","Debit Card","Cash","Net Banking"},MOD(ROW()-2,5)+1)</f>
        <v>Credit Card</v>
      </c>
      <c r="M23" s="10" t="str" cm="1">
        <f t="array" ref="M23">INDEX({"Retail","Corporate","Education","Small Business"},MOD(ROW()-2,4)+1)</f>
        <v>Corporate</v>
      </c>
    </row>
    <row r="24" spans="1:13" x14ac:dyDescent="0.3">
      <c r="A24" s="5" t="str">
        <f t="shared" si="0"/>
        <v>CUST0023</v>
      </c>
      <c r="B24" s="6" t="str" cm="1">
        <f t="array" ref="B24">INDEX({"Aarav","Vivaan","Aditya","Arjun","Kabir","Rohan","Ananya","Diya","Ishita","Meera","Riya","Pooja","Neha","Kavya","Aisha","Priya","Rahul","Karan","Vikram","Sahil"},MOD(ROW()-2,20)+1)&amp;" "&amp;INDEX({"Shah","Patel","Mehta","Desai","Joshi","Gupta","Verma","Sharma","Trivedi","Rana","Mishra","Kapoor","Iyer","Nair","Singh"},MOD(INT((ROW()-2)/20),15)+1)</f>
        <v>Aditya Patel</v>
      </c>
      <c r="C24" s="6" t="str" cm="1">
        <f t="array" ref="C24">INDEX({"North","South","East","West","Central"},MOD(ROW()-2,5)+1)</f>
        <v>East</v>
      </c>
      <c r="D24" s="6" t="str" cm="1">
        <f t="array" ref="D24">INDEX({"Electronics","Clothing","Furniture","Books","Office Supplies"},MOD(ROW()-2,5)+1)</f>
        <v>Furniture</v>
      </c>
      <c r="E24" s="6">
        <f t="shared" si="8"/>
        <v>3514</v>
      </c>
      <c r="F24" s="6">
        <f t="shared" si="2"/>
        <v>1</v>
      </c>
      <c r="G24" s="7">
        <f t="shared" si="3"/>
        <v>0.15</v>
      </c>
      <c r="H24" s="8">
        <f t="shared" si="7"/>
        <v>45680</v>
      </c>
      <c r="I24" s="9">
        <f t="shared" si="5"/>
        <v>2986.9</v>
      </c>
      <c r="J24" s="6">
        <f t="shared" si="6"/>
        <v>836.33</v>
      </c>
      <c r="K24" s="6" t="str" cm="1">
        <f t="array" ref="K24">INDEX({"Amit","Neha","Riya","Karan","Pooja","Rahul","Meera","Vikram"},MOD(ROW()-2,8)+1)</f>
        <v>Meera</v>
      </c>
      <c r="L24" s="6" t="str" cm="1">
        <f t="array" ref="L24">INDEX({"UPI","Credit Card","Debit Card","Cash","Net Banking"},MOD(ROW()-2,5)+1)</f>
        <v>Debit Card</v>
      </c>
      <c r="M24" s="10" t="str" cm="1">
        <f t="array" ref="M24">INDEX({"Retail","Corporate","Education","Small Business"},MOD(ROW()-2,4)+1)</f>
        <v>Education</v>
      </c>
    </row>
    <row r="25" spans="1:13" x14ac:dyDescent="0.3">
      <c r="A25" s="5" t="str">
        <f t="shared" si="0"/>
        <v>CUST0024</v>
      </c>
      <c r="B25" s="6" t="str" cm="1">
        <f t="array" ref="B25">INDEX({"Aarav","Vivaan","Aditya","Arjun","Kabir","Rohan","Ananya","Diya","Ishita","Meera","Riya","Pooja","Neha","Kavya","Aisha","Priya","Rahul","Karan","Vikram","Sahil"},MOD(ROW()-2,20)+1)&amp;" "&amp;INDEX({"Shah","Patel","Mehta","Desai","Joshi","Gupta","Verma","Sharma","Trivedi","Rana","Mishra","Kapoor","Iyer","Nair","Singh"},MOD(INT((ROW()-2)/20),15)+1)</f>
        <v>Arjun Patel</v>
      </c>
      <c r="C25" s="6" t="str" cm="1">
        <f t="array" ref="C25">INDEX({"North","South","East","West","Central"},MOD(ROW()-2,5)+1)</f>
        <v>West</v>
      </c>
      <c r="D25" s="6" t="str" cm="1">
        <f t="array" ref="D25">INDEX({"Electronics","Clothing","Furniture","Books","Office Supplies"},MOD(ROW()-2,5)+1)</f>
        <v>Books</v>
      </c>
      <c r="E25" s="6">
        <f t="shared" si="8"/>
        <v>3651</v>
      </c>
      <c r="F25" s="6">
        <v>9</v>
      </c>
      <c r="G25" s="7">
        <f t="shared" si="3"/>
        <v>0.2</v>
      </c>
      <c r="H25" s="8">
        <f t="shared" si="7"/>
        <v>45681</v>
      </c>
      <c r="I25" s="9">
        <f t="shared" si="5"/>
        <v>26287.200000000001</v>
      </c>
      <c r="J25" s="6">
        <f t="shared" si="6"/>
        <v>7886.16</v>
      </c>
      <c r="K25" s="6" t="str" cm="1">
        <f t="array" ref="K25">INDEX({"Amit","Neha","Riya","Karan","Pooja","Rahul","Meera","Vikram"},MOD(ROW()-2,8)+1)</f>
        <v>Vikram</v>
      </c>
      <c r="L25" s="6" t="str" cm="1">
        <f t="array" ref="L25">INDEX({"UPI","Credit Card","Debit Card","Cash","Net Banking"},MOD(ROW()-2,5)+1)</f>
        <v>Cash</v>
      </c>
      <c r="M25" s="10" t="str" cm="1">
        <f t="array" ref="M25">INDEX({"Retail","Corporate","Education","Small Business"},MOD(ROW()-2,4)+1)</f>
        <v>Small Business</v>
      </c>
    </row>
    <row r="26" spans="1:13" x14ac:dyDescent="0.3">
      <c r="A26" s="5" t="str">
        <f t="shared" si="0"/>
        <v>CUST0025</v>
      </c>
      <c r="B26" s="6" t="str" cm="1">
        <f t="array" ref="B26">INDEX({"Aarav","Vivaan","Aditya","Arjun","Kabir","Rohan","Ananya","Diya","Ishita","Meera","Riya","Pooja","Neha","Kavya","Aisha","Priya","Rahul","Karan","Vikram","Sahil"},MOD(ROW()-2,20)+1)&amp;" "&amp;INDEX({"Shah","Patel","Mehta","Desai","Joshi","Gupta","Verma","Sharma","Trivedi","Rana","Mishra","Kapoor","Iyer","Nair","Singh"},MOD(INT((ROW()-2)/20),15)+1)</f>
        <v>Kabir Patel</v>
      </c>
      <c r="C26" s="6" t="str" cm="1">
        <f t="array" ref="C26">INDEX({"North","South","East","West","Central"},MOD(ROW()-2,5)+1)</f>
        <v>Central</v>
      </c>
      <c r="D26" s="6" t="str" cm="1">
        <f t="array" ref="D26">INDEX({"Electronics","Clothing","Furniture","Books","Office Supplies"},MOD(ROW()-2,5)+1)</f>
        <v>Office Supplies</v>
      </c>
      <c r="E26" s="6">
        <f t="shared" si="8"/>
        <v>3788</v>
      </c>
      <c r="F26" s="6">
        <f t="shared" ref="F26:F57" si="9">MOD((ROW()-2)*7,11)+1</f>
        <v>4</v>
      </c>
      <c r="G26" s="7">
        <f t="shared" si="3"/>
        <v>0</v>
      </c>
      <c r="H26" s="8">
        <f t="shared" si="7"/>
        <v>45682</v>
      </c>
      <c r="I26" s="9">
        <f t="shared" si="5"/>
        <v>15152</v>
      </c>
      <c r="J26" s="6">
        <f t="shared" si="6"/>
        <v>1212.1600000000001</v>
      </c>
      <c r="K26" s="6" t="str" cm="1">
        <f t="array" ref="K26">INDEX({"Amit","Neha","Riya","Karan","Pooja","Rahul","Meera","Vikram"},MOD(ROW()-2,8)+1)</f>
        <v>Amit</v>
      </c>
      <c r="L26" s="6" t="str" cm="1">
        <f t="array" ref="L26">INDEX({"UPI","Credit Card","Debit Card","Cash","Net Banking"},MOD(ROW()-2,5)+1)</f>
        <v>Net Banking</v>
      </c>
      <c r="M26" s="10" t="str" cm="1">
        <f t="array" ref="M26">INDEX({"Retail","Corporate","Education","Small Business"},MOD(ROW()-2,4)+1)</f>
        <v>Retail</v>
      </c>
    </row>
    <row r="27" spans="1:13" x14ac:dyDescent="0.3">
      <c r="A27" s="5" t="str">
        <f t="shared" si="0"/>
        <v>CUST0026</v>
      </c>
      <c r="B27" s="6" t="str" cm="1">
        <f t="array" ref="B27">INDEX({"Aarav","Vivaan","Aditya","Arjun","Kabir","Rohan","Ananya","Diya","Ishita","Meera","Riya","Pooja","Neha","Kavya","Aisha","Priya","Rahul","Karan","Vikram","Sahil"},MOD(ROW()-2,20)+1)&amp;" "&amp;INDEX({"Shah","Patel","Mehta","Desai","Joshi","Gupta","Verma","Sharma","Trivedi","Rana","Mishra","Kapoor","Iyer","Nair","Singh"},MOD(INT((ROW()-2)/20),15)+1)</f>
        <v>Rohan Patel</v>
      </c>
      <c r="C27" s="6" t="str" cm="1">
        <f t="array" ref="C27">INDEX({"North","South","East","West","Central"},MOD(ROW()-2,5)+1)</f>
        <v>North</v>
      </c>
      <c r="D27" s="6" t="str" cm="1">
        <f t="array" ref="D27">INDEX({"Electronics","Clothing","Furniture","Books","Office Supplies"},MOD(ROW()-2,5)+1)</f>
        <v>Electronics</v>
      </c>
      <c r="E27" s="6">
        <f t="shared" si="8"/>
        <v>3925</v>
      </c>
      <c r="F27" s="6">
        <f t="shared" si="9"/>
        <v>11</v>
      </c>
      <c r="G27" s="7">
        <f t="shared" si="3"/>
        <v>0.02</v>
      </c>
      <c r="H27" s="8">
        <f t="shared" si="7"/>
        <v>45683</v>
      </c>
      <c r="I27" s="9">
        <f t="shared" si="5"/>
        <v>42311.5</v>
      </c>
      <c r="J27" s="6">
        <f t="shared" si="6"/>
        <v>4231.1499999999996</v>
      </c>
      <c r="K27" s="6" t="str" cm="1">
        <f t="array" ref="K27">INDEX({"Amit","Neha","Riya","Karan","Pooja","Rahul","Meera","Vikram"},MOD(ROW()-2,8)+1)</f>
        <v>Neha</v>
      </c>
      <c r="L27" s="6" t="str" cm="1">
        <f t="array" ref="L27">INDEX({"UPI","Credit Card","Debit Card","Cash","Net Banking"},MOD(ROW()-2,5)+1)</f>
        <v>UPI</v>
      </c>
      <c r="M27" s="10" t="str" cm="1">
        <f t="array" ref="M27">INDEX({"Retail","Corporate","Education","Small Business"},MOD(ROW()-2,4)+1)</f>
        <v>Corporate</v>
      </c>
    </row>
    <row r="28" spans="1:13" x14ac:dyDescent="0.3">
      <c r="A28" s="5" t="str">
        <f t="shared" si="0"/>
        <v>CUST0027</v>
      </c>
      <c r="B28" s="6" t="str" cm="1">
        <f t="array" ref="B28">INDEX({"Aarav","Vivaan","Aditya","Arjun","Kabir","Rohan","Ananya","Diya","Ishita","Meera","Riya","Pooja","Neha","Kavya","Aisha","Priya","Rahul","Karan","Vikram","Sahil"},MOD(ROW()-2,20)+1)&amp;" "&amp;INDEX({"Shah","Patel","Mehta","Desai","Joshi","Gupta","Verma","Sharma","Trivedi","Rana","Mishra","Kapoor","Iyer","Nair","Singh"},MOD(INT((ROW()-2)/20),15)+1)</f>
        <v>Ananya Patel</v>
      </c>
      <c r="C28" s="6" t="str" cm="1">
        <f t="array" ref="C28">INDEX({"North","South","East","West","Central"},MOD(ROW()-2,5)+1)</f>
        <v>South</v>
      </c>
      <c r="D28" s="6" t="str" cm="1">
        <f t="array" ref="D28">INDEX({"Electronics","Clothing","Furniture","Books","Office Supplies"},MOD(ROW()-2,5)+1)</f>
        <v>Clothing</v>
      </c>
      <c r="E28" s="6">
        <f t="shared" si="8"/>
        <v>4062</v>
      </c>
      <c r="F28" s="6">
        <f t="shared" si="9"/>
        <v>7</v>
      </c>
      <c r="G28" s="7">
        <f t="shared" si="3"/>
        <v>0.05</v>
      </c>
      <c r="H28" s="8">
        <f t="shared" si="7"/>
        <v>45684</v>
      </c>
      <c r="I28" s="9">
        <f t="shared" si="5"/>
        <v>27012.3</v>
      </c>
      <c r="J28" s="6">
        <f t="shared" si="6"/>
        <v>3241.48</v>
      </c>
      <c r="K28" s="6" t="str" cm="1">
        <f t="array" ref="K28">INDEX({"Amit","Neha","Riya","Karan","Pooja","Rahul","Meera","Vikram"},MOD(ROW()-2,8)+1)</f>
        <v>Riya</v>
      </c>
      <c r="L28" s="6" t="str" cm="1">
        <f t="array" ref="L28">INDEX({"UPI","Credit Card","Debit Card","Cash","Net Banking"},MOD(ROW()-2,5)+1)</f>
        <v>Credit Card</v>
      </c>
      <c r="M28" s="10" t="str" cm="1">
        <f t="array" ref="M28">INDEX({"Retail","Corporate","Education","Small Business"},MOD(ROW()-2,4)+1)</f>
        <v>Education</v>
      </c>
    </row>
    <row r="29" spans="1:13" x14ac:dyDescent="0.3">
      <c r="A29" s="5" t="str">
        <f t="shared" si="0"/>
        <v>CUST0028</v>
      </c>
      <c r="B29" s="6" t="str" cm="1">
        <f t="array" ref="B29">INDEX({"Aarav","Vivaan","Aditya","Arjun","Kabir","Rohan","Ananya","Diya","Ishita","Meera","Riya","Pooja","Neha","Kavya","Aisha","Priya","Rahul","Karan","Vikram","Sahil"},MOD(ROW()-2,20)+1)&amp;" "&amp;INDEX({"Shah","Patel","Mehta","Desai","Joshi","Gupta","Verma","Sharma","Trivedi","Rana","Mishra","Kapoor","Iyer","Nair","Singh"},MOD(INT((ROW()-2)/20),15)+1)</f>
        <v>Diya Patel</v>
      </c>
      <c r="C29" s="6" t="str" cm="1">
        <f t="array" ref="C29">INDEX({"North","South","East","West","Central"},MOD(ROW()-2,5)+1)</f>
        <v>East</v>
      </c>
      <c r="D29" s="6" t="str" cm="1">
        <f t="array" ref="D29">INDEX({"Electronics","Clothing","Furniture","Books","Office Supplies"},MOD(ROW()-2,5)+1)</f>
        <v>Furniture</v>
      </c>
      <c r="E29" s="6">
        <f t="shared" si="8"/>
        <v>4199</v>
      </c>
      <c r="F29" s="6">
        <f t="shared" si="9"/>
        <v>3</v>
      </c>
      <c r="G29" s="7">
        <f t="shared" si="3"/>
        <v>0.08</v>
      </c>
      <c r="H29" s="8">
        <f t="shared" si="7"/>
        <v>45685</v>
      </c>
      <c r="I29" s="9">
        <f t="shared" si="5"/>
        <v>11589.24</v>
      </c>
      <c r="J29" s="6">
        <f t="shared" si="6"/>
        <v>1622.49</v>
      </c>
      <c r="K29" s="6" t="str" cm="1">
        <f t="array" ref="K29">INDEX({"Amit","Neha","Riya","Karan","Pooja","Rahul","Meera","Vikram"},MOD(ROW()-2,8)+1)</f>
        <v>Karan</v>
      </c>
      <c r="L29" s="6" t="str" cm="1">
        <f t="array" ref="L29">INDEX({"UPI","Credit Card","Debit Card","Cash","Net Banking"},MOD(ROW()-2,5)+1)</f>
        <v>Debit Card</v>
      </c>
      <c r="M29" s="10" t="str" cm="1">
        <f t="array" ref="M29">INDEX({"Retail","Corporate","Education","Small Business"},MOD(ROW()-2,4)+1)</f>
        <v>Small Business</v>
      </c>
    </row>
    <row r="30" spans="1:13" x14ac:dyDescent="0.3">
      <c r="A30" s="5" t="str">
        <f t="shared" si="0"/>
        <v>CUST0029</v>
      </c>
      <c r="B30" s="6" t="str" cm="1">
        <f t="array" ref="B30">INDEX({"Aarav","Vivaan","Aditya","Arjun","Kabir","Rohan","Ananya","Diya","Ishita","Meera","Riya","Pooja","Neha","Kavya","Aisha","Priya","Rahul","Karan","Vikram","Sahil"},MOD(ROW()-2,20)+1)&amp;" "&amp;INDEX({"Shah","Patel","Mehta","Desai","Joshi","Gupta","Verma","Sharma","Trivedi","Rana","Mishra","Kapoor","Iyer","Nair","Singh"},MOD(INT((ROW()-2)/20),15)+1)</f>
        <v>Ishita Patel</v>
      </c>
      <c r="C30" s="6" t="str" cm="1">
        <f t="array" ref="C30">INDEX({"North","South","East","West","Central"},MOD(ROW()-2,5)+1)</f>
        <v>West</v>
      </c>
      <c r="D30" s="6" t="str" cm="1">
        <f t="array" ref="D30">INDEX({"Electronics","Clothing","Furniture","Books","Office Supplies"},MOD(ROW()-2,5)+1)</f>
        <v>Books</v>
      </c>
      <c r="E30" s="6">
        <f t="shared" si="8"/>
        <v>4336</v>
      </c>
      <c r="F30" s="6">
        <f t="shared" si="9"/>
        <v>10</v>
      </c>
      <c r="G30" s="7">
        <f t="shared" si="3"/>
        <v>0.1</v>
      </c>
      <c r="H30" s="8">
        <f t="shared" si="7"/>
        <v>45686</v>
      </c>
      <c r="I30" s="9">
        <f t="shared" si="5"/>
        <v>39024</v>
      </c>
      <c r="J30" s="6">
        <f t="shared" si="6"/>
        <v>6243.84</v>
      </c>
      <c r="K30" s="6" t="str" cm="1">
        <f t="array" ref="K30">INDEX({"Amit","Neha","Riya","Karan","Pooja","Rahul","Meera","Vikram"},MOD(ROW()-2,8)+1)</f>
        <v>Pooja</v>
      </c>
      <c r="L30" s="6" t="str" cm="1">
        <f t="array" ref="L30">INDEX({"UPI","Credit Card","Debit Card","Cash","Net Banking"},MOD(ROW()-2,5)+1)</f>
        <v>Cash</v>
      </c>
      <c r="M30" s="10" t="str" cm="1">
        <f t="array" ref="M30">INDEX({"Retail","Corporate","Education","Small Business"},MOD(ROW()-2,4)+1)</f>
        <v>Retail</v>
      </c>
    </row>
    <row r="31" spans="1:13" x14ac:dyDescent="0.3">
      <c r="A31" s="5" t="str">
        <f t="shared" si="0"/>
        <v>CUST0030</v>
      </c>
      <c r="B31" s="6" t="str" cm="1">
        <f t="array" ref="B31">INDEX({"Aarav","Vivaan","Aditya","Arjun","Kabir","Rohan","Ananya","Diya","Ishita","Meera","Riya","Pooja","Neha","Kavya","Aisha","Priya","Rahul","Karan","Vikram","Sahil"},MOD(ROW()-2,20)+1)&amp;" "&amp;INDEX({"Shah","Patel","Mehta","Desai","Joshi","Gupta","Verma","Sharma","Trivedi","Rana","Mishra","Kapoor","Iyer","Nair","Singh"},MOD(INT((ROW()-2)/20),15)+1)</f>
        <v>Meera Patel</v>
      </c>
      <c r="C31" s="6" t="str" cm="1">
        <f t="array" ref="C31">INDEX({"North","South","East","West","Central"},MOD(ROW()-2,5)+1)</f>
        <v>Central</v>
      </c>
      <c r="D31" s="6" t="str" cm="1">
        <f t="array" ref="D31">INDEX({"Electronics","Clothing","Furniture","Books","Office Supplies"},MOD(ROW()-2,5)+1)</f>
        <v>Office Supplies</v>
      </c>
      <c r="E31" s="6">
        <f t="shared" si="8"/>
        <v>4473</v>
      </c>
      <c r="F31" s="6">
        <f t="shared" si="9"/>
        <v>6</v>
      </c>
      <c r="G31" s="7">
        <f t="shared" si="3"/>
        <v>0.12</v>
      </c>
      <c r="H31" s="8">
        <f t="shared" si="7"/>
        <v>45687</v>
      </c>
      <c r="I31" s="9">
        <f t="shared" si="5"/>
        <v>23617.439999999999</v>
      </c>
      <c r="J31" s="6">
        <f t="shared" si="6"/>
        <v>4251.1400000000003</v>
      </c>
      <c r="K31" s="6" t="str" cm="1">
        <f t="array" ref="K31">INDEX({"Amit","Neha","Riya","Karan","Pooja","Rahul","Meera","Vikram"},MOD(ROW()-2,8)+1)</f>
        <v>Rahul</v>
      </c>
      <c r="L31" s="6" t="str" cm="1">
        <f t="array" ref="L31">INDEX({"UPI","Credit Card","Debit Card","Cash","Net Banking"},MOD(ROW()-2,5)+1)</f>
        <v>Net Banking</v>
      </c>
      <c r="M31" s="10" t="str" cm="1">
        <f t="array" ref="M31">INDEX({"Retail","Corporate","Education","Small Business"},MOD(ROW()-2,4)+1)</f>
        <v>Corporate</v>
      </c>
    </row>
    <row r="32" spans="1:13" x14ac:dyDescent="0.3">
      <c r="A32" s="5" t="str">
        <f t="shared" si="0"/>
        <v>CUST0031</v>
      </c>
      <c r="B32" s="6" t="str" cm="1">
        <f t="array" ref="B32">INDEX({"Aarav","Vivaan","Aditya","Arjun","Kabir","Rohan","Ananya","Diya","Ishita","Meera","Riya","Pooja","Neha","Kavya","Aisha","Priya","Rahul","Karan","Vikram","Sahil"},MOD(ROW()-2,20)+1)&amp;" "&amp;INDEX({"Shah","Patel","Mehta","Desai","Joshi","Gupta","Verma","Sharma","Trivedi","Rana","Mishra","Kapoor","Iyer","Nair","Singh"},MOD(INT((ROW()-2)/20),15)+1)</f>
        <v>Riya Patel</v>
      </c>
      <c r="C32" s="6" t="str" cm="1">
        <f t="array" ref="C32">INDEX({"North","South","East","West","Central"},MOD(ROW()-2,5)+1)</f>
        <v>North</v>
      </c>
      <c r="D32" s="6" t="str" cm="1">
        <f t="array" ref="D32">INDEX({"Electronics","Clothing","Furniture","Books","Office Supplies"},MOD(ROW()-2,5)+1)</f>
        <v>Electronics</v>
      </c>
      <c r="E32" s="6">
        <f t="shared" si="8"/>
        <v>4610</v>
      </c>
      <c r="F32" s="6">
        <f t="shared" si="9"/>
        <v>2</v>
      </c>
      <c r="G32" s="7">
        <f t="shared" si="3"/>
        <v>0.15</v>
      </c>
      <c r="H32" s="8">
        <f t="shared" si="7"/>
        <v>45688</v>
      </c>
      <c r="I32" s="9">
        <f t="shared" si="5"/>
        <v>7837</v>
      </c>
      <c r="J32" s="6">
        <f t="shared" si="6"/>
        <v>1567.4</v>
      </c>
      <c r="K32" s="6" t="str" cm="1">
        <f t="array" ref="K32">INDEX({"Amit","Neha","Riya","Karan","Pooja","Rahul","Meera","Vikram"},MOD(ROW()-2,8)+1)</f>
        <v>Meera</v>
      </c>
      <c r="L32" s="6" t="str" cm="1">
        <f t="array" ref="L32">INDEX({"UPI","Credit Card","Debit Card","Cash","Net Banking"},MOD(ROW()-2,5)+1)</f>
        <v>UPI</v>
      </c>
      <c r="M32" s="10" t="str" cm="1">
        <f t="array" ref="M32">INDEX({"Retail","Corporate","Education","Small Business"},MOD(ROW()-2,4)+1)</f>
        <v>Education</v>
      </c>
    </row>
    <row r="33" spans="1:13" x14ac:dyDescent="0.3">
      <c r="A33" s="5" t="str">
        <f t="shared" si="0"/>
        <v>CUST0032</v>
      </c>
      <c r="B33" s="6" t="str" cm="1">
        <f t="array" ref="B33">INDEX({"Aarav","Vivaan","Aditya","Arjun","Kabir","Rohan","Ananya","Diya","Ishita","Meera","Riya","Pooja","Neha","Kavya","Aisha","Priya","Rahul","Karan","Vikram","Sahil"},MOD(ROW()-2,20)+1)&amp;" "&amp;INDEX({"Shah","Patel","Mehta","Desai","Joshi","Gupta","Verma","Sharma","Trivedi","Rana","Mishra","Kapoor","Iyer","Nair","Singh"},MOD(INT((ROW()-2)/20),15)+1)</f>
        <v>Pooja Patel</v>
      </c>
      <c r="C33" s="6" t="str" cm="1">
        <f t="array" ref="C33">INDEX({"North","South","East","West","Central"},MOD(ROW()-2,5)+1)</f>
        <v>South</v>
      </c>
      <c r="D33" s="6" t="str" cm="1">
        <f t="array" ref="D33">INDEX({"Electronics","Clothing","Furniture","Books","Office Supplies"},MOD(ROW()-2,5)+1)</f>
        <v>Clothing</v>
      </c>
      <c r="E33" s="6">
        <f t="shared" si="8"/>
        <v>4747</v>
      </c>
      <c r="F33" s="6">
        <f t="shared" si="9"/>
        <v>9</v>
      </c>
      <c r="G33" s="7">
        <f t="shared" si="3"/>
        <v>0.2</v>
      </c>
      <c r="H33" s="8">
        <f t="shared" si="7"/>
        <v>45689</v>
      </c>
      <c r="I33" s="9">
        <f t="shared" si="5"/>
        <v>34178.400000000001</v>
      </c>
      <c r="J33" s="6">
        <f t="shared" si="6"/>
        <v>7519.25</v>
      </c>
      <c r="K33" s="6" t="str" cm="1">
        <f t="array" ref="K33">INDEX({"Amit","Neha","Riya","Karan","Pooja","Rahul","Meera","Vikram"},MOD(ROW()-2,8)+1)</f>
        <v>Vikram</v>
      </c>
      <c r="L33" s="6" t="str" cm="1">
        <f t="array" ref="L33">INDEX({"UPI","Credit Card","Debit Card","Cash","Net Banking"},MOD(ROW()-2,5)+1)</f>
        <v>Credit Card</v>
      </c>
      <c r="M33" s="10" t="str" cm="1">
        <f t="array" ref="M33">INDEX({"Retail","Corporate","Education","Small Business"},MOD(ROW()-2,4)+1)</f>
        <v>Small Business</v>
      </c>
    </row>
    <row r="34" spans="1:13" x14ac:dyDescent="0.3">
      <c r="A34" s="5" t="str">
        <f t="shared" si="0"/>
        <v>CUST0033</v>
      </c>
      <c r="B34" s="6" t="str" cm="1">
        <f t="array" ref="B34">INDEX({"Aarav","Vivaan","Aditya","Arjun","Kabir","Rohan","Ananya","Diya","Ishita","Meera","Riya","Pooja","Neha","Kavya","Aisha","Priya","Rahul","Karan","Vikram","Sahil"},MOD(ROW()-2,20)+1)&amp;" "&amp;INDEX({"Shah","Patel","Mehta","Desai","Joshi","Gupta","Verma","Sharma","Trivedi","Rana","Mishra","Kapoor","Iyer","Nair","Singh"},MOD(INT((ROW()-2)/20),15)+1)</f>
        <v>Neha Patel</v>
      </c>
      <c r="C34" s="6" t="str" cm="1">
        <f t="array" ref="C34">INDEX({"North","South","East","West","Central"},MOD(ROW()-2,5)+1)</f>
        <v>East</v>
      </c>
      <c r="D34" s="6" t="str" cm="1">
        <f t="array" ref="D34">INDEX({"Electronics","Clothing","Furniture","Books","Office Supplies"},MOD(ROW()-2,5)+1)</f>
        <v>Furniture</v>
      </c>
      <c r="E34" s="6">
        <f t="shared" si="8"/>
        <v>4884</v>
      </c>
      <c r="F34" s="6">
        <f t="shared" si="9"/>
        <v>5</v>
      </c>
      <c r="G34" s="7">
        <f t="shared" ref="G34:G60" si="10">CHOOSE(MOD(ROW()-2,8)+1,0,0.02,0.05,0.08,0.1,0.12,0.15,0.2)</f>
        <v>0</v>
      </c>
      <c r="H34" s="8">
        <f t="shared" si="7"/>
        <v>45690</v>
      </c>
      <c r="I34" s="9">
        <f t="shared" si="5"/>
        <v>24420</v>
      </c>
      <c r="J34" s="6">
        <f t="shared" si="6"/>
        <v>5860.8</v>
      </c>
      <c r="K34" s="6" t="str" cm="1">
        <f t="array" ref="K34">INDEX({"Amit","Neha","Riya","Karan","Pooja","Rahul","Meera","Vikram"},MOD(ROW()-2,8)+1)</f>
        <v>Amit</v>
      </c>
      <c r="L34" s="6" t="str" cm="1">
        <f t="array" ref="L34">INDEX({"UPI","Credit Card","Debit Card","Cash","Net Banking"},MOD(ROW()-2,5)+1)</f>
        <v>Debit Card</v>
      </c>
      <c r="M34" s="10" t="str" cm="1">
        <f t="array" ref="M34">INDEX({"Retail","Corporate","Education","Small Business"},MOD(ROW()-2,4)+1)</f>
        <v>Retail</v>
      </c>
    </row>
    <row r="35" spans="1:13" x14ac:dyDescent="0.3">
      <c r="A35" s="5" t="str">
        <f t="shared" si="0"/>
        <v>CUST0034</v>
      </c>
      <c r="B35" s="6" t="str" cm="1">
        <f t="array" ref="B35">INDEX({"Aarav","Vivaan","Aditya","Arjun","Kabir","Rohan","Ananya","Diya","Ishita","Meera","Riya","Pooja","Neha","Kavya","Aisha","Priya","Rahul","Karan","Vikram","Sahil"},MOD(ROW()-2,20)+1)&amp;" "&amp;INDEX({"Shah","Patel","Mehta","Desai","Joshi","Gupta","Verma","Sharma","Trivedi","Rana","Mishra","Kapoor","Iyer","Nair","Singh"},MOD(INT((ROW()-2)/20),15)+1)</f>
        <v>Kavya Patel</v>
      </c>
      <c r="C35" s="6" t="str" cm="1">
        <f t="array" ref="C35">INDEX({"North","South","East","West","Central"},MOD(ROW()-2,5)+1)</f>
        <v>West</v>
      </c>
      <c r="D35" s="6" t="str" cm="1">
        <f t="array" ref="D35">INDEX({"Electronics","Clothing","Furniture","Books","Office Supplies"},MOD(ROW()-2,5)+1)</f>
        <v>Books</v>
      </c>
      <c r="E35" s="6">
        <f t="shared" si="8"/>
        <v>5021</v>
      </c>
      <c r="F35" s="6">
        <f t="shared" si="9"/>
        <v>1</v>
      </c>
      <c r="G35" s="7">
        <f t="shared" si="10"/>
        <v>0.02</v>
      </c>
      <c r="H35" s="8">
        <f t="shared" si="7"/>
        <v>45691</v>
      </c>
      <c r="I35" s="9">
        <f t="shared" si="5"/>
        <v>4920.58</v>
      </c>
      <c r="J35" s="6">
        <f t="shared" si="6"/>
        <v>1279.3499999999999</v>
      </c>
      <c r="K35" s="6" t="str" cm="1">
        <f t="array" ref="K35">INDEX({"Amit","Neha","Riya","Karan","Pooja","Rahul","Meera","Vikram"},MOD(ROW()-2,8)+1)</f>
        <v>Neha</v>
      </c>
      <c r="L35" s="6" t="str" cm="1">
        <f t="array" ref="L35">INDEX({"UPI","Credit Card","Debit Card","Cash","Net Banking"},MOD(ROW()-2,5)+1)</f>
        <v>Cash</v>
      </c>
      <c r="M35" s="10" t="str" cm="1">
        <f t="array" ref="M35">INDEX({"Retail","Corporate","Education","Small Business"},MOD(ROW()-2,4)+1)</f>
        <v>Corporate</v>
      </c>
    </row>
    <row r="36" spans="1:13" x14ac:dyDescent="0.3">
      <c r="A36" s="5" t="str">
        <f t="shared" si="0"/>
        <v>CUST0035</v>
      </c>
      <c r="B36" s="6" t="str" cm="1">
        <f t="array" ref="B36">INDEX({"Aarav","Vivaan","Aditya","Arjun","Kabir","Rohan","Ananya","Diya","Ishita","Meera","Riya","Pooja","Neha","Kavya","Aisha","Priya","Rahul","Karan","Vikram","Sahil"},MOD(ROW()-2,20)+1)&amp;" "&amp;INDEX({"Shah","Patel","Mehta","Desai","Joshi","Gupta","Verma","Sharma","Trivedi","Rana","Mishra","Kapoor","Iyer","Nair","Singh"},MOD(INT((ROW()-2)/20),15)+1)</f>
        <v>Aisha Patel</v>
      </c>
      <c r="C36" s="6" t="str" cm="1">
        <f t="array" ref="C36">INDEX({"North","South","East","West","Central"},MOD(ROW()-2,5)+1)</f>
        <v>Central</v>
      </c>
      <c r="D36" s="6" t="str" cm="1">
        <f t="array" ref="D36">INDEX({"Electronics","Clothing","Furniture","Books","Office Supplies"},MOD(ROW()-2,5)+1)</f>
        <v>Office Supplies</v>
      </c>
      <c r="E36" s="6">
        <f t="shared" si="8"/>
        <v>5158</v>
      </c>
      <c r="F36" s="6">
        <f t="shared" si="9"/>
        <v>8</v>
      </c>
      <c r="G36" s="7">
        <f t="shared" si="10"/>
        <v>0.05</v>
      </c>
      <c r="H36" s="8">
        <f t="shared" si="7"/>
        <v>45692</v>
      </c>
      <c r="I36" s="9">
        <f t="shared" si="5"/>
        <v>39200.800000000003</v>
      </c>
      <c r="J36" s="6">
        <f t="shared" si="6"/>
        <v>10976.22</v>
      </c>
      <c r="K36" s="6" t="str" cm="1">
        <f t="array" ref="K36">INDEX({"Amit","Neha","Riya","Karan","Pooja","Rahul","Meera","Vikram"},MOD(ROW()-2,8)+1)</f>
        <v>Riya</v>
      </c>
      <c r="L36" s="6" t="str" cm="1">
        <f t="array" ref="L36">INDEX({"UPI","Credit Card","Debit Card","Cash","Net Banking"},MOD(ROW()-2,5)+1)</f>
        <v>Net Banking</v>
      </c>
      <c r="M36" s="10" t="str" cm="1">
        <f t="array" ref="M36">INDEX({"Retail","Corporate","Education","Small Business"},MOD(ROW()-2,4)+1)</f>
        <v>Education</v>
      </c>
    </row>
    <row r="37" spans="1:13" x14ac:dyDescent="0.3">
      <c r="A37" s="5" t="str">
        <f t="shared" si="0"/>
        <v>CUST0036</v>
      </c>
      <c r="B37" s="6" t="str" cm="1">
        <f t="array" ref="B37">INDEX({"Aarav","Vivaan","Aditya","Arjun","Kabir","Rohan","Ananya","Diya","Ishita","Meera","Riya","Pooja","Neha","Kavya","Aisha","Priya","Rahul","Karan","Vikram","Sahil"},MOD(ROW()-2,20)+1)&amp;" "&amp;INDEX({"Shah","Patel","Mehta","Desai","Joshi","Gupta","Verma","Sharma","Trivedi","Rana","Mishra","Kapoor","Iyer","Nair","Singh"},MOD(INT((ROW()-2)/20),15)+1)</f>
        <v>Priya Patel</v>
      </c>
      <c r="C37" s="6" t="str" cm="1">
        <f t="array" ref="C37">INDEX({"North","South","East","West","Central"},MOD(ROW()-2,5)+1)</f>
        <v>North</v>
      </c>
      <c r="D37" s="6" t="str" cm="1">
        <f t="array" ref="D37">INDEX({"Electronics","Clothing","Furniture","Books","Office Supplies"},MOD(ROW()-2,5)+1)</f>
        <v>Electronics</v>
      </c>
      <c r="E37" s="6">
        <f t="shared" si="8"/>
        <v>5295</v>
      </c>
      <c r="F37" s="6">
        <f t="shared" si="9"/>
        <v>4</v>
      </c>
      <c r="G37" s="7">
        <f t="shared" si="10"/>
        <v>0.08</v>
      </c>
      <c r="H37" s="8">
        <f t="shared" si="7"/>
        <v>45693</v>
      </c>
      <c r="I37" s="9">
        <f t="shared" si="5"/>
        <v>19485.599999999999</v>
      </c>
      <c r="J37" s="6">
        <f t="shared" si="6"/>
        <v>5845.68</v>
      </c>
      <c r="K37" s="6" t="str" cm="1">
        <f t="array" ref="K37">INDEX({"Amit","Neha","Riya","Karan","Pooja","Rahul","Meera","Vikram"},MOD(ROW()-2,8)+1)</f>
        <v>Karan</v>
      </c>
      <c r="L37" s="6" t="str" cm="1">
        <f t="array" ref="L37">INDEX({"UPI","Credit Card","Debit Card","Cash","Net Banking"},MOD(ROW()-2,5)+1)</f>
        <v>UPI</v>
      </c>
      <c r="M37" s="10" t="str" cm="1">
        <f t="array" ref="M37">INDEX({"Retail","Corporate","Education","Small Business"},MOD(ROW()-2,4)+1)</f>
        <v>Small Business</v>
      </c>
    </row>
    <row r="38" spans="1:13" x14ac:dyDescent="0.3">
      <c r="A38" s="5" t="str">
        <f t="shared" si="0"/>
        <v>CUST0037</v>
      </c>
      <c r="B38" s="6" t="str" cm="1">
        <f t="array" ref="B38">INDEX({"Aarav","Vivaan","Aditya","Arjun","Kabir","Rohan","Ananya","Diya","Ishita","Meera","Riya","Pooja","Neha","Kavya","Aisha","Priya","Rahul","Karan","Vikram","Sahil"},MOD(ROW()-2,20)+1)&amp;" "&amp;INDEX({"Shah","Patel","Mehta","Desai","Joshi","Gupta","Verma","Sharma","Trivedi","Rana","Mishra","Kapoor","Iyer","Nair","Singh"},MOD(INT((ROW()-2)/20),15)+1)</f>
        <v>Rahul Patel</v>
      </c>
      <c r="C38" s="6" t="str" cm="1">
        <f t="array" ref="C38">INDEX({"North","South","East","West","Central"},MOD(ROW()-2,5)+1)</f>
        <v>South</v>
      </c>
      <c r="D38" s="6" t="str" cm="1">
        <f t="array" ref="D38">INDEX({"Electronics","Clothing","Furniture","Books","Office Supplies"},MOD(ROW()-2,5)+1)</f>
        <v>Clothing</v>
      </c>
      <c r="E38" s="6">
        <f t="shared" si="8"/>
        <v>5432</v>
      </c>
      <c r="F38" s="6">
        <f t="shared" si="9"/>
        <v>11</v>
      </c>
      <c r="G38" s="7">
        <f t="shared" si="10"/>
        <v>0.1</v>
      </c>
      <c r="H38" s="8">
        <f t="shared" si="7"/>
        <v>45694</v>
      </c>
      <c r="I38" s="9">
        <f t="shared" si="5"/>
        <v>53776.800000000003</v>
      </c>
      <c r="J38" s="6">
        <f t="shared" si="6"/>
        <v>4302.1400000000003</v>
      </c>
      <c r="K38" s="6" t="str" cm="1">
        <f t="array" ref="K38">INDEX({"Amit","Neha","Riya","Karan","Pooja","Rahul","Meera","Vikram"},MOD(ROW()-2,8)+1)</f>
        <v>Pooja</v>
      </c>
      <c r="L38" s="6" t="str" cm="1">
        <f t="array" ref="L38">INDEX({"UPI","Credit Card","Debit Card","Cash","Net Banking"},MOD(ROW()-2,5)+1)</f>
        <v>Credit Card</v>
      </c>
      <c r="M38" s="10" t="str" cm="1">
        <f t="array" ref="M38">INDEX({"Retail","Corporate","Education","Small Business"},MOD(ROW()-2,4)+1)</f>
        <v>Retail</v>
      </c>
    </row>
    <row r="39" spans="1:13" x14ac:dyDescent="0.3">
      <c r="A39" s="5" t="str">
        <f t="shared" si="0"/>
        <v>CUST0038</v>
      </c>
      <c r="B39" s="6" t="str" cm="1">
        <f t="array" ref="B39">INDEX({"Aarav","Vivaan","Aditya","Arjun","Kabir","Rohan","Ananya","Diya","Ishita","Meera","Riya","Pooja","Neha","Kavya","Aisha","Priya","Rahul","Karan","Vikram","Sahil"},MOD(ROW()-2,20)+1)&amp;" "&amp;INDEX({"Shah","Patel","Mehta","Desai","Joshi","Gupta","Verma","Sharma","Trivedi","Rana","Mishra","Kapoor","Iyer","Nair","Singh"},MOD(INT((ROW()-2)/20),15)+1)</f>
        <v>Karan Patel</v>
      </c>
      <c r="C39" s="6" t="str" cm="1">
        <f t="array" ref="C39">INDEX({"North","South","East","West","Central"},MOD(ROW()-2,5)+1)</f>
        <v>East</v>
      </c>
      <c r="D39" s="6" t="str" cm="1">
        <f t="array" ref="D39">INDEX({"Electronics","Clothing","Furniture","Books","Office Supplies"},MOD(ROW()-2,5)+1)</f>
        <v>Furniture</v>
      </c>
      <c r="E39" s="6">
        <f t="shared" si="8"/>
        <v>5569</v>
      </c>
      <c r="F39" s="6">
        <f t="shared" si="9"/>
        <v>7</v>
      </c>
      <c r="G39" s="7">
        <f t="shared" si="10"/>
        <v>0.12</v>
      </c>
      <c r="H39" s="8">
        <f t="shared" si="7"/>
        <v>45695</v>
      </c>
      <c r="I39" s="9">
        <f t="shared" si="5"/>
        <v>34305.040000000001</v>
      </c>
      <c r="J39" s="6">
        <f t="shared" si="6"/>
        <v>3430.5</v>
      </c>
      <c r="K39" s="6" t="str" cm="1">
        <f t="array" ref="K39">INDEX({"Amit","Neha","Riya","Karan","Pooja","Rahul","Meera","Vikram"},MOD(ROW()-2,8)+1)</f>
        <v>Rahul</v>
      </c>
      <c r="L39" s="6" t="str" cm="1">
        <f t="array" ref="L39">INDEX({"UPI","Credit Card","Debit Card","Cash","Net Banking"},MOD(ROW()-2,5)+1)</f>
        <v>Debit Card</v>
      </c>
      <c r="M39" s="10" t="str" cm="1">
        <f t="array" ref="M39">INDEX({"Retail","Corporate","Education","Small Business"},MOD(ROW()-2,4)+1)</f>
        <v>Corporate</v>
      </c>
    </row>
    <row r="40" spans="1:13" x14ac:dyDescent="0.3">
      <c r="A40" s="5" t="str">
        <f t="shared" si="0"/>
        <v>CUST0039</v>
      </c>
      <c r="B40" s="6" t="str" cm="1">
        <f t="array" ref="B40">INDEX({"Aarav","Vivaan","Aditya","Arjun","Kabir","Rohan","Ananya","Diya","Ishita","Meera","Riya","Pooja","Neha","Kavya","Aisha","Priya","Rahul","Karan","Vikram","Sahil"},MOD(ROW()-2,20)+1)&amp;" "&amp;INDEX({"Shah","Patel","Mehta","Desai","Joshi","Gupta","Verma","Sharma","Trivedi","Rana","Mishra","Kapoor","Iyer","Nair","Singh"},MOD(INT((ROW()-2)/20),15)+1)</f>
        <v>Vikram Patel</v>
      </c>
      <c r="C40" s="6" t="str" cm="1">
        <f t="array" ref="C40">INDEX({"North","South","East","West","Central"},MOD(ROW()-2,5)+1)</f>
        <v>West</v>
      </c>
      <c r="D40" s="6" t="str" cm="1">
        <f t="array" ref="D40">INDEX({"Electronics","Clothing","Furniture","Books","Office Supplies"},MOD(ROW()-2,5)+1)</f>
        <v>Books</v>
      </c>
      <c r="E40" s="6">
        <f t="shared" si="8"/>
        <v>5706</v>
      </c>
      <c r="F40" s="6">
        <f t="shared" si="9"/>
        <v>3</v>
      </c>
      <c r="G40" s="7">
        <f t="shared" si="10"/>
        <v>0.15</v>
      </c>
      <c r="H40" s="8">
        <f t="shared" si="7"/>
        <v>45696</v>
      </c>
      <c r="I40" s="9">
        <f t="shared" si="5"/>
        <v>14550.3</v>
      </c>
      <c r="J40" s="6">
        <f t="shared" si="6"/>
        <v>1746.04</v>
      </c>
      <c r="K40" s="6" t="str" cm="1">
        <f t="array" ref="K40">INDEX({"Amit","Neha","Riya","Karan","Pooja","Rahul","Meera","Vikram"},MOD(ROW()-2,8)+1)</f>
        <v>Meera</v>
      </c>
      <c r="L40" s="6" t="str" cm="1">
        <f t="array" ref="L40">INDEX({"UPI","Credit Card","Debit Card","Cash","Net Banking"},MOD(ROW()-2,5)+1)</f>
        <v>Cash</v>
      </c>
      <c r="M40" s="10" t="str" cm="1">
        <f t="array" ref="M40">INDEX({"Retail","Corporate","Education","Small Business"},MOD(ROW()-2,4)+1)</f>
        <v>Education</v>
      </c>
    </row>
    <row r="41" spans="1:13" x14ac:dyDescent="0.3">
      <c r="A41" s="5" t="str">
        <f t="shared" si="0"/>
        <v>CUST0040</v>
      </c>
      <c r="B41" s="6" t="str" cm="1">
        <f t="array" ref="B41">INDEX({"Aarav","Vivaan","Aditya","Arjun","Kabir","Rohan","Ananya","Diya","Ishita","Meera","Riya","Pooja","Neha","Kavya","Aisha","Priya","Rahul","Karan","Vikram","Sahil"},MOD(ROW()-2,20)+1)&amp;" "&amp;INDEX({"Shah","Patel","Mehta","Desai","Joshi","Gupta","Verma","Sharma","Trivedi","Rana","Mishra","Kapoor","Iyer","Nair","Singh"},MOD(INT((ROW()-2)/20),15)+1)</f>
        <v>Sahil Patel</v>
      </c>
      <c r="C41" s="6" t="str" cm="1">
        <f t="array" ref="C41">INDEX({"North","South","East","West","Central"},MOD(ROW()-2,5)+1)</f>
        <v>Central</v>
      </c>
      <c r="D41" s="6" t="str" cm="1">
        <f t="array" ref="D41">INDEX({"Electronics","Clothing","Furniture","Books","Office Supplies"},MOD(ROW()-2,5)+1)</f>
        <v>Office Supplies</v>
      </c>
      <c r="E41" s="6">
        <f t="shared" si="8"/>
        <v>5843</v>
      </c>
      <c r="F41" s="6">
        <f t="shared" si="9"/>
        <v>10</v>
      </c>
      <c r="G41" s="7">
        <f t="shared" si="10"/>
        <v>0.2</v>
      </c>
      <c r="H41" s="8">
        <f t="shared" si="7"/>
        <v>45697</v>
      </c>
      <c r="I41" s="9">
        <f t="shared" si="5"/>
        <v>46744</v>
      </c>
      <c r="J41" s="6">
        <f t="shared" si="6"/>
        <v>6544.16</v>
      </c>
      <c r="K41" s="6" t="str" cm="1">
        <f t="array" ref="K41">INDEX({"Amit","Neha","Riya","Karan","Pooja","Rahul","Meera","Vikram"},MOD(ROW()-2,8)+1)</f>
        <v>Vikram</v>
      </c>
      <c r="L41" s="6" t="str" cm="1">
        <f t="array" ref="L41">INDEX({"UPI","Credit Card","Debit Card","Cash","Net Banking"},MOD(ROW()-2,5)+1)</f>
        <v>Net Banking</v>
      </c>
      <c r="M41" s="10" t="str" cm="1">
        <f t="array" ref="M41">INDEX({"Retail","Corporate","Education","Small Business"},MOD(ROW()-2,4)+1)</f>
        <v>Small Business</v>
      </c>
    </row>
    <row r="42" spans="1:13" x14ac:dyDescent="0.3">
      <c r="A42" s="5" t="str">
        <f t="shared" si="0"/>
        <v>CUST0041</v>
      </c>
      <c r="B42" s="6" t="str" cm="1">
        <f t="array" ref="B42">INDEX({"Aarav","Vivaan","Aditya","Arjun","Kabir","Rohan","Ananya","Diya","Ishita","Meera","Riya","Pooja","Neha","Kavya","Aisha","Priya","Rahul","Karan","Vikram","Sahil"},MOD(ROW()-2,20)+1)&amp;" "&amp;INDEX({"Shah","Patel","Mehta","Desai","Joshi","Gupta","Verma","Sharma","Trivedi","Rana","Mishra","Kapoor","Iyer","Nair","Singh"},MOD(INT((ROW()-2)/20),15)+1)</f>
        <v>Aarav Mehta</v>
      </c>
      <c r="C42" s="6" t="str" cm="1">
        <f t="array" ref="C42">INDEX({"North","South","East","West","Central"},MOD(ROW()-2,5)+1)</f>
        <v>North</v>
      </c>
      <c r="D42" s="6" t="str" cm="1">
        <f t="array" ref="D42">INDEX({"Electronics","Clothing","Furniture","Books","Office Supplies"},MOD(ROW()-2,5)+1)</f>
        <v>Electronics</v>
      </c>
      <c r="E42" s="6">
        <f t="shared" si="8"/>
        <v>5980</v>
      </c>
      <c r="F42" s="6">
        <f t="shared" si="9"/>
        <v>6</v>
      </c>
      <c r="G42" s="7">
        <f t="shared" si="10"/>
        <v>0</v>
      </c>
      <c r="H42" s="8">
        <f t="shared" si="7"/>
        <v>45698</v>
      </c>
      <c r="I42" s="9">
        <f t="shared" si="5"/>
        <v>35880</v>
      </c>
      <c r="J42" s="6">
        <f t="shared" si="6"/>
        <v>5740.8</v>
      </c>
      <c r="K42" s="6" t="str" cm="1">
        <f t="array" ref="K42">INDEX({"Amit","Neha","Riya","Karan","Pooja","Rahul","Meera","Vikram"},MOD(ROW()-2,8)+1)</f>
        <v>Amit</v>
      </c>
      <c r="L42" s="6" t="str" cm="1">
        <f t="array" ref="L42">INDEX({"UPI","Credit Card","Debit Card","Cash","Net Banking"},MOD(ROW()-2,5)+1)</f>
        <v>UPI</v>
      </c>
      <c r="M42" s="10" t="str" cm="1">
        <f t="array" ref="M42">INDEX({"Retail","Corporate","Education","Small Business"},MOD(ROW()-2,4)+1)</f>
        <v>Retail</v>
      </c>
    </row>
    <row r="43" spans="1:13" x14ac:dyDescent="0.3">
      <c r="A43" s="5" t="str">
        <f t="shared" si="0"/>
        <v>CUST0042</v>
      </c>
      <c r="B43" s="6" t="str" cm="1">
        <f t="array" ref="B43">INDEX({"Aarav","Vivaan","Aditya","Arjun","Kabir","Rohan","Ananya","Diya","Ishita","Meera","Riya","Pooja","Neha","Kavya","Aisha","Priya","Rahul","Karan","Vikram","Sahil"},MOD(ROW()-2,20)+1)&amp;" "&amp;INDEX({"Shah","Patel","Mehta","Desai","Joshi","Gupta","Verma","Sharma","Trivedi","Rana","Mishra","Kapoor","Iyer","Nair","Singh"},MOD(INT((ROW()-2)/20),15)+1)</f>
        <v>Vivaan Mehta</v>
      </c>
      <c r="C43" s="6" t="str" cm="1">
        <f t="array" ref="C43">INDEX({"North","South","East","West","Central"},MOD(ROW()-2,5)+1)</f>
        <v>South</v>
      </c>
      <c r="D43" s="6" t="str" cm="1">
        <f t="array" ref="D43">INDEX({"Electronics","Clothing","Furniture","Books","Office Supplies"},MOD(ROW()-2,5)+1)</f>
        <v>Clothing</v>
      </c>
      <c r="E43" s="6">
        <f t="shared" si="8"/>
        <v>6117</v>
      </c>
      <c r="F43" s="6">
        <f t="shared" si="9"/>
        <v>2</v>
      </c>
      <c r="G43" s="7">
        <f t="shared" si="10"/>
        <v>0.02</v>
      </c>
      <c r="H43" s="8">
        <f t="shared" si="7"/>
        <v>45699</v>
      </c>
      <c r="I43" s="9">
        <f t="shared" si="5"/>
        <v>11989.32</v>
      </c>
      <c r="J43" s="6">
        <f t="shared" si="6"/>
        <v>2158.08</v>
      </c>
      <c r="K43" s="6" t="str" cm="1">
        <f t="array" ref="K43">INDEX({"Amit","Neha","Riya","Karan","Pooja","Rahul","Meera","Vikram"},MOD(ROW()-2,8)+1)</f>
        <v>Neha</v>
      </c>
      <c r="L43" s="6" t="str" cm="1">
        <f t="array" ref="L43">INDEX({"UPI","Credit Card","Debit Card","Cash","Net Banking"},MOD(ROW()-2,5)+1)</f>
        <v>Credit Card</v>
      </c>
      <c r="M43" s="10" t="str" cm="1">
        <f t="array" ref="M43">INDEX({"Retail","Corporate","Education","Small Business"},MOD(ROW()-2,4)+1)</f>
        <v>Corporate</v>
      </c>
    </row>
    <row r="44" spans="1:13" x14ac:dyDescent="0.3">
      <c r="A44" s="5" t="str">
        <f t="shared" si="0"/>
        <v>CUST0043</v>
      </c>
      <c r="B44" s="6" t="str" cm="1">
        <f t="array" ref="B44">INDEX({"Aarav","Vivaan","Aditya","Arjun","Kabir","Rohan","Ananya","Diya","Ishita","Meera","Riya","Pooja","Neha","Kavya","Aisha","Priya","Rahul","Karan","Vikram","Sahil"},MOD(ROW()-2,20)+1)&amp;" "&amp;INDEX({"Shah","Patel","Mehta","Desai","Joshi","Gupta","Verma","Sharma","Trivedi","Rana","Mishra","Kapoor","Iyer","Nair","Singh"},MOD(INT((ROW()-2)/20),15)+1)</f>
        <v>Aditya Mehta</v>
      </c>
      <c r="C44" s="6" t="str" cm="1">
        <f t="array" ref="C44">INDEX({"North","South","East","West","Central"},MOD(ROW()-2,5)+1)</f>
        <v>East</v>
      </c>
      <c r="D44" s="6" t="str" cm="1">
        <f t="array" ref="D44">INDEX({"Electronics","Clothing","Furniture","Books","Office Supplies"},MOD(ROW()-2,5)+1)</f>
        <v>Furniture</v>
      </c>
      <c r="E44" s="6">
        <f t="shared" si="8"/>
        <v>6254</v>
      </c>
      <c r="F44" s="6">
        <f t="shared" si="9"/>
        <v>9</v>
      </c>
      <c r="G44" s="7">
        <f t="shared" si="10"/>
        <v>0.05</v>
      </c>
      <c r="H44" s="8">
        <f t="shared" si="7"/>
        <v>45700</v>
      </c>
      <c r="I44" s="9">
        <f t="shared" si="5"/>
        <v>53471.7</v>
      </c>
      <c r="J44" s="6">
        <f t="shared" si="6"/>
        <v>10694.34</v>
      </c>
      <c r="K44" s="6" t="str" cm="1">
        <f t="array" ref="K44">INDEX({"Amit","Neha","Riya","Karan","Pooja","Rahul","Meera","Vikram"},MOD(ROW()-2,8)+1)</f>
        <v>Riya</v>
      </c>
      <c r="L44" s="6" t="str" cm="1">
        <f t="array" ref="L44">INDEX({"UPI","Credit Card","Debit Card","Cash","Net Banking"},MOD(ROW()-2,5)+1)</f>
        <v>Debit Card</v>
      </c>
      <c r="M44" s="10" t="str" cm="1">
        <f t="array" ref="M44">INDEX({"Retail","Corporate","Education","Small Business"},MOD(ROW()-2,4)+1)</f>
        <v>Education</v>
      </c>
    </row>
    <row r="45" spans="1:13" x14ac:dyDescent="0.3">
      <c r="A45" s="5" t="str">
        <f t="shared" si="0"/>
        <v>CUST0044</v>
      </c>
      <c r="B45" s="6" t="str" cm="1">
        <f t="array" ref="B45">INDEX({"Aarav","Vivaan","Aditya","Arjun","Kabir","Rohan","Ananya","Diya","Ishita","Meera","Riya","Pooja","Neha","Kavya","Aisha","Priya","Rahul","Karan","Vikram","Sahil"},MOD(ROW()-2,20)+1)&amp;" "&amp;INDEX({"Shah","Patel","Mehta","Desai","Joshi","Gupta","Verma","Sharma","Trivedi","Rana","Mishra","Kapoor","Iyer","Nair","Singh"},MOD(INT((ROW()-2)/20),15)+1)</f>
        <v>Arjun Mehta</v>
      </c>
      <c r="C45" s="6" t="str" cm="1">
        <f t="array" ref="C45">INDEX({"North","South","East","West","Central"},MOD(ROW()-2,5)+1)</f>
        <v>West</v>
      </c>
      <c r="D45" s="6" t="str" cm="1">
        <f t="array" ref="D45">INDEX({"Electronics","Clothing","Furniture","Books","Office Supplies"},MOD(ROW()-2,5)+1)</f>
        <v>Books</v>
      </c>
      <c r="E45" s="6">
        <f t="shared" si="8"/>
        <v>6391</v>
      </c>
      <c r="F45" s="6">
        <f t="shared" si="9"/>
        <v>5</v>
      </c>
      <c r="G45" s="7">
        <f t="shared" si="10"/>
        <v>0.08</v>
      </c>
      <c r="H45" s="8">
        <f t="shared" si="7"/>
        <v>45701</v>
      </c>
      <c r="I45" s="9">
        <f t="shared" si="5"/>
        <v>29398.6</v>
      </c>
      <c r="J45" s="6">
        <f t="shared" si="6"/>
        <v>6467.69</v>
      </c>
      <c r="K45" s="6" t="str" cm="1">
        <f t="array" ref="K45">INDEX({"Amit","Neha","Riya","Karan","Pooja","Rahul","Meera","Vikram"},MOD(ROW()-2,8)+1)</f>
        <v>Karan</v>
      </c>
      <c r="L45" s="6" t="str" cm="1">
        <f t="array" ref="L45">INDEX({"UPI","Credit Card","Debit Card","Cash","Net Banking"},MOD(ROW()-2,5)+1)</f>
        <v>Cash</v>
      </c>
      <c r="M45" s="10" t="str" cm="1">
        <f t="array" ref="M45">INDEX({"Retail","Corporate","Education","Small Business"},MOD(ROW()-2,4)+1)</f>
        <v>Small Business</v>
      </c>
    </row>
    <row r="46" spans="1:13" x14ac:dyDescent="0.3">
      <c r="A46" s="5" t="str">
        <f t="shared" si="0"/>
        <v>CUST0045</v>
      </c>
      <c r="B46" s="6" t="str" cm="1">
        <f t="array" ref="B46">INDEX({"Aarav","Vivaan","Aditya","Arjun","Kabir","Rohan","Ananya","Diya","Ishita","Meera","Riya","Pooja","Neha","Kavya","Aisha","Priya","Rahul","Karan","Vikram","Sahil"},MOD(ROW()-2,20)+1)&amp;" "&amp;INDEX({"Shah","Patel","Mehta","Desai","Joshi","Gupta","Verma","Sharma","Trivedi","Rana","Mishra","Kapoor","Iyer","Nair","Singh"},MOD(INT((ROW()-2)/20),15)+1)</f>
        <v>Kabir Mehta</v>
      </c>
      <c r="C46" s="6" t="str" cm="1">
        <f t="array" ref="C46">INDEX({"North","South","East","West","Central"},MOD(ROW()-2,5)+1)</f>
        <v>Central</v>
      </c>
      <c r="D46" s="6" t="str" cm="1">
        <f t="array" ref="D46">INDEX({"Electronics","Clothing","Furniture","Books","Office Supplies"},MOD(ROW()-2,5)+1)</f>
        <v>Office Supplies</v>
      </c>
      <c r="E46" s="6">
        <f t="shared" si="8"/>
        <v>6528</v>
      </c>
      <c r="F46" s="6">
        <f t="shared" si="9"/>
        <v>1</v>
      </c>
      <c r="G46" s="7">
        <f t="shared" si="10"/>
        <v>0.1</v>
      </c>
      <c r="H46" s="8">
        <f t="shared" si="7"/>
        <v>45702</v>
      </c>
      <c r="I46" s="9">
        <f t="shared" si="5"/>
        <v>5875.2</v>
      </c>
      <c r="J46" s="6">
        <f t="shared" si="6"/>
        <v>1410.05</v>
      </c>
      <c r="K46" s="6" t="str" cm="1">
        <f t="array" ref="K46">INDEX({"Amit","Neha","Riya","Karan","Pooja","Rahul","Meera","Vikram"},MOD(ROW()-2,8)+1)</f>
        <v>Pooja</v>
      </c>
      <c r="L46" s="6" t="str" cm="1">
        <f t="array" ref="L46">INDEX({"UPI","Credit Card","Debit Card","Cash","Net Banking"},MOD(ROW()-2,5)+1)</f>
        <v>Net Banking</v>
      </c>
      <c r="M46" s="10" t="str" cm="1">
        <f t="array" ref="M46">INDEX({"Retail","Corporate","Education","Small Business"},MOD(ROW()-2,4)+1)</f>
        <v>Retail</v>
      </c>
    </row>
    <row r="47" spans="1:13" x14ac:dyDescent="0.3">
      <c r="A47" s="5" t="str">
        <f t="shared" si="0"/>
        <v>CUST0046</v>
      </c>
      <c r="B47" s="6" t="str" cm="1">
        <f t="array" ref="B47">INDEX({"Aarav","Vivaan","Aditya","Arjun","Kabir","Rohan","Ananya","Diya","Ishita","Meera","Riya","Pooja","Neha","Kavya","Aisha","Priya","Rahul","Karan","Vikram","Sahil"},MOD(ROW()-2,20)+1)&amp;" "&amp;INDEX({"Shah","Patel","Mehta","Desai","Joshi","Gupta","Verma","Sharma","Trivedi","Rana","Mishra","Kapoor","Iyer","Nair","Singh"},MOD(INT((ROW()-2)/20),15)+1)</f>
        <v>Rohan Mehta</v>
      </c>
      <c r="C47" s="6" t="str" cm="1">
        <f t="array" ref="C47">INDEX({"North","South","East","West","Central"},MOD(ROW()-2,5)+1)</f>
        <v>North</v>
      </c>
      <c r="D47" s="6" t="str" cm="1">
        <f t="array" ref="D47">INDEX({"Electronics","Clothing","Furniture","Books","Office Supplies"},MOD(ROW()-2,5)+1)</f>
        <v>Electronics</v>
      </c>
      <c r="E47" s="6">
        <f t="shared" si="8"/>
        <v>6665</v>
      </c>
      <c r="F47" s="6">
        <f t="shared" si="9"/>
        <v>8</v>
      </c>
      <c r="G47" s="7">
        <f t="shared" si="10"/>
        <v>0.12</v>
      </c>
      <c r="H47" s="8">
        <f t="shared" si="7"/>
        <v>45703</v>
      </c>
      <c r="I47" s="9">
        <f t="shared" si="5"/>
        <v>46921.599999999999</v>
      </c>
      <c r="J47" s="6">
        <f t="shared" si="6"/>
        <v>12199.62</v>
      </c>
      <c r="K47" s="6" t="str" cm="1">
        <f t="array" ref="K47">INDEX({"Amit","Neha","Riya","Karan","Pooja","Rahul","Meera","Vikram"},MOD(ROW()-2,8)+1)</f>
        <v>Rahul</v>
      </c>
      <c r="L47" s="6" t="str" cm="1">
        <f t="array" ref="L47">INDEX({"UPI","Credit Card","Debit Card","Cash","Net Banking"},MOD(ROW()-2,5)+1)</f>
        <v>UPI</v>
      </c>
      <c r="M47" s="10" t="str" cm="1">
        <f t="array" ref="M47">INDEX({"Retail","Corporate","Education","Small Business"},MOD(ROW()-2,4)+1)</f>
        <v>Corporate</v>
      </c>
    </row>
    <row r="48" spans="1:13" x14ac:dyDescent="0.3">
      <c r="A48" s="5" t="str">
        <f t="shared" si="0"/>
        <v>CUST0047</v>
      </c>
      <c r="B48" s="6" t="str" cm="1">
        <f t="array" ref="B48">INDEX({"Aarav","Vivaan","Aditya","Arjun","Kabir","Rohan","Ananya","Diya","Ishita","Meera","Riya","Pooja","Neha","Kavya","Aisha","Priya","Rahul","Karan","Vikram","Sahil"},MOD(ROW()-2,20)+1)&amp;" "&amp;INDEX({"Shah","Patel","Mehta","Desai","Joshi","Gupta","Verma","Sharma","Trivedi","Rana","Mishra","Kapoor","Iyer","Nair","Singh"},MOD(INT((ROW()-2)/20),15)+1)</f>
        <v>Ananya Mehta</v>
      </c>
      <c r="C48" s="6" t="str" cm="1">
        <f t="array" ref="C48">INDEX({"North","South","East","West","Central"},MOD(ROW()-2,5)+1)</f>
        <v>South</v>
      </c>
      <c r="D48" s="6" t="str" cm="1">
        <f t="array" ref="D48">INDEX({"Electronics","Clothing","Furniture","Books","Office Supplies"},MOD(ROW()-2,5)+1)</f>
        <v>Clothing</v>
      </c>
      <c r="E48" s="6">
        <f t="shared" si="8"/>
        <v>6802</v>
      </c>
      <c r="F48" s="6">
        <f t="shared" si="9"/>
        <v>4</v>
      </c>
      <c r="G48" s="7">
        <f t="shared" si="10"/>
        <v>0.15</v>
      </c>
      <c r="H48" s="8">
        <f t="shared" si="7"/>
        <v>45704</v>
      </c>
      <c r="I48" s="9">
        <f t="shared" si="5"/>
        <v>23126.799999999999</v>
      </c>
      <c r="J48" s="6">
        <f t="shared" si="6"/>
        <v>6475.5</v>
      </c>
      <c r="K48" s="6" t="str" cm="1">
        <f t="array" ref="K48">INDEX({"Amit","Neha","Riya","Karan","Pooja","Rahul","Meera","Vikram"},MOD(ROW()-2,8)+1)</f>
        <v>Meera</v>
      </c>
      <c r="L48" s="6" t="str" cm="1">
        <f t="array" ref="L48">INDEX({"UPI","Credit Card","Debit Card","Cash","Net Banking"},MOD(ROW()-2,5)+1)</f>
        <v>Credit Card</v>
      </c>
      <c r="M48" s="10" t="str" cm="1">
        <f t="array" ref="M48">INDEX({"Retail","Corporate","Education","Small Business"},MOD(ROW()-2,4)+1)</f>
        <v>Education</v>
      </c>
    </row>
    <row r="49" spans="1:13" x14ac:dyDescent="0.3">
      <c r="A49" s="5" t="str">
        <f t="shared" si="0"/>
        <v>CUST0048</v>
      </c>
      <c r="B49" s="6" t="str" cm="1">
        <f t="array" ref="B49">INDEX({"Aarav","Vivaan","Aditya","Arjun","Kabir","Rohan","Ananya","Diya","Ishita","Meera","Riya","Pooja","Neha","Kavya","Aisha","Priya","Rahul","Karan","Vikram","Sahil"},MOD(ROW()-2,20)+1)&amp;" "&amp;INDEX({"Shah","Patel","Mehta","Desai","Joshi","Gupta","Verma","Sharma","Trivedi","Rana","Mishra","Kapoor","Iyer","Nair","Singh"},MOD(INT((ROW()-2)/20),15)+1)</f>
        <v>Diya Mehta</v>
      </c>
      <c r="C49" s="6" t="str" cm="1">
        <f t="array" ref="C49">INDEX({"North","South","East","West","Central"},MOD(ROW()-2,5)+1)</f>
        <v>East</v>
      </c>
      <c r="D49" s="6" t="str" cm="1">
        <f t="array" ref="D49">INDEX({"Electronics","Clothing","Furniture","Books","Office Supplies"},MOD(ROW()-2,5)+1)</f>
        <v>Furniture</v>
      </c>
      <c r="E49" s="6">
        <f t="shared" si="8"/>
        <v>6939</v>
      </c>
      <c r="F49" s="6">
        <f t="shared" si="9"/>
        <v>11</v>
      </c>
      <c r="G49" s="7">
        <f t="shared" si="10"/>
        <v>0.2</v>
      </c>
      <c r="H49" s="8">
        <f t="shared" si="7"/>
        <v>45705</v>
      </c>
      <c r="I49" s="9">
        <f t="shared" si="5"/>
        <v>61063.199999999997</v>
      </c>
      <c r="J49" s="6">
        <f t="shared" si="6"/>
        <v>18318.96</v>
      </c>
      <c r="K49" s="6" t="str" cm="1">
        <f t="array" ref="K49">INDEX({"Amit","Neha","Riya","Karan","Pooja","Rahul","Meera","Vikram"},MOD(ROW()-2,8)+1)</f>
        <v>Vikram</v>
      </c>
      <c r="L49" s="6" t="str" cm="1">
        <f t="array" ref="L49">INDEX({"UPI","Credit Card","Debit Card","Cash","Net Banking"},MOD(ROW()-2,5)+1)</f>
        <v>Debit Card</v>
      </c>
      <c r="M49" s="10" t="str" cm="1">
        <f t="array" ref="M49">INDEX({"Retail","Corporate","Education","Small Business"},MOD(ROW()-2,4)+1)</f>
        <v>Small Business</v>
      </c>
    </row>
    <row r="50" spans="1:13" x14ac:dyDescent="0.3">
      <c r="A50" s="5" t="str">
        <f t="shared" si="0"/>
        <v>CUST0049</v>
      </c>
      <c r="B50" s="6" t="str" cm="1">
        <f t="array" ref="B50">INDEX({"Aarav","Vivaan","Aditya","Arjun","Kabir","Rohan","Ananya","Diya","Ishita","Meera","Riya","Pooja","Neha","Kavya","Aisha","Priya","Rahul","Karan","Vikram","Sahil"},MOD(ROW()-2,20)+1)&amp;" "&amp;INDEX({"Shah","Patel","Mehta","Desai","Joshi","Gupta","Verma","Sharma","Trivedi","Rana","Mishra","Kapoor","Iyer","Nair","Singh"},MOD(INT((ROW()-2)/20),15)+1)</f>
        <v>Ishita Mehta</v>
      </c>
      <c r="C50" s="6" t="str" cm="1">
        <f t="array" ref="C50">INDEX({"North","South","East","West","Central"},MOD(ROW()-2,5)+1)</f>
        <v>West</v>
      </c>
      <c r="D50" s="6" t="str" cm="1">
        <f t="array" ref="D50">INDEX({"Electronics","Clothing","Furniture","Books","Office Supplies"},MOD(ROW()-2,5)+1)</f>
        <v>Books</v>
      </c>
      <c r="E50" s="6">
        <f t="shared" si="8"/>
        <v>7076</v>
      </c>
      <c r="F50" s="6">
        <f t="shared" si="9"/>
        <v>7</v>
      </c>
      <c r="G50" s="7">
        <f t="shared" si="10"/>
        <v>0</v>
      </c>
      <c r="H50" s="8">
        <f t="shared" ref="H50:H74" si="11">DATE(2025,1,1)+MOD(ROW()-2,365)</f>
        <v>45706</v>
      </c>
      <c r="I50" s="9">
        <f t="shared" si="5"/>
        <v>49532</v>
      </c>
      <c r="J50" s="6">
        <f t="shared" si="6"/>
        <v>3962.56</v>
      </c>
      <c r="K50" s="6" t="str" cm="1">
        <f t="array" ref="K50">INDEX({"Amit","Neha","Riya","Karan","Pooja","Rahul","Meera","Vikram"},MOD(ROW()-2,8)+1)</f>
        <v>Amit</v>
      </c>
      <c r="L50" s="6" t="str" cm="1">
        <f t="array" ref="L50">INDEX({"UPI","Credit Card","Debit Card","Cash","Net Banking"},MOD(ROW()-2,5)+1)</f>
        <v>Cash</v>
      </c>
      <c r="M50" s="10" t="str" cm="1">
        <f t="array" ref="M50">INDEX({"Retail","Corporate","Education","Small Business"},MOD(ROW()-2,4)+1)</f>
        <v>Retail</v>
      </c>
    </row>
    <row r="51" spans="1:13" x14ac:dyDescent="0.3">
      <c r="A51" s="5" t="str">
        <f t="shared" si="0"/>
        <v>CUST0050</v>
      </c>
      <c r="B51" s="6" t="str" cm="1">
        <f t="array" ref="B51">INDEX({"Aarav","Vivaan","Aditya","Arjun","Kabir","Rohan","Ananya","Diya","Ishita","Meera","Riya","Pooja","Neha","Kavya","Aisha","Priya","Rahul","Karan","Vikram","Sahil"},MOD(ROW()-2,20)+1)&amp;" "&amp;INDEX({"Shah","Patel","Mehta","Desai","Joshi","Gupta","Verma","Sharma","Trivedi","Rana","Mishra","Kapoor","Iyer","Nair","Singh"},MOD(INT((ROW()-2)/20),15)+1)</f>
        <v>Meera Mehta</v>
      </c>
      <c r="C51" s="6" t="str" cm="1">
        <f t="array" ref="C51">INDEX({"North","South","East","West","Central"},MOD(ROW()-2,5)+1)</f>
        <v>Central</v>
      </c>
      <c r="D51" s="6" t="str" cm="1">
        <f t="array" ref="D51">INDEX({"Electronics","Clothing","Furniture","Books","Office Supplies"},MOD(ROW()-2,5)+1)</f>
        <v>Office Supplies</v>
      </c>
      <c r="E51" s="6">
        <f t="shared" ref="E51:E76" si="12">ROUND(500+MOD((ROW()-2)*137,44500),2)</f>
        <v>7213</v>
      </c>
      <c r="F51" s="6">
        <f t="shared" si="9"/>
        <v>3</v>
      </c>
      <c r="G51" s="7">
        <f t="shared" si="10"/>
        <v>0.02</v>
      </c>
      <c r="H51" s="8">
        <f t="shared" si="11"/>
        <v>45707</v>
      </c>
      <c r="I51" s="9">
        <f t="shared" si="5"/>
        <v>21206.22</v>
      </c>
      <c r="J51" s="6">
        <f t="shared" si="6"/>
        <v>2120.62</v>
      </c>
      <c r="K51" s="6" t="str" cm="1">
        <f t="array" ref="K51">INDEX({"Amit","Neha","Riya","Karan","Pooja","Rahul","Meera","Vikram"},MOD(ROW()-2,8)+1)</f>
        <v>Neha</v>
      </c>
      <c r="L51" s="6" t="str" cm="1">
        <f t="array" ref="L51">INDEX({"UPI","Credit Card","Debit Card","Cash","Net Banking"},MOD(ROW()-2,5)+1)</f>
        <v>Net Banking</v>
      </c>
      <c r="M51" s="10" t="str" cm="1">
        <f t="array" ref="M51">INDEX({"Retail","Corporate","Education","Small Business"},MOD(ROW()-2,4)+1)</f>
        <v>Corporate</v>
      </c>
    </row>
    <row r="52" spans="1:13" x14ac:dyDescent="0.3">
      <c r="A52" s="5" t="str">
        <f t="shared" si="0"/>
        <v>CUST0051</v>
      </c>
      <c r="B52" s="6" t="s">
        <v>29</v>
      </c>
      <c r="C52" s="6" t="str" cm="1">
        <f t="array" ref="C52">INDEX({"North","South","East","West","Central"},MOD(ROW()-2,5)+1)</f>
        <v>North</v>
      </c>
      <c r="D52" s="6" t="str" cm="1">
        <f t="array" ref="D52">INDEX({"Electronics","Clothing","Furniture","Books","Office Supplies"},MOD(ROW()-2,5)+1)</f>
        <v>Electronics</v>
      </c>
      <c r="E52" s="6">
        <f t="shared" si="12"/>
        <v>7350</v>
      </c>
      <c r="F52" s="6">
        <f t="shared" si="9"/>
        <v>10</v>
      </c>
      <c r="G52" s="7">
        <f t="shared" si="10"/>
        <v>0.05</v>
      </c>
      <c r="H52" s="8">
        <f t="shared" si="11"/>
        <v>45708</v>
      </c>
      <c r="I52" s="9">
        <f t="shared" si="5"/>
        <v>69825</v>
      </c>
      <c r="J52" s="6">
        <f t="shared" si="6"/>
        <v>8379</v>
      </c>
      <c r="K52" s="6" t="str" cm="1">
        <f t="array" ref="K52">INDEX({"Amit","Neha","Riya","Karan","Pooja","Rahul","Meera","Vikram"},MOD(ROW()-2,8)+1)</f>
        <v>Riya</v>
      </c>
      <c r="L52" s="6" t="str" cm="1">
        <f t="array" ref="L52">INDEX({"UPI","Credit Card","Debit Card","Cash","Net Banking"},MOD(ROW()-2,5)+1)</f>
        <v>UPI</v>
      </c>
      <c r="M52" s="10" t="str" cm="1">
        <f t="array" ref="M52">INDEX({"Retail","Corporate","Education","Small Business"},MOD(ROW()-2,4)+1)</f>
        <v>Education</v>
      </c>
    </row>
    <row r="53" spans="1:13" x14ac:dyDescent="0.3">
      <c r="A53" s="5" t="str">
        <f t="shared" si="0"/>
        <v>CUST0052</v>
      </c>
      <c r="B53" s="6" t="str" cm="1">
        <f t="array" ref="B53">INDEX({"Aarav","Vivaan","Aditya","Arjun","Kabir","Rohan","Ananya","Diya","Ishita","Meera","Riya","Pooja","Neha","Kavya","Aisha","Priya","Rahul","Karan","Vikram","Sahil"},MOD(ROW()-2,20)+1)&amp;" "&amp;INDEX({"Shah","Patel","Mehta","Desai","Joshi","Gupta","Verma","Sharma","Trivedi","Rana","Mishra","Kapoor","Iyer","Nair","Singh"},MOD(INT((ROW()-2)/20),15)+1)</f>
        <v>Pooja Mehta</v>
      </c>
      <c r="C53" s="6" t="str" cm="1">
        <f t="array" ref="C53">INDEX({"North","South","East","West","Central"},MOD(ROW()-2,5)+1)</f>
        <v>South</v>
      </c>
      <c r="D53" s="6" t="str" cm="1">
        <f t="array" ref="D53">INDEX({"Electronics","Clothing","Furniture","Books","Office Supplies"},MOD(ROW()-2,5)+1)</f>
        <v>Clothing</v>
      </c>
      <c r="E53" s="6">
        <f t="shared" si="12"/>
        <v>7487</v>
      </c>
      <c r="F53" s="6">
        <f t="shared" si="9"/>
        <v>6</v>
      </c>
      <c r="G53" s="7">
        <f t="shared" si="10"/>
        <v>0.08</v>
      </c>
      <c r="H53" s="8">
        <f t="shared" si="11"/>
        <v>45709</v>
      </c>
      <c r="I53" s="9">
        <f t="shared" si="5"/>
        <v>41328.239999999998</v>
      </c>
      <c r="J53" s="6">
        <f t="shared" si="6"/>
        <v>5785.95</v>
      </c>
      <c r="K53" s="6" t="str" cm="1">
        <f t="array" ref="K53">INDEX({"Amit","Neha","Riya","Karan","Pooja","Rahul","Meera","Vikram"},MOD(ROW()-2,8)+1)</f>
        <v>Karan</v>
      </c>
      <c r="L53" s="6" t="str" cm="1">
        <f t="array" ref="L53">INDEX({"UPI","Credit Card","Debit Card","Cash","Net Banking"},MOD(ROW()-2,5)+1)</f>
        <v>Credit Card</v>
      </c>
      <c r="M53" s="10" t="str" cm="1">
        <f t="array" ref="M53">INDEX({"Retail","Corporate","Education","Small Business"},MOD(ROW()-2,4)+1)</f>
        <v>Small Business</v>
      </c>
    </row>
    <row r="54" spans="1:13" x14ac:dyDescent="0.3">
      <c r="A54" s="5" t="str">
        <f t="shared" si="0"/>
        <v>CUST0053</v>
      </c>
      <c r="B54" s="6" t="str" cm="1">
        <f t="array" ref="B54">INDEX({"Aarav","Vivaan","Aditya","Arjun","Kabir","Rohan","Ananya","Diya","Ishita","Meera","Riya","Pooja","Neha","Kavya","Aisha","Priya","Rahul","Karan","Vikram","Sahil"},MOD(ROW()-2,20)+1)&amp;" "&amp;INDEX({"Shah","Patel","Mehta","Desai","Joshi","Gupta","Verma","Sharma","Trivedi","Rana","Mishra","Kapoor","Iyer","Nair","Singh"},MOD(INT((ROW()-2)/20),15)+1)</f>
        <v>Neha Mehta</v>
      </c>
      <c r="C54" s="6" t="str" cm="1">
        <f t="array" ref="C54">INDEX({"North","South","East","West","Central"},MOD(ROW()-2,5)+1)</f>
        <v>East</v>
      </c>
      <c r="D54" s="6" t="str" cm="1">
        <f t="array" ref="D54">INDEX({"Electronics","Clothing","Furniture","Books","Office Supplies"},MOD(ROW()-2,5)+1)</f>
        <v>Furniture</v>
      </c>
      <c r="E54" s="6">
        <f t="shared" si="12"/>
        <v>7624</v>
      </c>
      <c r="F54" s="6">
        <f t="shared" si="9"/>
        <v>2</v>
      </c>
      <c r="G54" s="7">
        <f t="shared" si="10"/>
        <v>0.1</v>
      </c>
      <c r="H54" s="8">
        <f t="shared" si="11"/>
        <v>45710</v>
      </c>
      <c r="I54" s="9">
        <f t="shared" si="5"/>
        <v>13723.2</v>
      </c>
      <c r="J54" s="6">
        <f t="shared" si="6"/>
        <v>2195.71</v>
      </c>
      <c r="K54" s="6" t="str" cm="1">
        <f t="array" ref="K54">INDEX({"Amit","Neha","Riya","Karan","Pooja","Rahul","Meera","Vikram"},MOD(ROW()-2,8)+1)</f>
        <v>Pooja</v>
      </c>
      <c r="L54" s="6" t="str" cm="1">
        <f t="array" ref="L54">INDEX({"UPI","Credit Card","Debit Card","Cash","Net Banking"},MOD(ROW()-2,5)+1)</f>
        <v>Debit Card</v>
      </c>
      <c r="M54" s="10" t="str" cm="1">
        <f t="array" ref="M54">INDEX({"Retail","Corporate","Education","Small Business"},MOD(ROW()-2,4)+1)</f>
        <v>Retail</v>
      </c>
    </row>
    <row r="55" spans="1:13" x14ac:dyDescent="0.3">
      <c r="A55" s="5" t="str">
        <f t="shared" si="0"/>
        <v>CUST0054</v>
      </c>
      <c r="B55" s="6" t="str" cm="1">
        <f t="array" ref="B55">INDEX({"Aarav","Vivaan","Aditya","Arjun","Kabir","Rohan","Ananya","Diya","Ishita","Meera","Riya","Pooja","Neha","Kavya","Aisha","Priya","Rahul","Karan","Vikram","Sahil"},MOD(ROW()-2,20)+1)&amp;" "&amp;INDEX({"Shah","Patel","Mehta","Desai","Joshi","Gupta","Verma","Sharma","Trivedi","Rana","Mishra","Kapoor","Iyer","Nair","Singh"},MOD(INT((ROW()-2)/20),15)+1)</f>
        <v>Kavya Mehta</v>
      </c>
      <c r="C55" s="6" t="str" cm="1">
        <f t="array" ref="C55">INDEX({"North","South","East","West","Central"},MOD(ROW()-2,5)+1)</f>
        <v>West</v>
      </c>
      <c r="D55" s="6" t="str" cm="1">
        <f t="array" ref="D55">INDEX({"Electronics","Clothing","Furniture","Books","Office Supplies"},MOD(ROW()-2,5)+1)</f>
        <v>Books</v>
      </c>
      <c r="E55" s="6">
        <f t="shared" si="12"/>
        <v>7761</v>
      </c>
      <c r="F55" s="6">
        <f t="shared" si="9"/>
        <v>9</v>
      </c>
      <c r="G55" s="7">
        <f t="shared" si="10"/>
        <v>0.12</v>
      </c>
      <c r="H55" s="8">
        <f t="shared" si="11"/>
        <v>45711</v>
      </c>
      <c r="I55" s="9">
        <f t="shared" si="5"/>
        <v>61467.12</v>
      </c>
      <c r="J55" s="6">
        <f t="shared" si="6"/>
        <v>11064.08</v>
      </c>
      <c r="K55" s="6" t="str" cm="1">
        <f t="array" ref="K55">INDEX({"Amit","Neha","Riya","Karan","Pooja","Rahul","Meera","Vikram"},MOD(ROW()-2,8)+1)</f>
        <v>Rahul</v>
      </c>
      <c r="L55" s="6" t="str" cm="1">
        <f t="array" ref="L55">INDEX({"UPI","Credit Card","Debit Card","Cash","Net Banking"},MOD(ROW()-2,5)+1)</f>
        <v>Cash</v>
      </c>
      <c r="M55" s="10" t="str" cm="1">
        <f t="array" ref="M55">INDEX({"Retail","Corporate","Education","Small Business"},MOD(ROW()-2,4)+1)</f>
        <v>Corporate</v>
      </c>
    </row>
    <row r="56" spans="1:13" x14ac:dyDescent="0.3">
      <c r="A56" s="5" t="str">
        <f t="shared" si="0"/>
        <v>CUST0055</v>
      </c>
      <c r="B56" s="6" t="str" cm="1">
        <f t="array" ref="B56">INDEX({"Aarav","Vivaan","Aditya","Arjun","Kabir","Rohan","Ananya","Diya","Ishita","Meera","Riya","Pooja","Neha","Kavya","Aisha","Priya","Rahul","Karan","Vikram","Sahil"},MOD(ROW()-2,20)+1)&amp;" "&amp;INDEX({"Shah","Patel","Mehta","Desai","Joshi","Gupta","Verma","Sharma","Trivedi","Rana","Mishra","Kapoor","Iyer","Nair","Singh"},MOD(INT((ROW()-2)/20),15)+1)</f>
        <v>Aisha Mehta</v>
      </c>
      <c r="C56" s="6" t="str" cm="1">
        <f t="array" ref="C56">INDEX({"North","South","East","West","Central"},MOD(ROW()-2,5)+1)</f>
        <v>Central</v>
      </c>
      <c r="D56" s="6" t="str" cm="1">
        <f t="array" ref="D56">INDEX({"Electronics","Clothing","Furniture","Books","Office Supplies"},MOD(ROW()-2,5)+1)</f>
        <v>Office Supplies</v>
      </c>
      <c r="E56" s="6">
        <f t="shared" si="12"/>
        <v>7898</v>
      </c>
      <c r="F56" s="6">
        <f t="shared" si="9"/>
        <v>5</v>
      </c>
      <c r="G56" s="7">
        <f t="shared" si="10"/>
        <v>0.15</v>
      </c>
      <c r="H56" s="8">
        <f t="shared" si="11"/>
        <v>45712</v>
      </c>
      <c r="I56" s="9">
        <f t="shared" si="5"/>
        <v>33566.5</v>
      </c>
      <c r="J56" s="6">
        <f t="shared" si="6"/>
        <v>6713.3</v>
      </c>
      <c r="K56" s="6" t="str" cm="1">
        <f t="array" ref="K56">INDEX({"Amit","Neha","Riya","Karan","Pooja","Rahul","Meera","Vikram"},MOD(ROW()-2,8)+1)</f>
        <v>Meera</v>
      </c>
      <c r="L56" s="6" t="str" cm="1">
        <f t="array" ref="L56">INDEX({"UPI","Credit Card","Debit Card","Cash","Net Banking"},MOD(ROW()-2,5)+1)</f>
        <v>Net Banking</v>
      </c>
      <c r="M56" s="10" t="str" cm="1">
        <f t="array" ref="M56">INDEX({"Retail","Corporate","Education","Small Business"},MOD(ROW()-2,4)+1)</f>
        <v>Education</v>
      </c>
    </row>
    <row r="57" spans="1:13" x14ac:dyDescent="0.3">
      <c r="A57" s="5" t="str">
        <f t="shared" si="0"/>
        <v>CUST0056</v>
      </c>
      <c r="B57" s="6" t="str" cm="1">
        <f t="array" ref="B57">INDEX({"Aarav","Vivaan","Aditya","Arjun","Kabir","Rohan","Ananya","Diya","Ishita","Meera","Riya","Pooja","Neha","Kavya","Aisha","Priya","Rahul","Karan","Vikram","Sahil"},MOD(ROW()-2,20)+1)&amp;" "&amp;INDEX({"Shah","Patel","Mehta","Desai","Joshi","Gupta","Verma","Sharma","Trivedi","Rana","Mishra","Kapoor","Iyer","Nair","Singh"},MOD(INT((ROW()-2)/20),15)+1)</f>
        <v>Priya Mehta</v>
      </c>
      <c r="C57" s="6" t="str" cm="1">
        <f t="array" ref="C57">INDEX({"North","South","East","West","Central"},MOD(ROW()-2,5)+1)</f>
        <v>North</v>
      </c>
      <c r="D57" s="6" t="str" cm="1">
        <f t="array" ref="D57">INDEX({"Electronics","Clothing","Furniture","Books","Office Supplies"},MOD(ROW()-2,5)+1)</f>
        <v>Electronics</v>
      </c>
      <c r="E57" s="6">
        <f t="shared" si="12"/>
        <v>8035</v>
      </c>
      <c r="F57" s="6">
        <f t="shared" si="9"/>
        <v>1</v>
      </c>
      <c r="G57" s="7">
        <f t="shared" si="10"/>
        <v>0.2</v>
      </c>
      <c r="H57" s="8">
        <f t="shared" si="11"/>
        <v>45713</v>
      </c>
      <c r="I57" s="9">
        <f t="shared" si="5"/>
        <v>6428</v>
      </c>
      <c r="J57" s="6">
        <f t="shared" si="6"/>
        <v>1414.16</v>
      </c>
      <c r="K57" s="6" t="str" cm="1">
        <f t="array" ref="K57">INDEX({"Amit","Neha","Riya","Karan","Pooja","Rahul","Meera","Vikram"},MOD(ROW()-2,8)+1)</f>
        <v>Vikram</v>
      </c>
      <c r="L57" s="6" t="str" cm="1">
        <f t="array" ref="L57">INDEX({"UPI","Credit Card","Debit Card","Cash","Net Banking"},MOD(ROW()-2,5)+1)</f>
        <v>UPI</v>
      </c>
      <c r="M57" s="10" t="str" cm="1">
        <f t="array" ref="M57">INDEX({"Retail","Corporate","Education","Small Business"},MOD(ROW()-2,4)+1)</f>
        <v>Small Business</v>
      </c>
    </row>
    <row r="58" spans="1:13" x14ac:dyDescent="0.3">
      <c r="A58" s="5" t="str">
        <f t="shared" si="0"/>
        <v>CUST0057</v>
      </c>
      <c r="B58" s="6" t="str" cm="1">
        <f t="array" ref="B58">INDEX({"Aarav","Vivaan","Aditya","Arjun","Kabir","Rohan","Ananya","Diya","Ishita","Meera","Riya","Pooja","Neha","Kavya","Aisha","Priya","Rahul","Karan","Vikram","Sahil"},MOD(ROW()-2,20)+1)&amp;" "&amp;INDEX({"Shah","Patel","Mehta","Desai","Joshi","Gupta","Verma","Sharma","Trivedi","Rana","Mishra","Kapoor","Iyer","Nair","Singh"},MOD(INT((ROW()-2)/20),15)+1)</f>
        <v>Rahul Mehta</v>
      </c>
      <c r="C58" s="6" t="str" cm="1">
        <f t="array" ref="C58">INDEX({"North","South","East","West","Central"},MOD(ROW()-2,5)+1)</f>
        <v>South</v>
      </c>
      <c r="D58" s="6" t="str" cm="1">
        <f t="array" ref="D58">INDEX({"Electronics","Clothing","Furniture","Books","Office Supplies"},MOD(ROW()-2,5)+1)</f>
        <v>Clothing</v>
      </c>
      <c r="E58" s="6">
        <f t="shared" si="12"/>
        <v>8172</v>
      </c>
      <c r="F58" s="6">
        <f t="shared" ref="F58:F83" si="13">MOD((ROW()-2)*7,11)+1</f>
        <v>8</v>
      </c>
      <c r="G58" s="7">
        <f t="shared" si="10"/>
        <v>0</v>
      </c>
      <c r="H58" s="8">
        <f t="shared" si="11"/>
        <v>45714</v>
      </c>
      <c r="I58" s="9">
        <f t="shared" si="5"/>
        <v>65376</v>
      </c>
      <c r="J58" s="6">
        <f t="shared" si="6"/>
        <v>15690.24</v>
      </c>
      <c r="K58" s="6" t="str" cm="1">
        <f t="array" ref="K58">INDEX({"Amit","Neha","Riya","Karan","Pooja","Rahul","Meera","Vikram"},MOD(ROW()-2,8)+1)</f>
        <v>Amit</v>
      </c>
      <c r="L58" s="6" t="str" cm="1">
        <f t="array" ref="L58">INDEX({"UPI","Credit Card","Debit Card","Cash","Net Banking"},MOD(ROW()-2,5)+1)</f>
        <v>Credit Card</v>
      </c>
      <c r="M58" s="10" t="str" cm="1">
        <f t="array" ref="M58">INDEX({"Retail","Corporate","Education","Small Business"},MOD(ROW()-2,4)+1)</f>
        <v>Retail</v>
      </c>
    </row>
    <row r="59" spans="1:13" x14ac:dyDescent="0.3">
      <c r="A59" s="5" t="str">
        <f t="shared" si="0"/>
        <v>CUST0058</v>
      </c>
      <c r="B59" s="6" t="str" cm="1">
        <f t="array" ref="B59">INDEX({"Aarav","Vivaan","Aditya","Arjun","Kabir","Rohan","Ananya","Diya","Ishita","Meera","Riya","Pooja","Neha","Kavya","Aisha","Priya","Rahul","Karan","Vikram","Sahil"},MOD(ROW()-2,20)+1)&amp;" "&amp;INDEX({"Shah","Patel","Mehta","Desai","Joshi","Gupta","Verma","Sharma","Trivedi","Rana","Mishra","Kapoor","Iyer","Nair","Singh"},MOD(INT((ROW()-2)/20),15)+1)</f>
        <v>Karan Mehta</v>
      </c>
      <c r="C59" s="6" t="str" cm="1">
        <f t="array" ref="C59">INDEX({"North","South","East","West","Central"},MOD(ROW()-2,5)+1)</f>
        <v>East</v>
      </c>
      <c r="D59" s="6" t="str" cm="1">
        <f t="array" ref="D59">INDEX({"Electronics","Clothing","Furniture","Books","Office Supplies"},MOD(ROW()-2,5)+1)</f>
        <v>Furniture</v>
      </c>
      <c r="E59" s="6">
        <f t="shared" si="12"/>
        <v>8309</v>
      </c>
      <c r="F59" s="6">
        <f t="shared" si="13"/>
        <v>4</v>
      </c>
      <c r="G59" s="7">
        <f t="shared" si="10"/>
        <v>0.02</v>
      </c>
      <c r="H59" s="8">
        <f t="shared" si="11"/>
        <v>45715</v>
      </c>
      <c r="I59" s="9">
        <f t="shared" si="5"/>
        <v>32571.279999999999</v>
      </c>
      <c r="J59" s="6">
        <f t="shared" si="6"/>
        <v>8468.5300000000007</v>
      </c>
      <c r="K59" s="6" t="str" cm="1">
        <f t="array" ref="K59">INDEX({"Amit","Neha","Riya","Karan","Pooja","Rahul","Meera","Vikram"},MOD(ROW()-2,8)+1)</f>
        <v>Neha</v>
      </c>
      <c r="L59" s="6" t="str" cm="1">
        <f t="array" ref="L59">INDEX({"UPI","Credit Card","Debit Card","Cash","Net Banking"},MOD(ROW()-2,5)+1)</f>
        <v>Debit Card</v>
      </c>
      <c r="M59" s="10" t="str" cm="1">
        <f t="array" ref="M59">INDEX({"Retail","Corporate","Education","Small Business"},MOD(ROW()-2,4)+1)</f>
        <v>Corporate</v>
      </c>
    </row>
    <row r="60" spans="1:13" x14ac:dyDescent="0.3">
      <c r="A60" s="5" t="str">
        <f t="shared" si="0"/>
        <v>CUST0059</v>
      </c>
      <c r="B60" s="6" t="str" cm="1">
        <f t="array" ref="B60">INDEX({"Aarav","Vivaan","Aditya","Arjun","Kabir","Rohan","Ananya","Diya","Ishita","Meera","Riya","Pooja","Neha","Kavya","Aisha","Priya","Rahul","Karan","Vikram","Sahil"},MOD(ROW()-2,20)+1)&amp;" "&amp;INDEX({"Shah","Patel","Mehta","Desai","Joshi","Gupta","Verma","Sharma","Trivedi","Rana","Mishra","Kapoor","Iyer","Nair","Singh"},MOD(INT((ROW()-2)/20),15)+1)</f>
        <v>Vikram Mehta</v>
      </c>
      <c r="C60" s="6" t="str" cm="1">
        <f t="array" ref="C60">INDEX({"North","South","East","West","Central"},MOD(ROW()-2,5)+1)</f>
        <v>West</v>
      </c>
      <c r="D60" s="6" t="str" cm="1">
        <f t="array" ref="D60">INDEX({"Electronics","Clothing","Furniture","Books","Office Supplies"},MOD(ROW()-2,5)+1)</f>
        <v>Books</v>
      </c>
      <c r="E60" s="6">
        <f t="shared" si="12"/>
        <v>8446</v>
      </c>
      <c r="F60" s="6">
        <f t="shared" si="13"/>
        <v>11</v>
      </c>
      <c r="G60" s="7">
        <f t="shared" si="10"/>
        <v>0.05</v>
      </c>
      <c r="H60" s="8">
        <f t="shared" si="11"/>
        <v>45716</v>
      </c>
      <c r="I60" s="9">
        <f t="shared" si="5"/>
        <v>88260.7</v>
      </c>
      <c r="J60" s="6">
        <f t="shared" si="6"/>
        <v>24713</v>
      </c>
      <c r="K60" s="6" t="str" cm="1">
        <f t="array" ref="K60">INDEX({"Amit","Neha","Riya","Karan","Pooja","Rahul","Meera","Vikram"},MOD(ROW()-2,8)+1)</f>
        <v>Riya</v>
      </c>
      <c r="L60" s="6" t="str" cm="1">
        <f t="array" ref="L60">INDEX({"UPI","Credit Card","Debit Card","Cash","Net Banking"},MOD(ROW()-2,5)+1)</f>
        <v>Cash</v>
      </c>
      <c r="M60" s="10" t="str" cm="1">
        <f t="array" ref="M60">INDEX({"Retail","Corporate","Education","Small Business"},MOD(ROW()-2,4)+1)</f>
        <v>Education</v>
      </c>
    </row>
    <row r="61" spans="1:13" x14ac:dyDescent="0.3">
      <c r="A61" s="5" t="str">
        <f t="shared" si="0"/>
        <v>CUST0060</v>
      </c>
      <c r="B61" s="6" t="str" cm="1">
        <f t="array" ref="B61">INDEX({"Aarav","Vivaan","Aditya","Arjun","Kabir","Rohan","Ananya","Diya","Ishita","Meera","Riya","Pooja","Neha","Kavya","Aisha","Priya","Rahul","Karan","Vikram","Sahil"},MOD(ROW()-2,20)+1)&amp;" "&amp;INDEX({"Shah","Patel","Mehta","Desai","Joshi","Gupta","Verma","Sharma","Trivedi","Rana","Mishra","Kapoor","Iyer","Nair","Singh"},MOD(INT((ROW()-2)/20),15)+1)</f>
        <v>Sahil Mehta</v>
      </c>
      <c r="C61" s="6" t="str" cm="1">
        <f t="array" ref="C61">INDEX({"North","South","East","West","Central"},MOD(ROW()-2,5)+1)</f>
        <v>Central</v>
      </c>
      <c r="D61" s="6" t="str" cm="1">
        <f t="array" ref="D61">INDEX({"Electronics","Clothing","Furniture","Books","Office Supplies"},MOD(ROW()-2,5)+1)</f>
        <v>Office Supplies</v>
      </c>
      <c r="E61" s="6">
        <f t="shared" si="12"/>
        <v>8583</v>
      </c>
      <c r="F61" s="6">
        <f t="shared" si="13"/>
        <v>7</v>
      </c>
      <c r="G61" s="7">
        <v>0.08</v>
      </c>
      <c r="H61" s="8">
        <f t="shared" si="11"/>
        <v>45717</v>
      </c>
      <c r="I61" s="9">
        <f t="shared" si="5"/>
        <v>55274.52</v>
      </c>
      <c r="J61" s="6">
        <f t="shared" si="6"/>
        <v>16582.36</v>
      </c>
      <c r="K61" s="6" t="str" cm="1">
        <f t="array" ref="K61">INDEX({"Amit","Neha","Riya","Karan","Pooja","Rahul","Meera","Vikram"},MOD(ROW()-2,8)+1)</f>
        <v>Karan</v>
      </c>
      <c r="L61" s="6" t="str" cm="1">
        <f t="array" ref="L61">INDEX({"UPI","Credit Card","Debit Card","Cash","Net Banking"},MOD(ROW()-2,5)+1)</f>
        <v>Net Banking</v>
      </c>
      <c r="M61" s="10" t="str" cm="1">
        <f t="array" ref="M61">INDEX({"Retail","Corporate","Education","Small Business"},MOD(ROW()-2,4)+1)</f>
        <v>Small Business</v>
      </c>
    </row>
    <row r="62" spans="1:13" x14ac:dyDescent="0.3">
      <c r="A62" s="5" t="str">
        <f t="shared" si="0"/>
        <v>CUST0061</v>
      </c>
      <c r="B62" s="6" t="str" cm="1">
        <f t="array" ref="B62">INDEX({"Aarav","Vivaan","Aditya","Arjun","Kabir","Rohan","Ananya","Diya","Ishita","Meera","Riya","Pooja","Neha","Kavya","Aisha","Priya","Rahul","Karan","Vikram","Sahil"},MOD(ROW()-2,20)+1)&amp;" "&amp;INDEX({"Shah","Patel","Mehta","Desai","Joshi","Gupta","Verma","Sharma","Trivedi","Rana","Mishra","Kapoor","Iyer","Nair","Singh"},MOD(INT((ROW()-2)/20),15)+1)</f>
        <v>Aarav Desai</v>
      </c>
      <c r="C62" s="6" t="str" cm="1">
        <f t="array" ref="C62">INDEX({"North","South","East","West","Central"},MOD(ROW()-2,5)+1)</f>
        <v>North</v>
      </c>
      <c r="D62" s="6" t="str" cm="1">
        <f t="array" ref="D62">INDEX({"Electronics","Clothing","Furniture","Books","Office Supplies"},MOD(ROW()-2,5)+1)</f>
        <v>Electronics</v>
      </c>
      <c r="E62" s="6">
        <f t="shared" si="12"/>
        <v>8720</v>
      </c>
      <c r="F62" s="6">
        <f t="shared" si="13"/>
        <v>3</v>
      </c>
      <c r="G62" s="7">
        <f t="shared" ref="G62:G85" si="14">CHOOSE(MOD(ROW()-2,8)+1,0,0.02,0.05,0.08,0.1,0.12,0.15,0.2)</f>
        <v>0.1</v>
      </c>
      <c r="H62" s="8">
        <f t="shared" si="11"/>
        <v>45718</v>
      </c>
      <c r="I62" s="9">
        <f t="shared" si="5"/>
        <v>23544</v>
      </c>
      <c r="J62" s="6">
        <f t="shared" si="6"/>
        <v>1883.52</v>
      </c>
      <c r="K62" s="6" t="str" cm="1">
        <f t="array" ref="K62">INDEX({"Amit","Neha","Riya","Karan","Pooja","Rahul","Meera","Vikram"},MOD(ROW()-2,8)+1)</f>
        <v>Pooja</v>
      </c>
      <c r="L62" s="6" t="str" cm="1">
        <f t="array" ref="L62">INDEX({"UPI","Credit Card","Debit Card","Cash","Net Banking"},MOD(ROW()-2,5)+1)</f>
        <v>UPI</v>
      </c>
      <c r="M62" s="10" t="str" cm="1">
        <f t="array" ref="M62">INDEX({"Retail","Corporate","Education","Small Business"},MOD(ROW()-2,4)+1)</f>
        <v>Retail</v>
      </c>
    </row>
    <row r="63" spans="1:13" x14ac:dyDescent="0.3">
      <c r="A63" s="5" t="str">
        <f t="shared" si="0"/>
        <v>CUST0062</v>
      </c>
      <c r="B63" s="6" t="str" cm="1">
        <f t="array" ref="B63">INDEX({"Aarav","Vivaan","Aditya","Arjun","Kabir","Rohan","Ananya","Diya","Ishita","Meera","Riya","Pooja","Neha","Kavya","Aisha","Priya","Rahul","Karan","Vikram","Sahil"},MOD(ROW()-2,20)+1)&amp;" "&amp;INDEX({"Shah","Patel","Mehta","Desai","Joshi","Gupta","Verma","Sharma","Trivedi","Rana","Mishra","Kapoor","Iyer","Nair","Singh"},MOD(INT((ROW()-2)/20),15)+1)</f>
        <v>Vivaan Desai</v>
      </c>
      <c r="C63" s="6" t="str" cm="1">
        <f t="array" ref="C63">INDEX({"North","South","East","West","Central"},MOD(ROW()-2,5)+1)</f>
        <v>South</v>
      </c>
      <c r="D63" s="6" t="str" cm="1">
        <f t="array" ref="D63">INDEX({"Electronics","Clothing","Furniture","Books","Office Supplies"},MOD(ROW()-2,5)+1)</f>
        <v>Clothing</v>
      </c>
      <c r="E63" s="6">
        <f t="shared" si="12"/>
        <v>8857</v>
      </c>
      <c r="F63" s="6">
        <f t="shared" si="13"/>
        <v>10</v>
      </c>
      <c r="G63" s="7">
        <f t="shared" si="14"/>
        <v>0.12</v>
      </c>
      <c r="H63" s="8">
        <f t="shared" si="11"/>
        <v>45719</v>
      </c>
      <c r="I63" s="9">
        <f t="shared" si="5"/>
        <v>77941.600000000006</v>
      </c>
      <c r="J63" s="6">
        <f t="shared" si="6"/>
        <v>7794.16</v>
      </c>
      <c r="K63" s="6" t="str" cm="1">
        <f t="array" ref="K63">INDEX({"Amit","Neha","Riya","Karan","Pooja","Rahul","Meera","Vikram"},MOD(ROW()-2,8)+1)</f>
        <v>Rahul</v>
      </c>
      <c r="L63" s="6" t="str" cm="1">
        <f t="array" ref="L63">INDEX({"UPI","Credit Card","Debit Card","Cash","Net Banking"},MOD(ROW()-2,5)+1)</f>
        <v>Credit Card</v>
      </c>
      <c r="M63" s="10" t="str" cm="1">
        <f t="array" ref="M63">INDEX({"Retail","Corporate","Education","Small Business"},MOD(ROW()-2,4)+1)</f>
        <v>Corporate</v>
      </c>
    </row>
    <row r="64" spans="1:13" x14ac:dyDescent="0.3">
      <c r="A64" s="5" t="str">
        <f t="shared" si="0"/>
        <v>CUST0063</v>
      </c>
      <c r="B64" s="6" t="str" cm="1">
        <f t="array" ref="B64">INDEX({"Aarav","Vivaan","Aditya","Arjun","Kabir","Rohan","Ananya","Diya","Ishita","Meera","Riya","Pooja","Neha","Kavya","Aisha","Priya","Rahul","Karan","Vikram","Sahil"},MOD(ROW()-2,20)+1)&amp;" "&amp;INDEX({"Shah","Patel","Mehta","Desai","Joshi","Gupta","Verma","Sharma","Trivedi","Rana","Mishra","Kapoor","Iyer","Nair","Singh"},MOD(INT((ROW()-2)/20),15)+1)</f>
        <v>Aditya Desai</v>
      </c>
      <c r="C64" s="6" t="str" cm="1">
        <f t="array" ref="C64">INDEX({"North","South","East","West","Central"},MOD(ROW()-2,5)+1)</f>
        <v>East</v>
      </c>
      <c r="D64" s="6" t="str" cm="1">
        <f t="array" ref="D64">INDEX({"Electronics","Clothing","Furniture","Books","Office Supplies"},MOD(ROW()-2,5)+1)</f>
        <v>Furniture</v>
      </c>
      <c r="E64" s="6">
        <f t="shared" si="12"/>
        <v>8994</v>
      </c>
      <c r="F64" s="6">
        <f t="shared" si="13"/>
        <v>6</v>
      </c>
      <c r="G64" s="7">
        <f t="shared" si="14"/>
        <v>0.15</v>
      </c>
      <c r="H64" s="8">
        <f t="shared" si="11"/>
        <v>45720</v>
      </c>
      <c r="I64" s="9">
        <f t="shared" si="5"/>
        <v>45869.4</v>
      </c>
      <c r="J64" s="6">
        <f t="shared" si="6"/>
        <v>5504.33</v>
      </c>
      <c r="K64" s="6" t="str" cm="1">
        <f t="array" ref="K64">INDEX({"Amit","Neha","Riya","Karan","Pooja","Rahul","Meera","Vikram"},MOD(ROW()-2,8)+1)</f>
        <v>Meera</v>
      </c>
      <c r="L64" s="6" t="str" cm="1">
        <f t="array" ref="L64">INDEX({"UPI","Credit Card","Debit Card","Cash","Net Banking"},MOD(ROW()-2,5)+1)</f>
        <v>Debit Card</v>
      </c>
      <c r="M64" s="10" t="str" cm="1">
        <f t="array" ref="M64">INDEX({"Retail","Corporate","Education","Small Business"},MOD(ROW()-2,4)+1)</f>
        <v>Education</v>
      </c>
    </row>
    <row r="65" spans="1:13" x14ac:dyDescent="0.3">
      <c r="A65" s="5" t="str">
        <f t="shared" si="0"/>
        <v>CUST0064</v>
      </c>
      <c r="B65" s="6" t="str" cm="1">
        <f t="array" ref="B65">INDEX({"Aarav","Vivaan","Aditya","Arjun","Kabir","Rohan","Ananya","Diya","Ishita","Meera","Riya","Pooja","Neha","Kavya","Aisha","Priya","Rahul","Karan","Vikram","Sahil"},MOD(ROW()-2,20)+1)&amp;" "&amp;INDEX({"Shah","Patel","Mehta","Desai","Joshi","Gupta","Verma","Sharma","Trivedi","Rana","Mishra","Kapoor","Iyer","Nair","Singh"},MOD(INT((ROW()-2)/20),15)+1)</f>
        <v>Arjun Desai</v>
      </c>
      <c r="C65" s="6" t="str" cm="1">
        <f t="array" ref="C65">INDEX({"North","South","East","West","Central"},MOD(ROW()-2,5)+1)</f>
        <v>West</v>
      </c>
      <c r="D65" s="6" t="str" cm="1">
        <f t="array" ref="D65">INDEX({"Electronics","Clothing","Furniture","Books","Office Supplies"},MOD(ROW()-2,5)+1)</f>
        <v>Books</v>
      </c>
      <c r="E65" s="6">
        <f t="shared" si="12"/>
        <v>9131</v>
      </c>
      <c r="F65" s="6">
        <f t="shared" si="13"/>
        <v>2</v>
      </c>
      <c r="G65" s="7">
        <f t="shared" si="14"/>
        <v>0.2</v>
      </c>
      <c r="H65" s="8">
        <f t="shared" si="11"/>
        <v>45721</v>
      </c>
      <c r="I65" s="9">
        <f t="shared" si="5"/>
        <v>14609.6</v>
      </c>
      <c r="J65" s="6">
        <f t="shared" si="6"/>
        <v>2045.34</v>
      </c>
      <c r="K65" s="6" t="str" cm="1">
        <f t="array" ref="K65">INDEX({"Amit","Neha","Riya","Karan","Pooja","Rahul","Meera","Vikram"},MOD(ROW()-2,8)+1)</f>
        <v>Vikram</v>
      </c>
      <c r="L65" s="6" t="str" cm="1">
        <f t="array" ref="L65">INDEX({"UPI","Credit Card","Debit Card","Cash","Net Banking"},MOD(ROW()-2,5)+1)</f>
        <v>Cash</v>
      </c>
      <c r="M65" s="10" t="str" cm="1">
        <f t="array" ref="M65">INDEX({"Retail","Corporate","Education","Small Business"},MOD(ROW()-2,4)+1)</f>
        <v>Small Business</v>
      </c>
    </row>
    <row r="66" spans="1:13" x14ac:dyDescent="0.3">
      <c r="A66" s="5" t="str">
        <f t="shared" ref="A66:A129" si="15">"CUST"&amp;TEXT(ROW()-1,"0000")</f>
        <v>CUST0065</v>
      </c>
      <c r="B66" s="6" t="str" cm="1">
        <f t="array" ref="B66">INDEX({"Aarav","Vivaan","Aditya","Arjun","Kabir","Rohan","Ananya","Diya","Ishita","Meera","Riya","Pooja","Neha","Kavya","Aisha","Priya","Rahul","Karan","Vikram","Sahil"},MOD(ROW()-2,20)+1)&amp;" "&amp;INDEX({"Shah","Patel","Mehta","Desai","Joshi","Gupta","Verma","Sharma","Trivedi","Rana","Mishra","Kapoor","Iyer","Nair","Singh"},MOD(INT((ROW()-2)/20),15)+1)</f>
        <v>Kabir Desai</v>
      </c>
      <c r="C66" s="6" t="str" cm="1">
        <f t="array" ref="C66">INDEX({"North","South","East","West","Central"},MOD(ROW()-2,5)+1)</f>
        <v>Central</v>
      </c>
      <c r="D66" s="6" t="str" cm="1">
        <f t="array" ref="D66">INDEX({"Electronics","Clothing","Furniture","Books","Office Supplies"},MOD(ROW()-2,5)+1)</f>
        <v>Office Supplies</v>
      </c>
      <c r="E66" s="6">
        <f t="shared" si="12"/>
        <v>9268</v>
      </c>
      <c r="F66" s="6">
        <f t="shared" si="13"/>
        <v>9</v>
      </c>
      <c r="G66" s="7">
        <f t="shared" si="14"/>
        <v>0</v>
      </c>
      <c r="H66" s="8">
        <f t="shared" si="11"/>
        <v>45722</v>
      </c>
      <c r="I66" s="9">
        <f t="shared" ref="I66:I129" si="16">ROUND(E66*F66*(1-G66),2)</f>
        <v>83412</v>
      </c>
      <c r="J66" s="6">
        <f t="shared" ref="J66:J129" si="17">ROUND(I66*(0.08+MOD(ROW()-2,12)*0.02),2)</f>
        <v>13345.92</v>
      </c>
      <c r="K66" s="6" t="str" cm="1">
        <f t="array" ref="K66">INDEX({"Amit","Neha","Riya","Karan","Pooja","Rahul","Meera","Vikram"},MOD(ROW()-2,8)+1)</f>
        <v>Amit</v>
      </c>
      <c r="L66" s="6" t="str" cm="1">
        <f t="array" ref="L66">INDEX({"UPI","Credit Card","Debit Card","Cash","Net Banking"},MOD(ROW()-2,5)+1)</f>
        <v>Net Banking</v>
      </c>
      <c r="M66" s="10" t="str" cm="1">
        <f t="array" ref="M66">INDEX({"Retail","Corporate","Education","Small Business"},MOD(ROW()-2,4)+1)</f>
        <v>Retail</v>
      </c>
    </row>
    <row r="67" spans="1:13" x14ac:dyDescent="0.3">
      <c r="A67" s="5" t="str">
        <f t="shared" si="15"/>
        <v>CUST0066</v>
      </c>
      <c r="B67" s="6" t="str" cm="1">
        <f t="array" ref="B67">INDEX({"Aarav","Vivaan","Aditya","Arjun","Kabir","Rohan","Ananya","Diya","Ishita","Meera","Riya","Pooja","Neha","Kavya","Aisha","Priya","Rahul","Karan","Vikram","Sahil"},MOD(ROW()-2,20)+1)&amp;" "&amp;INDEX({"Shah","Patel","Mehta","Desai","Joshi","Gupta","Verma","Sharma","Trivedi","Rana","Mishra","Kapoor","Iyer","Nair","Singh"},MOD(INT((ROW()-2)/20),15)+1)</f>
        <v>Rohan Desai</v>
      </c>
      <c r="C67" s="6" t="str" cm="1">
        <f t="array" ref="C67">INDEX({"North","South","East","West","Central"},MOD(ROW()-2,5)+1)</f>
        <v>North</v>
      </c>
      <c r="D67" s="6" t="str" cm="1">
        <f t="array" ref="D67">INDEX({"Electronics","Clothing","Furniture","Books","Office Supplies"},MOD(ROW()-2,5)+1)</f>
        <v>Electronics</v>
      </c>
      <c r="E67" s="6">
        <f t="shared" si="12"/>
        <v>9405</v>
      </c>
      <c r="F67" s="6">
        <f t="shared" si="13"/>
        <v>5</v>
      </c>
      <c r="G67" s="7">
        <f t="shared" si="14"/>
        <v>0.02</v>
      </c>
      <c r="H67" s="8">
        <f t="shared" si="11"/>
        <v>45723</v>
      </c>
      <c r="I67" s="9">
        <f t="shared" si="16"/>
        <v>46084.5</v>
      </c>
      <c r="J67" s="6">
        <f t="shared" si="17"/>
        <v>8295.2099999999991</v>
      </c>
      <c r="K67" s="6" t="str" cm="1">
        <f t="array" ref="K67">INDEX({"Amit","Neha","Riya","Karan","Pooja","Rahul","Meera","Vikram"},MOD(ROW()-2,8)+1)</f>
        <v>Neha</v>
      </c>
      <c r="L67" s="6" t="str" cm="1">
        <f t="array" ref="L67">INDEX({"UPI","Credit Card","Debit Card","Cash","Net Banking"},MOD(ROW()-2,5)+1)</f>
        <v>UPI</v>
      </c>
      <c r="M67" s="10" t="str" cm="1">
        <f t="array" ref="M67">INDEX({"Retail","Corporate","Education","Small Business"},MOD(ROW()-2,4)+1)</f>
        <v>Corporate</v>
      </c>
    </row>
    <row r="68" spans="1:13" x14ac:dyDescent="0.3">
      <c r="A68" s="5" t="str">
        <f t="shared" si="15"/>
        <v>CUST0067</v>
      </c>
      <c r="B68" s="6" t="str" cm="1">
        <f t="array" ref="B68">INDEX({"Aarav","Vivaan","Aditya","Arjun","Kabir","Rohan","Ananya","Diya","Ishita","Meera","Riya","Pooja","Neha","Kavya","Aisha","Priya","Rahul","Karan","Vikram","Sahil"},MOD(ROW()-2,20)+1)&amp;" "&amp;INDEX({"Shah","Patel","Mehta","Desai","Joshi","Gupta","Verma","Sharma","Trivedi","Rana","Mishra","Kapoor","Iyer","Nair","Singh"},MOD(INT((ROW()-2)/20),15)+1)</f>
        <v>Ananya Desai</v>
      </c>
      <c r="C68" s="6" t="str" cm="1">
        <f t="array" ref="C68">INDEX({"North","South","East","West","Central"},MOD(ROW()-2,5)+1)</f>
        <v>South</v>
      </c>
      <c r="D68" s="6" t="str" cm="1">
        <f t="array" ref="D68">INDEX({"Electronics","Clothing","Furniture","Books","Office Supplies"},MOD(ROW()-2,5)+1)</f>
        <v>Clothing</v>
      </c>
      <c r="E68" s="6">
        <f t="shared" si="12"/>
        <v>9542</v>
      </c>
      <c r="F68" s="6">
        <f t="shared" si="13"/>
        <v>1</v>
      </c>
      <c r="G68" s="7">
        <f t="shared" si="14"/>
        <v>0.05</v>
      </c>
      <c r="H68" s="8">
        <f t="shared" si="11"/>
        <v>45724</v>
      </c>
      <c r="I68" s="9">
        <f t="shared" si="16"/>
        <v>9064.9</v>
      </c>
      <c r="J68" s="6">
        <f t="shared" si="17"/>
        <v>1812.98</v>
      </c>
      <c r="K68" s="6" t="str" cm="1">
        <f t="array" ref="K68">INDEX({"Amit","Neha","Riya","Karan","Pooja","Rahul","Meera","Vikram"},MOD(ROW()-2,8)+1)</f>
        <v>Riya</v>
      </c>
      <c r="L68" s="6" t="str" cm="1">
        <f t="array" ref="L68">INDEX({"UPI","Credit Card","Debit Card","Cash","Net Banking"},MOD(ROW()-2,5)+1)</f>
        <v>Credit Card</v>
      </c>
      <c r="M68" s="10" t="str" cm="1">
        <f t="array" ref="M68">INDEX({"Retail","Corporate","Education","Small Business"},MOD(ROW()-2,4)+1)</f>
        <v>Education</v>
      </c>
    </row>
    <row r="69" spans="1:13" x14ac:dyDescent="0.3">
      <c r="A69" s="5" t="str">
        <f t="shared" si="15"/>
        <v>CUST0068</v>
      </c>
      <c r="B69" s="6" t="str" cm="1">
        <f t="array" ref="B69">INDEX({"Aarav","Vivaan","Aditya","Arjun","Kabir","Rohan","Ananya","Diya","Ishita","Meera","Riya","Pooja","Neha","Kavya","Aisha","Priya","Rahul","Karan","Vikram","Sahil"},MOD(ROW()-2,20)+1)&amp;" "&amp;INDEX({"Shah","Patel","Mehta","Desai","Joshi","Gupta","Verma","Sharma","Trivedi","Rana","Mishra","Kapoor","Iyer","Nair","Singh"},MOD(INT((ROW()-2)/20),15)+1)</f>
        <v>Diya Desai</v>
      </c>
      <c r="C69" s="6" t="str" cm="1">
        <f t="array" ref="C69">INDEX({"North","South","East","West","Central"},MOD(ROW()-2,5)+1)</f>
        <v>East</v>
      </c>
      <c r="D69" s="6" t="str" cm="1">
        <f t="array" ref="D69">INDEX({"Electronics","Clothing","Furniture","Books","Office Supplies"},MOD(ROW()-2,5)+1)</f>
        <v>Furniture</v>
      </c>
      <c r="E69" s="6">
        <f t="shared" si="12"/>
        <v>9679</v>
      </c>
      <c r="F69" s="6">
        <f t="shared" si="13"/>
        <v>8</v>
      </c>
      <c r="G69" s="7">
        <f t="shared" si="14"/>
        <v>0.08</v>
      </c>
      <c r="H69" s="8">
        <f t="shared" si="11"/>
        <v>45725</v>
      </c>
      <c r="I69" s="9">
        <f t="shared" si="16"/>
        <v>71237.440000000002</v>
      </c>
      <c r="J69" s="6">
        <f t="shared" si="17"/>
        <v>15672.24</v>
      </c>
      <c r="K69" s="6" t="str" cm="1">
        <f t="array" ref="K69">INDEX({"Amit","Neha","Riya","Karan","Pooja","Rahul","Meera","Vikram"},MOD(ROW()-2,8)+1)</f>
        <v>Karan</v>
      </c>
      <c r="L69" s="6" t="str" cm="1">
        <f t="array" ref="L69">INDEX({"UPI","Credit Card","Debit Card","Cash","Net Banking"},MOD(ROW()-2,5)+1)</f>
        <v>Debit Card</v>
      </c>
      <c r="M69" s="10" t="str" cm="1">
        <f t="array" ref="M69">INDEX({"Retail","Corporate","Education","Small Business"},MOD(ROW()-2,4)+1)</f>
        <v>Small Business</v>
      </c>
    </row>
    <row r="70" spans="1:13" x14ac:dyDescent="0.3">
      <c r="A70" s="5" t="str">
        <f t="shared" si="15"/>
        <v>CUST0069</v>
      </c>
      <c r="B70" s="6" t="str" cm="1">
        <f t="array" ref="B70">INDEX({"Aarav","Vivaan","Aditya","Arjun","Kabir","Rohan","Ananya","Diya","Ishita","Meera","Riya","Pooja","Neha","Kavya","Aisha","Priya","Rahul","Karan","Vikram","Sahil"},MOD(ROW()-2,20)+1)&amp;" "&amp;INDEX({"Shah","Patel","Mehta","Desai","Joshi","Gupta","Verma","Sharma","Trivedi","Rana","Mishra","Kapoor","Iyer","Nair","Singh"},MOD(INT((ROW()-2)/20),15)+1)</f>
        <v>Ishita Desai</v>
      </c>
      <c r="C70" s="6" t="str" cm="1">
        <f t="array" ref="C70">INDEX({"North","South","East","West","Central"},MOD(ROW()-2,5)+1)</f>
        <v>West</v>
      </c>
      <c r="D70" s="6" t="str" cm="1">
        <f t="array" ref="D70">INDEX({"Electronics","Clothing","Furniture","Books","Office Supplies"},MOD(ROW()-2,5)+1)</f>
        <v>Books</v>
      </c>
      <c r="E70" s="6">
        <f t="shared" si="12"/>
        <v>9816</v>
      </c>
      <c r="F70" s="6">
        <f t="shared" si="13"/>
        <v>4</v>
      </c>
      <c r="G70" s="7">
        <f t="shared" si="14"/>
        <v>0.1</v>
      </c>
      <c r="H70" s="8">
        <f t="shared" si="11"/>
        <v>45726</v>
      </c>
      <c r="I70" s="9">
        <f t="shared" si="16"/>
        <v>35337.599999999999</v>
      </c>
      <c r="J70" s="6">
        <f t="shared" si="17"/>
        <v>8481.02</v>
      </c>
      <c r="K70" s="6" t="str" cm="1">
        <f t="array" ref="K70">INDEX({"Amit","Neha","Riya","Karan","Pooja","Rahul","Meera","Vikram"},MOD(ROW()-2,8)+1)</f>
        <v>Pooja</v>
      </c>
      <c r="L70" s="6" t="str" cm="1">
        <f t="array" ref="L70">INDEX({"UPI","Credit Card","Debit Card","Cash","Net Banking"},MOD(ROW()-2,5)+1)</f>
        <v>Cash</v>
      </c>
      <c r="M70" s="10" t="str" cm="1">
        <f t="array" ref="M70">INDEX({"Retail","Corporate","Education","Small Business"},MOD(ROW()-2,4)+1)</f>
        <v>Retail</v>
      </c>
    </row>
    <row r="71" spans="1:13" x14ac:dyDescent="0.3">
      <c r="A71" s="5" t="str">
        <f t="shared" si="15"/>
        <v>CUST0070</v>
      </c>
      <c r="B71" s="6" t="str" cm="1">
        <f t="array" ref="B71">INDEX({"Aarav","Vivaan","Aditya","Arjun","Kabir","Rohan","Ananya","Diya","Ishita","Meera","Riya","Pooja","Neha","Kavya","Aisha","Priya","Rahul","Karan","Vikram","Sahil"},MOD(ROW()-2,20)+1)&amp;" "&amp;INDEX({"Shah","Patel","Mehta","Desai","Joshi","Gupta","Verma","Sharma","Trivedi","Rana","Mishra","Kapoor","Iyer","Nair","Singh"},MOD(INT((ROW()-2)/20),15)+1)</f>
        <v>Meera Desai</v>
      </c>
      <c r="C71" s="6" t="str" cm="1">
        <f t="array" ref="C71">INDEX({"North","South","East","West","Central"},MOD(ROW()-2,5)+1)</f>
        <v>Central</v>
      </c>
      <c r="D71" s="6" t="str" cm="1">
        <f t="array" ref="D71">INDEX({"Electronics","Clothing","Furniture","Books","Office Supplies"},MOD(ROW()-2,5)+1)</f>
        <v>Office Supplies</v>
      </c>
      <c r="E71" s="6">
        <f t="shared" si="12"/>
        <v>9953</v>
      </c>
      <c r="F71" s="6">
        <f t="shared" si="13"/>
        <v>11</v>
      </c>
      <c r="G71" s="7">
        <f t="shared" si="14"/>
        <v>0.12</v>
      </c>
      <c r="H71" s="8">
        <f t="shared" si="11"/>
        <v>45727</v>
      </c>
      <c r="I71" s="9">
        <f t="shared" si="16"/>
        <v>96345.04</v>
      </c>
      <c r="J71" s="6">
        <f t="shared" si="17"/>
        <v>25049.71</v>
      </c>
      <c r="K71" s="6" t="str" cm="1">
        <f t="array" ref="K71">INDEX({"Amit","Neha","Riya","Karan","Pooja","Rahul","Meera","Vikram"},MOD(ROW()-2,8)+1)</f>
        <v>Rahul</v>
      </c>
      <c r="L71" s="6" t="str" cm="1">
        <f t="array" ref="L71">INDEX({"UPI","Credit Card","Debit Card","Cash","Net Banking"},MOD(ROW()-2,5)+1)</f>
        <v>Net Banking</v>
      </c>
      <c r="M71" s="10" t="str" cm="1">
        <f t="array" ref="M71">INDEX({"Retail","Corporate","Education","Small Business"},MOD(ROW()-2,4)+1)</f>
        <v>Corporate</v>
      </c>
    </row>
    <row r="72" spans="1:13" x14ac:dyDescent="0.3">
      <c r="A72" s="5" t="str">
        <f t="shared" si="15"/>
        <v>CUST0071</v>
      </c>
      <c r="B72" s="6" t="str" cm="1">
        <f t="array" ref="B72">INDEX({"Aarav","Vivaan","Aditya","Arjun","Kabir","Rohan","Ananya","Diya","Ishita","Meera","Riya","Pooja","Neha","Kavya","Aisha","Priya","Rahul","Karan","Vikram","Sahil"},MOD(ROW()-2,20)+1)&amp;" "&amp;INDEX({"Shah","Patel","Mehta","Desai","Joshi","Gupta","Verma","Sharma","Trivedi","Rana","Mishra","Kapoor","Iyer","Nair","Singh"},MOD(INT((ROW()-2)/20),15)+1)</f>
        <v>Riya Desai</v>
      </c>
      <c r="C72" s="6" t="str" cm="1">
        <f t="array" ref="C72">INDEX({"North","South","East","West","Central"},MOD(ROW()-2,5)+1)</f>
        <v>North</v>
      </c>
      <c r="D72" s="6" t="str" cm="1">
        <f t="array" ref="D72">INDEX({"Electronics","Clothing","Furniture","Books","Office Supplies"},MOD(ROW()-2,5)+1)</f>
        <v>Electronics</v>
      </c>
      <c r="E72" s="6">
        <f t="shared" si="12"/>
        <v>10090</v>
      </c>
      <c r="F72" s="6">
        <f t="shared" si="13"/>
        <v>7</v>
      </c>
      <c r="G72" s="7">
        <f t="shared" si="14"/>
        <v>0.15</v>
      </c>
      <c r="H72" s="8">
        <f t="shared" si="11"/>
        <v>45728</v>
      </c>
      <c r="I72" s="9">
        <f t="shared" si="16"/>
        <v>60035.5</v>
      </c>
      <c r="J72" s="6">
        <f t="shared" si="17"/>
        <v>16809.939999999999</v>
      </c>
      <c r="K72" s="6" t="str" cm="1">
        <f t="array" ref="K72">INDEX({"Amit","Neha","Riya","Karan","Pooja","Rahul","Meera","Vikram"},MOD(ROW()-2,8)+1)</f>
        <v>Meera</v>
      </c>
      <c r="L72" s="6" t="str" cm="1">
        <f t="array" ref="L72">INDEX({"UPI","Credit Card","Debit Card","Cash","Net Banking"},MOD(ROW()-2,5)+1)</f>
        <v>UPI</v>
      </c>
      <c r="M72" s="10" t="str" cm="1">
        <f t="array" ref="M72">INDEX({"Retail","Corporate","Education","Small Business"},MOD(ROW()-2,4)+1)</f>
        <v>Education</v>
      </c>
    </row>
    <row r="73" spans="1:13" x14ac:dyDescent="0.3">
      <c r="A73" s="5" t="str">
        <f t="shared" si="15"/>
        <v>CUST0072</v>
      </c>
      <c r="B73" s="6" t="str" cm="1">
        <f t="array" ref="B73">INDEX({"Aarav","Vivaan","Aditya","Arjun","Kabir","Rohan","Ananya","Diya","Ishita","Meera","Riya","Pooja","Neha","Kavya","Aisha","Priya","Rahul","Karan","Vikram","Sahil"},MOD(ROW()-2,20)+1)&amp;" "&amp;INDEX({"Shah","Patel","Mehta","Desai","Joshi","Gupta","Verma","Sharma","Trivedi","Rana","Mishra","Kapoor","Iyer","Nair","Singh"},MOD(INT((ROW()-2)/20),15)+1)</f>
        <v>Pooja Desai</v>
      </c>
      <c r="C73" s="6" t="str" cm="1">
        <f t="array" ref="C73">INDEX({"North","South","East","West","Central"},MOD(ROW()-2,5)+1)</f>
        <v>South</v>
      </c>
      <c r="D73" s="6" t="str" cm="1">
        <f t="array" ref="D73">INDEX({"Electronics","Clothing","Furniture","Books","Office Supplies"},MOD(ROW()-2,5)+1)</f>
        <v>Clothing</v>
      </c>
      <c r="E73" s="6">
        <f t="shared" si="12"/>
        <v>10227</v>
      </c>
      <c r="F73" s="6">
        <f t="shared" si="13"/>
        <v>3</v>
      </c>
      <c r="G73" s="7">
        <f t="shared" si="14"/>
        <v>0.2</v>
      </c>
      <c r="H73" s="8">
        <f t="shared" si="11"/>
        <v>45729</v>
      </c>
      <c r="I73" s="9">
        <f t="shared" si="16"/>
        <v>24544.799999999999</v>
      </c>
      <c r="J73" s="6">
        <f t="shared" si="17"/>
        <v>7363.44</v>
      </c>
      <c r="K73" s="6" t="str" cm="1">
        <f t="array" ref="K73">INDEX({"Amit","Neha","Riya","Karan","Pooja","Rahul","Meera","Vikram"},MOD(ROW()-2,8)+1)</f>
        <v>Vikram</v>
      </c>
      <c r="L73" s="6" t="str" cm="1">
        <f t="array" ref="L73">INDEX({"UPI","Credit Card","Debit Card","Cash","Net Banking"},MOD(ROW()-2,5)+1)</f>
        <v>Credit Card</v>
      </c>
      <c r="M73" s="10" t="str" cm="1">
        <f t="array" ref="M73">INDEX({"Retail","Corporate","Education","Small Business"},MOD(ROW()-2,4)+1)</f>
        <v>Small Business</v>
      </c>
    </row>
    <row r="74" spans="1:13" x14ac:dyDescent="0.3">
      <c r="A74" s="5" t="str">
        <f t="shared" si="15"/>
        <v>CUST0073</v>
      </c>
      <c r="B74" s="6" t="str" cm="1">
        <f t="array" ref="B74">INDEX({"Aarav","Vivaan","Aditya","Arjun","Kabir","Rohan","Ananya","Diya","Ishita","Meera","Riya","Pooja","Neha","Kavya","Aisha","Priya","Rahul","Karan","Vikram","Sahil"},MOD(ROW()-2,20)+1)&amp;" "&amp;INDEX({"Shah","Patel","Mehta","Desai","Joshi","Gupta","Verma","Sharma","Trivedi","Rana","Mishra","Kapoor","Iyer","Nair","Singh"},MOD(INT((ROW()-2)/20),15)+1)</f>
        <v>Neha Desai</v>
      </c>
      <c r="C74" s="6" t="str" cm="1">
        <f t="array" ref="C74">INDEX({"North","South","East","West","Central"},MOD(ROW()-2,5)+1)</f>
        <v>East</v>
      </c>
      <c r="D74" s="6" t="str" cm="1">
        <f t="array" ref="D74">INDEX({"Electronics","Clothing","Furniture","Books","Office Supplies"},MOD(ROW()-2,5)+1)</f>
        <v>Furniture</v>
      </c>
      <c r="E74" s="6">
        <f t="shared" si="12"/>
        <v>10364</v>
      </c>
      <c r="F74" s="6">
        <f t="shared" si="13"/>
        <v>10</v>
      </c>
      <c r="G74" s="7">
        <f t="shared" si="14"/>
        <v>0</v>
      </c>
      <c r="H74" s="8">
        <f t="shared" si="11"/>
        <v>45730</v>
      </c>
      <c r="I74" s="9">
        <f t="shared" si="16"/>
        <v>103640</v>
      </c>
      <c r="J74" s="6">
        <f t="shared" si="17"/>
        <v>8291.2000000000007</v>
      </c>
      <c r="K74" s="6" t="str" cm="1">
        <f t="array" ref="K74">INDEX({"Amit","Neha","Riya","Karan","Pooja","Rahul","Meera","Vikram"},MOD(ROW()-2,8)+1)</f>
        <v>Amit</v>
      </c>
      <c r="L74" s="6" t="str" cm="1">
        <f t="array" ref="L74">INDEX({"UPI","Credit Card","Debit Card","Cash","Net Banking"},MOD(ROW()-2,5)+1)</f>
        <v>Debit Card</v>
      </c>
      <c r="M74" s="10" t="str" cm="1">
        <f t="array" ref="M74">INDEX({"Retail","Corporate","Education","Small Business"},MOD(ROW()-2,4)+1)</f>
        <v>Retail</v>
      </c>
    </row>
    <row r="75" spans="1:13" x14ac:dyDescent="0.3">
      <c r="A75" s="5" t="str">
        <f t="shared" si="15"/>
        <v>CUST0074</v>
      </c>
      <c r="B75" s="6" t="str" cm="1">
        <f t="array" ref="B75">INDEX({"Aarav","Vivaan","Aditya","Arjun","Kabir","Rohan","Ananya","Diya","Ishita","Meera","Riya","Pooja","Neha","Kavya","Aisha","Priya","Rahul","Karan","Vikram","Sahil"},MOD(ROW()-2,20)+1)&amp;" "&amp;INDEX({"Shah","Patel","Mehta","Desai","Joshi","Gupta","Verma","Sharma","Trivedi","Rana","Mishra","Kapoor","Iyer","Nair","Singh"},MOD(INT((ROW()-2)/20),15)+1)</f>
        <v>Kavya Desai</v>
      </c>
      <c r="C75" s="6" t="str" cm="1">
        <f t="array" ref="C75">INDEX({"North","South","East","West","Central"},MOD(ROW()-2,5)+1)</f>
        <v>West</v>
      </c>
      <c r="D75" s="6" t="str" cm="1">
        <f t="array" ref="D75">INDEX({"Electronics","Clothing","Furniture","Books","Office Supplies"},MOD(ROW()-2,5)+1)</f>
        <v>Books</v>
      </c>
      <c r="E75" s="6">
        <f t="shared" si="12"/>
        <v>10501</v>
      </c>
      <c r="F75" s="6">
        <f t="shared" si="13"/>
        <v>6</v>
      </c>
      <c r="G75" s="7">
        <f t="shared" si="14"/>
        <v>0.02</v>
      </c>
      <c r="H75" s="8">
        <v>45761</v>
      </c>
      <c r="I75" s="9">
        <f t="shared" si="16"/>
        <v>61745.88</v>
      </c>
      <c r="J75" s="6">
        <f t="shared" si="17"/>
        <v>6174.59</v>
      </c>
      <c r="K75" s="6" t="str" cm="1">
        <f t="array" ref="K75">INDEX({"Amit","Neha","Riya","Karan","Pooja","Rahul","Meera","Vikram"},MOD(ROW()-2,8)+1)</f>
        <v>Neha</v>
      </c>
      <c r="L75" s="6" t="str" cm="1">
        <f t="array" ref="L75">INDEX({"UPI","Credit Card","Debit Card","Cash","Net Banking"},MOD(ROW()-2,5)+1)</f>
        <v>Cash</v>
      </c>
      <c r="M75" s="10" t="str" cm="1">
        <f t="array" ref="M75">INDEX({"Retail","Corporate","Education","Small Business"},MOD(ROW()-2,4)+1)</f>
        <v>Corporate</v>
      </c>
    </row>
    <row r="76" spans="1:13" x14ac:dyDescent="0.3">
      <c r="A76" s="5" t="str">
        <f t="shared" si="15"/>
        <v>CUST0075</v>
      </c>
      <c r="B76" s="6" t="str" cm="1">
        <f t="array" ref="B76">INDEX({"Aarav","Vivaan","Aditya","Arjun","Kabir","Rohan","Ananya","Diya","Ishita","Meera","Riya","Pooja","Neha","Kavya","Aisha","Priya","Rahul","Karan","Vikram","Sahil"},MOD(ROW()-2,20)+1)&amp;" "&amp;INDEX({"Shah","Patel","Mehta","Desai","Joshi","Gupta","Verma","Sharma","Trivedi","Rana","Mishra","Kapoor","Iyer","Nair","Singh"},MOD(INT((ROW()-2)/20),15)+1)</f>
        <v>Aisha Desai</v>
      </c>
      <c r="C76" s="6" t="str" cm="1">
        <f t="array" ref="C76">INDEX({"North","South","East","West","Central"},MOD(ROW()-2,5)+1)</f>
        <v>Central</v>
      </c>
      <c r="D76" s="6" t="str" cm="1">
        <f t="array" ref="D76">INDEX({"Electronics","Clothing","Furniture","Books","Office Supplies"},MOD(ROW()-2,5)+1)</f>
        <v>Office Supplies</v>
      </c>
      <c r="E76" s="6">
        <f t="shared" si="12"/>
        <v>10638</v>
      </c>
      <c r="F76" s="6">
        <f t="shared" si="13"/>
        <v>2</v>
      </c>
      <c r="G76" s="7">
        <f t="shared" si="14"/>
        <v>0.05</v>
      </c>
      <c r="H76" s="8">
        <f t="shared" ref="H76:H107" si="18">DATE(2025,1,1)+MOD(ROW()-2,365)</f>
        <v>45732</v>
      </c>
      <c r="I76" s="9">
        <f t="shared" si="16"/>
        <v>20212.2</v>
      </c>
      <c r="J76" s="6">
        <f t="shared" si="17"/>
        <v>2425.46</v>
      </c>
      <c r="K76" s="6" t="str" cm="1">
        <f t="array" ref="K76">INDEX({"Amit","Neha","Riya","Karan","Pooja","Rahul","Meera","Vikram"},MOD(ROW()-2,8)+1)</f>
        <v>Riya</v>
      </c>
      <c r="L76" s="6" t="str" cm="1">
        <f t="array" ref="L76">INDEX({"UPI","Credit Card","Debit Card","Cash","Net Banking"},MOD(ROW()-2,5)+1)</f>
        <v>Net Banking</v>
      </c>
      <c r="M76" s="10" t="str" cm="1">
        <f t="array" ref="M76">INDEX({"Retail","Corporate","Education","Small Business"},MOD(ROW()-2,4)+1)</f>
        <v>Education</v>
      </c>
    </row>
    <row r="77" spans="1:13" x14ac:dyDescent="0.3">
      <c r="A77" s="5" t="str">
        <f t="shared" si="15"/>
        <v>CUST0076</v>
      </c>
      <c r="B77" s="6" t="str" cm="1">
        <f t="array" ref="B77">INDEX({"Aarav","Vivaan","Aditya","Arjun","Kabir","Rohan","Ananya","Diya","Ishita","Meera","Riya","Pooja","Neha","Kavya","Aisha","Priya","Rahul","Karan","Vikram","Sahil"},MOD(ROW()-2,20)+1)&amp;" "&amp;INDEX({"Shah","Patel","Mehta","Desai","Joshi","Gupta","Verma","Sharma","Trivedi","Rana","Mishra","Kapoor","Iyer","Nair","Singh"},MOD(INT((ROW()-2)/20),15)+1)</f>
        <v>Priya Desai</v>
      </c>
      <c r="C77" s="6" t="str" cm="1">
        <f t="array" ref="C77">INDEX({"North","South","East","West","Central"},MOD(ROW()-2,5)+1)</f>
        <v>North</v>
      </c>
      <c r="D77" s="6" t="str" cm="1">
        <f t="array" ref="D77">INDEX({"Electronics","Clothing","Furniture","Books","Office Supplies"},MOD(ROW()-2,5)+1)</f>
        <v>Electronics</v>
      </c>
      <c r="E77" s="6">
        <v>14885</v>
      </c>
      <c r="F77" s="6">
        <f t="shared" si="13"/>
        <v>9</v>
      </c>
      <c r="G77" s="7">
        <f t="shared" si="14"/>
        <v>0.08</v>
      </c>
      <c r="H77" s="8">
        <f t="shared" si="18"/>
        <v>45733</v>
      </c>
      <c r="I77" s="9">
        <f t="shared" si="16"/>
        <v>123247.8</v>
      </c>
      <c r="J77" s="6">
        <f t="shared" si="17"/>
        <v>17254.689999999999</v>
      </c>
      <c r="K77" s="6" t="str" cm="1">
        <f t="array" ref="K77">INDEX({"Amit","Neha","Riya","Karan","Pooja","Rahul","Meera","Vikram"},MOD(ROW()-2,8)+1)</f>
        <v>Karan</v>
      </c>
      <c r="L77" s="6" t="str" cm="1">
        <f t="array" ref="L77">INDEX({"UPI","Credit Card","Debit Card","Cash","Net Banking"},MOD(ROW()-2,5)+1)</f>
        <v>UPI</v>
      </c>
      <c r="M77" s="10" t="str" cm="1">
        <f t="array" ref="M77">INDEX({"Retail","Corporate","Education","Small Business"},MOD(ROW()-2,4)+1)</f>
        <v>Small Business</v>
      </c>
    </row>
    <row r="78" spans="1:13" x14ac:dyDescent="0.3">
      <c r="A78" s="5" t="str">
        <f t="shared" si="15"/>
        <v>CUST0077</v>
      </c>
      <c r="B78" s="6" t="s">
        <v>29</v>
      </c>
      <c r="C78" s="6" t="str" cm="1">
        <f t="array" ref="C78">INDEX({"North","South","East","West","Central"},MOD(ROW()-2,5)+1)</f>
        <v>South</v>
      </c>
      <c r="D78" s="6" t="str" cm="1">
        <f t="array" ref="D78">INDEX({"Electronics","Clothing","Furniture","Books","Office Supplies"},MOD(ROW()-2,5)+1)</f>
        <v>Clothing</v>
      </c>
      <c r="E78" s="6">
        <f t="shared" ref="E78:E109" si="19">ROUND(500+MOD((ROW()-2)*137,44500),2)</f>
        <v>10912</v>
      </c>
      <c r="F78" s="6">
        <f t="shared" si="13"/>
        <v>5</v>
      </c>
      <c r="G78" s="7">
        <f t="shared" si="14"/>
        <v>0.1</v>
      </c>
      <c r="H78" s="8">
        <f t="shared" si="18"/>
        <v>45734</v>
      </c>
      <c r="I78" s="9">
        <f t="shared" si="16"/>
        <v>49104</v>
      </c>
      <c r="J78" s="6">
        <f t="shared" si="17"/>
        <v>7856.64</v>
      </c>
      <c r="K78" s="6" t="str" cm="1">
        <f t="array" ref="K78">INDEX({"Amit","Neha","Riya","Karan","Pooja","Rahul","Meera","Vikram"},MOD(ROW()-2,8)+1)</f>
        <v>Pooja</v>
      </c>
      <c r="L78" s="6" t="str" cm="1">
        <f t="array" ref="L78">INDEX({"UPI","Credit Card","Debit Card","Cash","Net Banking"},MOD(ROW()-2,5)+1)</f>
        <v>Credit Card</v>
      </c>
      <c r="M78" s="10" t="str" cm="1">
        <f t="array" ref="M78">INDEX({"Retail","Corporate","Education","Small Business"},MOD(ROW()-2,4)+1)</f>
        <v>Retail</v>
      </c>
    </row>
    <row r="79" spans="1:13" x14ac:dyDescent="0.3">
      <c r="A79" s="5" t="str">
        <f t="shared" si="15"/>
        <v>CUST0078</v>
      </c>
      <c r="B79" s="6" t="str" cm="1">
        <f t="array" ref="B79">INDEX({"Aarav","Vivaan","Aditya","Arjun","Kabir","Rohan","Ananya","Diya","Ishita","Meera","Riya","Pooja","Neha","Kavya","Aisha","Priya","Rahul","Karan","Vikram","Sahil"},MOD(ROW()-2,20)+1)&amp;" "&amp;INDEX({"Shah","Patel","Mehta","Desai","Joshi","Gupta","Verma","Sharma","Trivedi","Rana","Mishra","Kapoor","Iyer","Nair","Singh"},MOD(INT((ROW()-2)/20),15)+1)</f>
        <v>Karan Desai</v>
      </c>
      <c r="C79" s="6" t="str" cm="1">
        <f t="array" ref="C79">INDEX({"North","South","East","West","Central"},MOD(ROW()-2,5)+1)</f>
        <v>East</v>
      </c>
      <c r="D79" s="6" t="str" cm="1">
        <f t="array" ref="D79">INDEX({"Electronics","Clothing","Furniture","Books","Office Supplies"},MOD(ROW()-2,5)+1)</f>
        <v>Furniture</v>
      </c>
      <c r="E79" s="6">
        <f t="shared" si="19"/>
        <v>11049</v>
      </c>
      <c r="F79" s="6">
        <f t="shared" si="13"/>
        <v>1</v>
      </c>
      <c r="G79" s="7">
        <f t="shared" si="14"/>
        <v>0.12</v>
      </c>
      <c r="H79" s="8">
        <f t="shared" si="18"/>
        <v>45735</v>
      </c>
      <c r="I79" s="9">
        <f t="shared" si="16"/>
        <v>9723.1200000000008</v>
      </c>
      <c r="J79" s="6">
        <f t="shared" si="17"/>
        <v>1750.16</v>
      </c>
      <c r="K79" s="6" t="str" cm="1">
        <f t="array" ref="K79">INDEX({"Amit","Neha","Riya","Karan","Pooja","Rahul","Meera","Vikram"},MOD(ROW()-2,8)+1)</f>
        <v>Rahul</v>
      </c>
      <c r="L79" s="6" t="str" cm="1">
        <f t="array" ref="L79">INDEX({"UPI","Credit Card","Debit Card","Cash","Net Banking"},MOD(ROW()-2,5)+1)</f>
        <v>Debit Card</v>
      </c>
      <c r="M79" s="10" t="str" cm="1">
        <f t="array" ref="M79">INDEX({"Retail","Corporate","Education","Small Business"},MOD(ROW()-2,4)+1)</f>
        <v>Corporate</v>
      </c>
    </row>
    <row r="80" spans="1:13" x14ac:dyDescent="0.3">
      <c r="A80" s="5" t="str">
        <f t="shared" si="15"/>
        <v>CUST0079</v>
      </c>
      <c r="B80" s="6" t="str" cm="1">
        <f t="array" ref="B80">INDEX({"Aarav","Vivaan","Aditya","Arjun","Kabir","Rohan","Ananya","Diya","Ishita","Meera","Riya","Pooja","Neha","Kavya","Aisha","Priya","Rahul","Karan","Vikram","Sahil"},MOD(ROW()-2,20)+1)&amp;" "&amp;INDEX({"Shah","Patel","Mehta","Desai","Joshi","Gupta","Verma","Sharma","Trivedi","Rana","Mishra","Kapoor","Iyer","Nair","Singh"},MOD(INT((ROW()-2)/20),15)+1)</f>
        <v>Vikram Desai</v>
      </c>
      <c r="C80" s="6" t="str" cm="1">
        <f t="array" ref="C80">INDEX({"North","South","East","West","Central"},MOD(ROW()-2,5)+1)</f>
        <v>West</v>
      </c>
      <c r="D80" s="6" t="str" cm="1">
        <f t="array" ref="D80">INDEX({"Electronics","Clothing","Furniture","Books","Office Supplies"},MOD(ROW()-2,5)+1)</f>
        <v>Books</v>
      </c>
      <c r="E80" s="6">
        <f t="shared" si="19"/>
        <v>11186</v>
      </c>
      <c r="F80" s="6">
        <f t="shared" si="13"/>
        <v>8</v>
      </c>
      <c r="G80" s="7">
        <f t="shared" si="14"/>
        <v>0.15</v>
      </c>
      <c r="H80" s="8">
        <f t="shared" si="18"/>
        <v>45736</v>
      </c>
      <c r="I80" s="9">
        <f t="shared" si="16"/>
        <v>76064.800000000003</v>
      </c>
      <c r="J80" s="6">
        <f t="shared" si="17"/>
        <v>15212.96</v>
      </c>
      <c r="K80" s="6" t="str" cm="1">
        <f t="array" ref="K80">INDEX({"Amit","Neha","Riya","Karan","Pooja","Rahul","Meera","Vikram"},MOD(ROW()-2,8)+1)</f>
        <v>Meera</v>
      </c>
      <c r="L80" s="6" t="str" cm="1">
        <f t="array" ref="L80">INDEX({"UPI","Credit Card","Debit Card","Cash","Net Banking"},MOD(ROW()-2,5)+1)</f>
        <v>Cash</v>
      </c>
      <c r="M80" s="10" t="str" cm="1">
        <f t="array" ref="M80">INDEX({"Retail","Corporate","Education","Small Business"},MOD(ROW()-2,4)+1)</f>
        <v>Education</v>
      </c>
    </row>
    <row r="81" spans="1:13" x14ac:dyDescent="0.3">
      <c r="A81" s="5" t="str">
        <f t="shared" si="15"/>
        <v>CUST0080</v>
      </c>
      <c r="B81" s="6" t="str" cm="1">
        <f t="array" ref="B81">INDEX({"Aarav","Vivaan","Aditya","Arjun","Kabir","Rohan","Ananya","Diya","Ishita","Meera","Riya","Pooja","Neha","Kavya","Aisha","Priya","Rahul","Karan","Vikram","Sahil"},MOD(ROW()-2,20)+1)&amp;" "&amp;INDEX({"Shah","Patel","Mehta","Desai","Joshi","Gupta","Verma","Sharma","Trivedi","Rana","Mishra","Kapoor","Iyer","Nair","Singh"},MOD(INT((ROW()-2)/20),15)+1)</f>
        <v>Sahil Desai</v>
      </c>
      <c r="C81" s="6" t="str" cm="1">
        <f t="array" ref="C81">INDEX({"North","South","East","West","Central"},MOD(ROW()-2,5)+1)</f>
        <v>Central</v>
      </c>
      <c r="D81" s="6" t="str" cm="1">
        <f t="array" ref="D81">INDEX({"Electronics","Clothing","Furniture","Books","Office Supplies"},MOD(ROW()-2,5)+1)</f>
        <v>Office Supplies</v>
      </c>
      <c r="E81" s="6">
        <f t="shared" si="19"/>
        <v>11323</v>
      </c>
      <c r="F81" s="6">
        <f t="shared" si="13"/>
        <v>4</v>
      </c>
      <c r="G81" s="7">
        <f t="shared" si="14"/>
        <v>0.2</v>
      </c>
      <c r="H81" s="8">
        <f t="shared" si="18"/>
        <v>45737</v>
      </c>
      <c r="I81" s="9">
        <f t="shared" si="16"/>
        <v>36233.599999999999</v>
      </c>
      <c r="J81" s="6">
        <f t="shared" si="17"/>
        <v>7971.39</v>
      </c>
      <c r="K81" s="6" t="str" cm="1">
        <f t="array" ref="K81">INDEX({"Amit","Neha","Riya","Karan","Pooja","Rahul","Meera","Vikram"},MOD(ROW()-2,8)+1)</f>
        <v>Vikram</v>
      </c>
      <c r="L81" s="6" t="str" cm="1">
        <f t="array" ref="L81">INDEX({"UPI","Credit Card","Debit Card","Cash","Net Banking"},MOD(ROW()-2,5)+1)</f>
        <v>Net Banking</v>
      </c>
      <c r="M81" s="10" t="str" cm="1">
        <f t="array" ref="M81">INDEX({"Retail","Corporate","Education","Small Business"},MOD(ROW()-2,4)+1)</f>
        <v>Small Business</v>
      </c>
    </row>
    <row r="82" spans="1:13" x14ac:dyDescent="0.3">
      <c r="A82" s="5" t="str">
        <f t="shared" si="15"/>
        <v>CUST0081</v>
      </c>
      <c r="B82" s="6" t="str" cm="1">
        <f t="array" ref="B82">INDEX({"Aarav","Vivaan","Aditya","Arjun","Kabir","Rohan","Ananya","Diya","Ishita","Meera","Riya","Pooja","Neha","Kavya","Aisha","Priya","Rahul","Karan","Vikram","Sahil"},MOD(ROW()-2,20)+1)&amp;" "&amp;INDEX({"Shah","Patel","Mehta","Desai","Joshi","Gupta","Verma","Sharma","Trivedi","Rana","Mishra","Kapoor","Iyer","Nair","Singh"},MOD(INT((ROW()-2)/20),15)+1)</f>
        <v>Aarav Joshi</v>
      </c>
      <c r="C82" s="6" t="str" cm="1">
        <f t="array" ref="C82">INDEX({"North","South","East","West","Central"},MOD(ROW()-2,5)+1)</f>
        <v>North</v>
      </c>
      <c r="D82" s="6" t="str" cm="1">
        <f t="array" ref="D82">INDEX({"Electronics","Clothing","Furniture","Books","Office Supplies"},MOD(ROW()-2,5)+1)</f>
        <v>Electronics</v>
      </c>
      <c r="E82" s="6">
        <f t="shared" si="19"/>
        <v>11460</v>
      </c>
      <c r="F82" s="6">
        <f t="shared" si="13"/>
        <v>11</v>
      </c>
      <c r="G82" s="7">
        <f t="shared" si="14"/>
        <v>0</v>
      </c>
      <c r="H82" s="8">
        <f t="shared" si="18"/>
        <v>45738</v>
      </c>
      <c r="I82" s="9">
        <f t="shared" si="16"/>
        <v>126060</v>
      </c>
      <c r="J82" s="6">
        <f t="shared" si="17"/>
        <v>30254.400000000001</v>
      </c>
      <c r="K82" s="6" t="str" cm="1">
        <f t="array" ref="K82">INDEX({"Amit","Neha","Riya","Karan","Pooja","Rahul","Meera","Vikram"},MOD(ROW()-2,8)+1)</f>
        <v>Amit</v>
      </c>
      <c r="L82" s="6" t="str" cm="1">
        <f t="array" ref="L82">INDEX({"UPI","Credit Card","Debit Card","Cash","Net Banking"},MOD(ROW()-2,5)+1)</f>
        <v>UPI</v>
      </c>
      <c r="M82" s="10" t="str" cm="1">
        <f t="array" ref="M82">INDEX({"Retail","Corporate","Education","Small Business"},MOD(ROW()-2,4)+1)</f>
        <v>Retail</v>
      </c>
    </row>
    <row r="83" spans="1:13" x14ac:dyDescent="0.3">
      <c r="A83" s="5" t="str">
        <f t="shared" si="15"/>
        <v>CUST0082</v>
      </c>
      <c r="B83" s="6" t="str" cm="1">
        <f t="array" ref="B83">INDEX({"Aarav","Vivaan","Aditya","Arjun","Kabir","Rohan","Ananya","Diya","Ishita","Meera","Riya","Pooja","Neha","Kavya","Aisha","Priya","Rahul","Karan","Vikram","Sahil"},MOD(ROW()-2,20)+1)&amp;" "&amp;INDEX({"Shah","Patel","Mehta","Desai","Joshi","Gupta","Verma","Sharma","Trivedi","Rana","Mishra","Kapoor","Iyer","Nair","Singh"},MOD(INT((ROW()-2)/20),15)+1)</f>
        <v>Vivaan Joshi</v>
      </c>
      <c r="C83" s="6" t="str" cm="1">
        <f t="array" ref="C83">INDEX({"North","South","East","West","Central"},MOD(ROW()-2,5)+1)</f>
        <v>South</v>
      </c>
      <c r="D83" s="6" t="str" cm="1">
        <f t="array" ref="D83">INDEX({"Electronics","Clothing","Furniture","Books","Office Supplies"},MOD(ROW()-2,5)+1)</f>
        <v>Clothing</v>
      </c>
      <c r="E83" s="6">
        <f t="shared" si="19"/>
        <v>11597</v>
      </c>
      <c r="F83" s="6">
        <f t="shared" si="13"/>
        <v>7</v>
      </c>
      <c r="G83" s="7">
        <f t="shared" si="14"/>
        <v>0.02</v>
      </c>
      <c r="H83" s="8">
        <f t="shared" si="18"/>
        <v>45739</v>
      </c>
      <c r="I83" s="9">
        <f t="shared" si="16"/>
        <v>79555.42</v>
      </c>
      <c r="J83" s="6">
        <f t="shared" si="17"/>
        <v>20684.41</v>
      </c>
      <c r="K83" s="6" t="str" cm="1">
        <f t="array" ref="K83">INDEX({"Amit","Neha","Riya","Karan","Pooja","Rahul","Meera","Vikram"},MOD(ROW()-2,8)+1)</f>
        <v>Neha</v>
      </c>
      <c r="L83" s="6" t="str" cm="1">
        <f t="array" ref="L83">INDEX({"UPI","Credit Card","Debit Card","Cash","Net Banking"},MOD(ROW()-2,5)+1)</f>
        <v>Credit Card</v>
      </c>
      <c r="M83" s="10" t="str" cm="1">
        <f t="array" ref="M83">INDEX({"Retail","Corporate","Education","Small Business"},MOD(ROW()-2,4)+1)</f>
        <v>Corporate</v>
      </c>
    </row>
    <row r="84" spans="1:13" x14ac:dyDescent="0.3">
      <c r="A84" s="5" t="str">
        <f t="shared" si="15"/>
        <v>CUST0083</v>
      </c>
      <c r="B84" s="6" t="str" cm="1">
        <f t="array" ref="B84">INDEX({"Aarav","Vivaan","Aditya","Arjun","Kabir","Rohan","Ananya","Diya","Ishita","Meera","Riya","Pooja","Neha","Kavya","Aisha","Priya","Rahul","Karan","Vikram","Sahil"},MOD(ROW()-2,20)+1)&amp;" "&amp;INDEX({"Shah","Patel","Mehta","Desai","Joshi","Gupta","Verma","Sharma","Trivedi","Rana","Mishra","Kapoor","Iyer","Nair","Singh"},MOD(INT((ROW()-2)/20),15)+1)</f>
        <v>Aditya Joshi</v>
      </c>
      <c r="C84" s="6" t="str" cm="1">
        <f t="array" ref="C84">INDEX({"North","South","East","West","Central"},MOD(ROW()-2,5)+1)</f>
        <v>East</v>
      </c>
      <c r="D84" s="6" t="str" cm="1">
        <f t="array" ref="D84">INDEX({"Electronics","Clothing","Furniture","Books","Office Supplies"},MOD(ROW()-2,5)+1)</f>
        <v>Furniture</v>
      </c>
      <c r="E84" s="6">
        <f t="shared" si="19"/>
        <v>11734</v>
      </c>
      <c r="F84" s="6">
        <v>4</v>
      </c>
      <c r="G84" s="7">
        <f t="shared" si="14"/>
        <v>0.05</v>
      </c>
      <c r="H84" s="8">
        <f t="shared" si="18"/>
        <v>45740</v>
      </c>
      <c r="I84" s="9">
        <f t="shared" si="16"/>
        <v>44589.2</v>
      </c>
      <c r="J84" s="6">
        <f t="shared" si="17"/>
        <v>12484.98</v>
      </c>
      <c r="K84" s="6" t="str" cm="1">
        <f t="array" ref="K84">INDEX({"Amit","Neha","Riya","Karan","Pooja","Rahul","Meera","Vikram"},MOD(ROW()-2,8)+1)</f>
        <v>Riya</v>
      </c>
      <c r="L84" s="6" t="str" cm="1">
        <f t="array" ref="L84">INDEX({"UPI","Credit Card","Debit Card","Cash","Net Banking"},MOD(ROW()-2,5)+1)</f>
        <v>Debit Card</v>
      </c>
      <c r="M84" s="10" t="str" cm="1">
        <f t="array" ref="M84">INDEX({"Retail","Corporate","Education","Small Business"},MOD(ROW()-2,4)+1)</f>
        <v>Education</v>
      </c>
    </row>
    <row r="85" spans="1:13" x14ac:dyDescent="0.3">
      <c r="A85" s="5" t="str">
        <f t="shared" si="15"/>
        <v>CUST0084</v>
      </c>
      <c r="B85" s="6" t="str" cm="1">
        <f t="array" ref="B85">INDEX({"Aarav","Vivaan","Aditya","Arjun","Kabir","Rohan","Ananya","Diya","Ishita","Meera","Riya","Pooja","Neha","Kavya","Aisha","Priya","Rahul","Karan","Vikram","Sahil"},MOD(ROW()-2,20)+1)&amp;" "&amp;INDEX({"Shah","Patel","Mehta","Desai","Joshi","Gupta","Verma","Sharma","Trivedi","Rana","Mishra","Kapoor","Iyer","Nair","Singh"},MOD(INT((ROW()-2)/20),15)+1)</f>
        <v>Arjun Joshi</v>
      </c>
      <c r="C85" s="6" t="str" cm="1">
        <f t="array" ref="C85">INDEX({"North","South","East","West","Central"},MOD(ROW()-2,5)+1)</f>
        <v>West</v>
      </c>
      <c r="D85" s="6" t="str" cm="1">
        <f t="array" ref="D85">INDEX({"Electronics","Clothing","Furniture","Books","Office Supplies"},MOD(ROW()-2,5)+1)</f>
        <v>Books</v>
      </c>
      <c r="E85" s="6">
        <f t="shared" si="19"/>
        <v>11871</v>
      </c>
      <c r="F85" s="6">
        <f t="shared" ref="F85:F116" si="20">MOD((ROW()-2)*7,11)+1</f>
        <v>10</v>
      </c>
      <c r="G85" s="7">
        <f t="shared" si="14"/>
        <v>0.08</v>
      </c>
      <c r="H85" s="8">
        <f t="shared" si="18"/>
        <v>45741</v>
      </c>
      <c r="I85" s="9">
        <f t="shared" si="16"/>
        <v>109213.2</v>
      </c>
      <c r="J85" s="6">
        <f t="shared" si="17"/>
        <v>32763.96</v>
      </c>
      <c r="K85" s="6" t="str" cm="1">
        <f t="array" ref="K85">INDEX({"Amit","Neha","Riya","Karan","Pooja","Rahul","Meera","Vikram"},MOD(ROW()-2,8)+1)</f>
        <v>Karan</v>
      </c>
      <c r="L85" s="6" t="str" cm="1">
        <f t="array" ref="L85">INDEX({"UPI","Credit Card","Debit Card","Cash","Net Banking"},MOD(ROW()-2,5)+1)</f>
        <v>Cash</v>
      </c>
      <c r="M85" s="10" t="str" cm="1">
        <f t="array" ref="M85">INDEX({"Retail","Corporate","Education","Small Business"},MOD(ROW()-2,4)+1)</f>
        <v>Small Business</v>
      </c>
    </row>
    <row r="86" spans="1:13" x14ac:dyDescent="0.3">
      <c r="A86" s="5" t="str">
        <f t="shared" si="15"/>
        <v>CUST0085</v>
      </c>
      <c r="B86" s="6" t="str" cm="1">
        <f t="array" ref="B86">INDEX({"Aarav","Vivaan","Aditya","Arjun","Kabir","Rohan","Ananya","Diya","Ishita","Meera","Riya","Pooja","Neha","Kavya","Aisha","Priya","Rahul","Karan","Vikram","Sahil"},MOD(ROW()-2,20)+1)&amp;" "&amp;INDEX({"Shah","Patel","Mehta","Desai","Joshi","Gupta","Verma","Sharma","Trivedi","Rana","Mishra","Kapoor","Iyer","Nair","Singh"},MOD(INT((ROW()-2)/20),15)+1)</f>
        <v>Kabir Joshi</v>
      </c>
      <c r="C86" s="6" t="str" cm="1">
        <f t="array" ref="C86">INDEX({"North","South","East","West","Central"},MOD(ROW()-2,5)+1)</f>
        <v>Central</v>
      </c>
      <c r="D86" s="6" t="str" cm="1">
        <f t="array" ref="D86">INDEX({"Electronics","Clothing","Furniture","Books","Office Supplies"},MOD(ROW()-2,5)+1)</f>
        <v>Office Supplies</v>
      </c>
      <c r="E86" s="6">
        <f t="shared" si="19"/>
        <v>12008</v>
      </c>
      <c r="F86" s="6">
        <f t="shared" si="20"/>
        <v>6</v>
      </c>
      <c r="G86" s="7">
        <v>0.05</v>
      </c>
      <c r="H86" s="8">
        <f t="shared" si="18"/>
        <v>45742</v>
      </c>
      <c r="I86" s="9">
        <f t="shared" si="16"/>
        <v>68445.600000000006</v>
      </c>
      <c r="J86" s="6">
        <f t="shared" si="17"/>
        <v>5475.65</v>
      </c>
      <c r="K86" s="6" t="str" cm="1">
        <f t="array" ref="K86">INDEX({"Amit","Neha","Riya","Karan","Pooja","Rahul","Meera","Vikram"},MOD(ROW()-2,8)+1)</f>
        <v>Pooja</v>
      </c>
      <c r="L86" s="6" t="str" cm="1">
        <f t="array" ref="L86">INDEX({"UPI","Credit Card","Debit Card","Cash","Net Banking"},MOD(ROW()-2,5)+1)</f>
        <v>Net Banking</v>
      </c>
      <c r="M86" s="10" t="str" cm="1">
        <f t="array" ref="M86">INDEX({"Retail","Corporate","Education","Small Business"},MOD(ROW()-2,4)+1)</f>
        <v>Retail</v>
      </c>
    </row>
    <row r="87" spans="1:13" x14ac:dyDescent="0.3">
      <c r="A87" s="5" t="str">
        <f t="shared" si="15"/>
        <v>CUST0086</v>
      </c>
      <c r="B87" s="6" t="str" cm="1">
        <f t="array" ref="B87">INDEX({"Aarav","Vivaan","Aditya","Arjun","Kabir","Rohan","Ananya","Diya","Ishita","Meera","Riya","Pooja","Neha","Kavya","Aisha","Priya","Rahul","Karan","Vikram","Sahil"},MOD(ROW()-2,20)+1)&amp;" "&amp;INDEX({"Shah","Patel","Mehta","Desai","Joshi","Gupta","Verma","Sharma","Trivedi","Rana","Mishra","Kapoor","Iyer","Nair","Singh"},MOD(INT((ROW()-2)/20),15)+1)</f>
        <v>Rohan Joshi</v>
      </c>
      <c r="C87" s="6" t="str" cm="1">
        <f t="array" ref="C87">INDEX({"North","South","East","West","Central"},MOD(ROW()-2,5)+1)</f>
        <v>North</v>
      </c>
      <c r="D87" s="6" t="str" cm="1">
        <f t="array" ref="D87">INDEX({"Electronics","Clothing","Furniture","Books","Office Supplies"},MOD(ROW()-2,5)+1)</f>
        <v>Electronics</v>
      </c>
      <c r="E87" s="6">
        <f t="shared" si="19"/>
        <v>12145</v>
      </c>
      <c r="F87" s="6">
        <f t="shared" si="20"/>
        <v>2</v>
      </c>
      <c r="G87" s="7">
        <f t="shared" ref="G87:G118" si="21">CHOOSE(MOD(ROW()-2,8)+1,0,0.02,0.05,0.08,0.1,0.12,0.15,0.2)</f>
        <v>0.12</v>
      </c>
      <c r="H87" s="8">
        <f t="shared" si="18"/>
        <v>45743</v>
      </c>
      <c r="I87" s="9">
        <f t="shared" si="16"/>
        <v>21375.200000000001</v>
      </c>
      <c r="J87" s="6">
        <f t="shared" si="17"/>
        <v>2137.52</v>
      </c>
      <c r="K87" s="6" t="str" cm="1">
        <f t="array" ref="K87">INDEX({"Amit","Neha","Riya","Karan","Pooja","Rahul","Meera","Vikram"},MOD(ROW()-2,8)+1)</f>
        <v>Rahul</v>
      </c>
      <c r="L87" s="6" t="str" cm="1">
        <f t="array" ref="L87">INDEX({"UPI","Credit Card","Debit Card","Cash","Net Banking"},MOD(ROW()-2,5)+1)</f>
        <v>UPI</v>
      </c>
      <c r="M87" s="10" t="str" cm="1">
        <f t="array" ref="M87">INDEX({"Retail","Corporate","Education","Small Business"},MOD(ROW()-2,4)+1)</f>
        <v>Corporate</v>
      </c>
    </row>
    <row r="88" spans="1:13" x14ac:dyDescent="0.3">
      <c r="A88" s="5" t="str">
        <f t="shared" si="15"/>
        <v>CUST0087</v>
      </c>
      <c r="B88" s="6" t="str" cm="1">
        <f t="array" ref="B88">INDEX({"Aarav","Vivaan","Aditya","Arjun","Kabir","Rohan","Ananya","Diya","Ishita","Meera","Riya","Pooja","Neha","Kavya","Aisha","Priya","Rahul","Karan","Vikram","Sahil"},MOD(ROW()-2,20)+1)&amp;" "&amp;INDEX({"Shah","Patel","Mehta","Desai","Joshi","Gupta","Verma","Sharma","Trivedi","Rana","Mishra","Kapoor","Iyer","Nair","Singh"},MOD(INT((ROW()-2)/20),15)+1)</f>
        <v>Ananya Joshi</v>
      </c>
      <c r="C88" s="6" t="str" cm="1">
        <f t="array" ref="C88">INDEX({"North","South","East","West","Central"},MOD(ROW()-2,5)+1)</f>
        <v>South</v>
      </c>
      <c r="D88" s="6" t="str" cm="1">
        <f t="array" ref="D88">INDEX({"Electronics","Clothing","Furniture","Books","Office Supplies"},MOD(ROW()-2,5)+1)</f>
        <v>Clothing</v>
      </c>
      <c r="E88" s="6">
        <f t="shared" si="19"/>
        <v>12282</v>
      </c>
      <c r="F88" s="6">
        <f t="shared" si="20"/>
        <v>9</v>
      </c>
      <c r="G88" s="7">
        <f t="shared" si="21"/>
        <v>0.15</v>
      </c>
      <c r="H88" s="8">
        <f t="shared" si="18"/>
        <v>45744</v>
      </c>
      <c r="I88" s="9">
        <f t="shared" si="16"/>
        <v>93957.3</v>
      </c>
      <c r="J88" s="6">
        <f t="shared" si="17"/>
        <v>11274.88</v>
      </c>
      <c r="K88" s="6" t="str" cm="1">
        <f t="array" ref="K88">INDEX({"Amit","Neha","Riya","Karan","Pooja","Rahul","Meera","Vikram"},MOD(ROW()-2,8)+1)</f>
        <v>Meera</v>
      </c>
      <c r="L88" s="6" t="str" cm="1">
        <f t="array" ref="L88">INDEX({"UPI","Credit Card","Debit Card","Cash","Net Banking"},MOD(ROW()-2,5)+1)</f>
        <v>Credit Card</v>
      </c>
      <c r="M88" s="10" t="str" cm="1">
        <f t="array" ref="M88">INDEX({"Retail","Corporate","Education","Small Business"},MOD(ROW()-2,4)+1)</f>
        <v>Education</v>
      </c>
    </row>
    <row r="89" spans="1:13" x14ac:dyDescent="0.3">
      <c r="A89" s="5" t="str">
        <f t="shared" si="15"/>
        <v>CUST0088</v>
      </c>
      <c r="B89" s="6" t="str" cm="1">
        <f t="array" ref="B89">INDEX({"Aarav","Vivaan","Aditya","Arjun","Kabir","Rohan","Ananya","Diya","Ishita","Meera","Riya","Pooja","Neha","Kavya","Aisha","Priya","Rahul","Karan","Vikram","Sahil"},MOD(ROW()-2,20)+1)&amp;" "&amp;INDEX({"Shah","Patel","Mehta","Desai","Joshi","Gupta","Verma","Sharma","Trivedi","Rana","Mishra","Kapoor","Iyer","Nair","Singh"},MOD(INT((ROW()-2)/20),15)+1)</f>
        <v>Diya Joshi</v>
      </c>
      <c r="C89" s="6" t="str" cm="1">
        <f t="array" ref="C89">INDEX({"North","South","East","West","Central"},MOD(ROW()-2,5)+1)</f>
        <v>East</v>
      </c>
      <c r="D89" s="6" t="str" cm="1">
        <f t="array" ref="D89">INDEX({"Electronics","Clothing","Furniture","Books","Office Supplies"},MOD(ROW()-2,5)+1)</f>
        <v>Furniture</v>
      </c>
      <c r="E89" s="6">
        <f t="shared" si="19"/>
        <v>12419</v>
      </c>
      <c r="F89" s="6">
        <f t="shared" si="20"/>
        <v>5</v>
      </c>
      <c r="G89" s="7">
        <f t="shared" si="21"/>
        <v>0.2</v>
      </c>
      <c r="H89" s="8">
        <f t="shared" si="18"/>
        <v>45745</v>
      </c>
      <c r="I89" s="9">
        <f t="shared" si="16"/>
        <v>49676</v>
      </c>
      <c r="J89" s="6">
        <f t="shared" si="17"/>
        <v>6954.64</v>
      </c>
      <c r="K89" s="6" t="str" cm="1">
        <f t="array" ref="K89">INDEX({"Amit","Neha","Riya","Karan","Pooja","Rahul","Meera","Vikram"},MOD(ROW()-2,8)+1)</f>
        <v>Vikram</v>
      </c>
      <c r="L89" s="6" t="str" cm="1">
        <f t="array" ref="L89">INDEX({"UPI","Credit Card","Debit Card","Cash","Net Banking"},MOD(ROW()-2,5)+1)</f>
        <v>Debit Card</v>
      </c>
      <c r="M89" s="10" t="str" cm="1">
        <f t="array" ref="M89">INDEX({"Retail","Corporate","Education","Small Business"},MOD(ROW()-2,4)+1)</f>
        <v>Small Business</v>
      </c>
    </row>
    <row r="90" spans="1:13" x14ac:dyDescent="0.3">
      <c r="A90" s="5" t="str">
        <f t="shared" si="15"/>
        <v>CUST0089</v>
      </c>
      <c r="B90" s="6" t="str" cm="1">
        <f t="array" ref="B90">INDEX({"Aarav","Vivaan","Aditya","Arjun","Kabir","Rohan","Ananya","Diya","Ishita","Meera","Riya","Pooja","Neha","Kavya","Aisha","Priya","Rahul","Karan","Vikram","Sahil"},MOD(ROW()-2,20)+1)&amp;" "&amp;INDEX({"Shah","Patel","Mehta","Desai","Joshi","Gupta","Verma","Sharma","Trivedi","Rana","Mishra","Kapoor","Iyer","Nair","Singh"},MOD(INT((ROW()-2)/20),15)+1)</f>
        <v>Ishita Joshi</v>
      </c>
      <c r="C90" s="6" t="str" cm="1">
        <f t="array" ref="C90">INDEX({"North","South","East","West","Central"},MOD(ROW()-2,5)+1)</f>
        <v>West</v>
      </c>
      <c r="D90" s="6" t="str" cm="1">
        <f t="array" ref="D90">INDEX({"Electronics","Clothing","Furniture","Books","Office Supplies"},MOD(ROW()-2,5)+1)</f>
        <v>Books</v>
      </c>
      <c r="E90" s="6">
        <f t="shared" si="19"/>
        <v>12556</v>
      </c>
      <c r="F90" s="6">
        <f t="shared" si="20"/>
        <v>1</v>
      </c>
      <c r="G90" s="7">
        <f t="shared" si="21"/>
        <v>0</v>
      </c>
      <c r="H90" s="8">
        <f t="shared" si="18"/>
        <v>45746</v>
      </c>
      <c r="I90" s="9">
        <f t="shared" si="16"/>
        <v>12556</v>
      </c>
      <c r="J90" s="6">
        <f t="shared" si="17"/>
        <v>2008.96</v>
      </c>
      <c r="K90" s="6" t="str" cm="1">
        <f t="array" ref="K90">INDEX({"Amit","Neha","Riya","Karan","Pooja","Rahul","Meera","Vikram"},MOD(ROW()-2,8)+1)</f>
        <v>Amit</v>
      </c>
      <c r="L90" s="6" t="str" cm="1">
        <f t="array" ref="L90">INDEX({"UPI","Credit Card","Debit Card","Cash","Net Banking"},MOD(ROW()-2,5)+1)</f>
        <v>Cash</v>
      </c>
      <c r="M90" s="10" t="str" cm="1">
        <f t="array" ref="M90">INDEX({"Retail","Corporate","Education","Small Business"},MOD(ROW()-2,4)+1)</f>
        <v>Retail</v>
      </c>
    </row>
    <row r="91" spans="1:13" x14ac:dyDescent="0.3">
      <c r="A91" s="5" t="str">
        <f t="shared" si="15"/>
        <v>CUST0090</v>
      </c>
      <c r="B91" s="6" t="s">
        <v>7</v>
      </c>
      <c r="C91" s="6" t="str" cm="1">
        <f t="array" ref="C91">INDEX({"North","South","East","West","Central"},MOD(ROW()-2,5)+1)</f>
        <v>Central</v>
      </c>
      <c r="D91" s="6" t="str" cm="1">
        <f t="array" ref="D91">INDEX({"Electronics","Clothing","Furniture","Books","Office Supplies"},MOD(ROW()-2,5)+1)</f>
        <v>Office Supplies</v>
      </c>
      <c r="E91" s="6">
        <f t="shared" si="19"/>
        <v>12693</v>
      </c>
      <c r="F91" s="6">
        <f t="shared" si="20"/>
        <v>8</v>
      </c>
      <c r="G91" s="7">
        <f t="shared" si="21"/>
        <v>0.02</v>
      </c>
      <c r="H91" s="8">
        <f t="shared" si="18"/>
        <v>45747</v>
      </c>
      <c r="I91" s="9">
        <f t="shared" si="16"/>
        <v>99513.12</v>
      </c>
      <c r="J91" s="6">
        <f t="shared" si="17"/>
        <v>17912.36</v>
      </c>
      <c r="K91" s="6" t="str" cm="1">
        <f t="array" ref="K91">INDEX({"Amit","Neha","Riya","Karan","Pooja","Rahul","Meera","Vikram"},MOD(ROW()-2,8)+1)</f>
        <v>Neha</v>
      </c>
      <c r="L91" s="6" t="str" cm="1">
        <f t="array" ref="L91">INDEX({"UPI","Credit Card","Debit Card","Cash","Net Banking"},MOD(ROW()-2,5)+1)</f>
        <v>Net Banking</v>
      </c>
      <c r="M91" s="10" t="str" cm="1">
        <f t="array" ref="M91">INDEX({"Retail","Corporate","Education","Small Business"},MOD(ROW()-2,4)+1)</f>
        <v>Corporate</v>
      </c>
    </row>
    <row r="92" spans="1:13" x14ac:dyDescent="0.3">
      <c r="A92" s="5" t="str">
        <f t="shared" si="15"/>
        <v>CUST0091</v>
      </c>
      <c r="B92" s="6" t="str" cm="1">
        <f t="array" ref="B92">INDEX({"Aarav","Vivaan","Aditya","Arjun","Kabir","Rohan","Ananya","Diya","Ishita","Meera","Riya","Pooja","Neha","Kavya","Aisha","Priya","Rahul","Karan","Vikram","Sahil"},MOD(ROW()-2,20)+1)&amp;" "&amp;INDEX({"Shah","Patel","Mehta","Desai","Joshi","Gupta","Verma","Sharma","Trivedi","Rana","Mishra","Kapoor","Iyer","Nair","Singh"},MOD(INT((ROW()-2)/20),15)+1)</f>
        <v>Riya Joshi</v>
      </c>
      <c r="C92" s="6" t="str" cm="1">
        <f t="array" ref="C92">INDEX({"North","South","East","West","Central"},MOD(ROW()-2,5)+1)</f>
        <v>North</v>
      </c>
      <c r="D92" s="6" t="str" cm="1">
        <f t="array" ref="D92">INDEX({"Electronics","Clothing","Furniture","Books","Office Supplies"},MOD(ROW()-2,5)+1)</f>
        <v>Electronics</v>
      </c>
      <c r="E92" s="6">
        <f t="shared" si="19"/>
        <v>12830</v>
      </c>
      <c r="F92" s="6">
        <f t="shared" si="20"/>
        <v>4</v>
      </c>
      <c r="G92" s="7">
        <f t="shared" si="21"/>
        <v>0.05</v>
      </c>
      <c r="H92" s="8">
        <f t="shared" si="18"/>
        <v>45748</v>
      </c>
      <c r="I92" s="9">
        <f t="shared" si="16"/>
        <v>48754</v>
      </c>
      <c r="J92" s="6">
        <f t="shared" si="17"/>
        <v>9750.7999999999993</v>
      </c>
      <c r="K92" s="6" t="str" cm="1">
        <f t="array" ref="K92">INDEX({"Amit","Neha","Riya","Karan","Pooja","Rahul","Meera","Vikram"},MOD(ROW()-2,8)+1)</f>
        <v>Riya</v>
      </c>
      <c r="L92" s="6" t="str" cm="1">
        <f t="array" ref="L92">INDEX({"UPI","Credit Card","Debit Card","Cash","Net Banking"},MOD(ROW()-2,5)+1)</f>
        <v>UPI</v>
      </c>
      <c r="M92" s="10" t="str" cm="1">
        <f t="array" ref="M92">INDEX({"Retail","Corporate","Education","Small Business"},MOD(ROW()-2,4)+1)</f>
        <v>Education</v>
      </c>
    </row>
    <row r="93" spans="1:13" x14ac:dyDescent="0.3">
      <c r="A93" s="5" t="str">
        <f t="shared" si="15"/>
        <v>CUST0092</v>
      </c>
      <c r="B93" s="6" t="str" cm="1">
        <f t="array" ref="B93">INDEX({"Aarav","Vivaan","Aditya","Arjun","Kabir","Rohan","Ananya","Diya","Ishita","Meera","Riya","Pooja","Neha","Kavya","Aisha","Priya","Rahul","Karan","Vikram","Sahil"},MOD(ROW()-2,20)+1)&amp;" "&amp;INDEX({"Shah","Patel","Mehta","Desai","Joshi","Gupta","Verma","Sharma","Trivedi","Rana","Mishra","Kapoor","Iyer","Nair","Singh"},MOD(INT((ROW()-2)/20),15)+1)</f>
        <v>Pooja Joshi</v>
      </c>
      <c r="C93" s="6" t="str" cm="1">
        <f t="array" ref="C93">INDEX({"North","South","East","West","Central"},MOD(ROW()-2,5)+1)</f>
        <v>South</v>
      </c>
      <c r="D93" s="6" t="str" cm="1">
        <f t="array" ref="D93">INDEX({"Electronics","Clothing","Furniture","Books","Office Supplies"},MOD(ROW()-2,5)+1)</f>
        <v>Clothing</v>
      </c>
      <c r="E93" s="6">
        <f t="shared" si="19"/>
        <v>12967</v>
      </c>
      <c r="F93" s="6">
        <f t="shared" si="20"/>
        <v>11</v>
      </c>
      <c r="G93" s="7">
        <f t="shared" si="21"/>
        <v>0.08</v>
      </c>
      <c r="H93" s="8">
        <f t="shared" si="18"/>
        <v>45749</v>
      </c>
      <c r="I93" s="9">
        <f t="shared" si="16"/>
        <v>131226.04</v>
      </c>
      <c r="J93" s="6">
        <f t="shared" si="17"/>
        <v>28869.73</v>
      </c>
      <c r="K93" s="6" t="str" cm="1">
        <f t="array" ref="K93">INDEX({"Amit","Neha","Riya","Karan","Pooja","Rahul","Meera","Vikram"},MOD(ROW()-2,8)+1)</f>
        <v>Karan</v>
      </c>
      <c r="L93" s="6" t="str" cm="1">
        <f t="array" ref="L93">INDEX({"UPI","Credit Card","Debit Card","Cash","Net Banking"},MOD(ROW()-2,5)+1)</f>
        <v>Credit Card</v>
      </c>
      <c r="M93" s="10" t="str" cm="1">
        <f t="array" ref="M93">INDEX({"Retail","Corporate","Education","Small Business"},MOD(ROW()-2,4)+1)</f>
        <v>Small Business</v>
      </c>
    </row>
    <row r="94" spans="1:13" x14ac:dyDescent="0.3">
      <c r="A94" s="5" t="str">
        <f t="shared" si="15"/>
        <v>CUST0093</v>
      </c>
      <c r="B94" s="6" t="str" cm="1">
        <f t="array" ref="B94">INDEX({"Aarav","Vivaan","Aditya","Arjun","Kabir","Rohan","Ananya","Diya","Ishita","Meera","Riya","Pooja","Neha","Kavya","Aisha","Priya","Rahul","Karan","Vikram","Sahil"},MOD(ROW()-2,20)+1)&amp;" "&amp;INDEX({"Shah","Patel","Mehta","Desai","Joshi","Gupta","Verma","Sharma","Trivedi","Rana","Mishra","Kapoor","Iyer","Nair","Singh"},MOD(INT((ROW()-2)/20),15)+1)</f>
        <v>Neha Joshi</v>
      </c>
      <c r="C94" s="6" t="str" cm="1">
        <f t="array" ref="C94">INDEX({"North","South","East","West","Central"},MOD(ROW()-2,5)+1)</f>
        <v>East</v>
      </c>
      <c r="D94" s="6" t="str" cm="1">
        <f t="array" ref="D94">INDEX({"Electronics","Clothing","Furniture","Books","Office Supplies"},MOD(ROW()-2,5)+1)</f>
        <v>Furniture</v>
      </c>
      <c r="E94" s="6">
        <f t="shared" si="19"/>
        <v>13104</v>
      </c>
      <c r="F94" s="6">
        <f t="shared" si="20"/>
        <v>7</v>
      </c>
      <c r="G94" s="7">
        <f t="shared" si="21"/>
        <v>0.1</v>
      </c>
      <c r="H94" s="8">
        <f t="shared" si="18"/>
        <v>45750</v>
      </c>
      <c r="I94" s="9">
        <f t="shared" si="16"/>
        <v>82555.199999999997</v>
      </c>
      <c r="J94" s="6">
        <f t="shared" si="17"/>
        <v>19813.25</v>
      </c>
      <c r="K94" s="6" t="str" cm="1">
        <f t="array" ref="K94">INDEX({"Amit","Neha","Riya","Karan","Pooja","Rahul","Meera","Vikram"},MOD(ROW()-2,8)+1)</f>
        <v>Pooja</v>
      </c>
      <c r="L94" s="6" t="str" cm="1">
        <f t="array" ref="L94">INDEX({"UPI","Credit Card","Debit Card","Cash","Net Banking"},MOD(ROW()-2,5)+1)</f>
        <v>Debit Card</v>
      </c>
      <c r="M94" s="10" t="str" cm="1">
        <f t="array" ref="M94">INDEX({"Retail","Corporate","Education","Small Business"},MOD(ROW()-2,4)+1)</f>
        <v>Retail</v>
      </c>
    </row>
    <row r="95" spans="1:13" x14ac:dyDescent="0.3">
      <c r="A95" s="5" t="str">
        <f t="shared" si="15"/>
        <v>CUST0094</v>
      </c>
      <c r="B95" s="6" t="str" cm="1">
        <f t="array" ref="B95">INDEX({"Aarav","Vivaan","Aditya","Arjun","Kabir","Rohan","Ananya","Diya","Ishita","Meera","Riya","Pooja","Neha","Kavya","Aisha","Priya","Rahul","Karan","Vikram","Sahil"},MOD(ROW()-2,20)+1)&amp;" "&amp;INDEX({"Shah","Patel","Mehta","Desai","Joshi","Gupta","Verma","Sharma","Trivedi","Rana","Mishra","Kapoor","Iyer","Nair","Singh"},MOD(INT((ROW()-2)/20),15)+1)</f>
        <v>Kavya Joshi</v>
      </c>
      <c r="C95" s="6" t="str" cm="1">
        <f t="array" ref="C95">INDEX({"North","South","East","West","Central"},MOD(ROW()-2,5)+1)</f>
        <v>West</v>
      </c>
      <c r="D95" s="6" t="str" cm="1">
        <f t="array" ref="D95">INDEX({"Electronics","Clothing","Furniture","Books","Office Supplies"},MOD(ROW()-2,5)+1)</f>
        <v>Books</v>
      </c>
      <c r="E95" s="6">
        <f t="shared" si="19"/>
        <v>13241</v>
      </c>
      <c r="F95" s="6">
        <f t="shared" si="20"/>
        <v>3</v>
      </c>
      <c r="G95" s="7">
        <f t="shared" si="21"/>
        <v>0.12</v>
      </c>
      <c r="H95" s="8">
        <f t="shared" si="18"/>
        <v>45751</v>
      </c>
      <c r="I95" s="9">
        <f t="shared" si="16"/>
        <v>34956.239999999998</v>
      </c>
      <c r="J95" s="6">
        <f t="shared" si="17"/>
        <v>9088.6200000000008</v>
      </c>
      <c r="K95" s="6" t="str" cm="1">
        <f t="array" ref="K95">INDEX({"Amit","Neha","Riya","Karan","Pooja","Rahul","Meera","Vikram"},MOD(ROW()-2,8)+1)</f>
        <v>Rahul</v>
      </c>
      <c r="L95" s="6" t="str" cm="1">
        <f t="array" ref="L95">INDEX({"UPI","Credit Card","Debit Card","Cash","Net Banking"},MOD(ROW()-2,5)+1)</f>
        <v>Cash</v>
      </c>
      <c r="M95" s="10" t="str" cm="1">
        <f t="array" ref="M95">INDEX({"Retail","Corporate","Education","Small Business"},MOD(ROW()-2,4)+1)</f>
        <v>Corporate</v>
      </c>
    </row>
    <row r="96" spans="1:13" x14ac:dyDescent="0.3">
      <c r="A96" s="5" t="str">
        <f t="shared" si="15"/>
        <v>CUST0095</v>
      </c>
      <c r="B96" s="6" t="str" cm="1">
        <f t="array" ref="B96">INDEX({"Aarav","Vivaan","Aditya","Arjun","Kabir","Rohan","Ananya","Diya","Ishita","Meera","Riya","Pooja","Neha","Kavya","Aisha","Priya","Rahul","Karan","Vikram","Sahil"},MOD(ROW()-2,20)+1)&amp;" "&amp;INDEX({"Shah","Patel","Mehta","Desai","Joshi","Gupta","Verma","Sharma","Trivedi","Rana","Mishra","Kapoor","Iyer","Nair","Singh"},MOD(INT((ROW()-2)/20),15)+1)</f>
        <v>Aisha Joshi</v>
      </c>
      <c r="C96" s="6" t="str" cm="1">
        <f t="array" ref="C96">INDEX({"North","South","East","West","Central"},MOD(ROW()-2,5)+1)</f>
        <v>Central</v>
      </c>
      <c r="D96" s="6" t="str" cm="1">
        <f t="array" ref="D96">INDEX({"Electronics","Clothing","Furniture","Books","Office Supplies"},MOD(ROW()-2,5)+1)</f>
        <v>Office Supplies</v>
      </c>
      <c r="E96" s="6">
        <f t="shared" si="19"/>
        <v>13378</v>
      </c>
      <c r="F96" s="6">
        <f t="shared" si="20"/>
        <v>10</v>
      </c>
      <c r="G96" s="7">
        <f t="shared" si="21"/>
        <v>0.15</v>
      </c>
      <c r="H96" s="8">
        <f t="shared" si="18"/>
        <v>45752</v>
      </c>
      <c r="I96" s="9">
        <f t="shared" si="16"/>
        <v>113713</v>
      </c>
      <c r="J96" s="6">
        <f t="shared" si="17"/>
        <v>31839.64</v>
      </c>
      <c r="K96" s="6" t="str" cm="1">
        <f t="array" ref="K96">INDEX({"Amit","Neha","Riya","Karan","Pooja","Rahul","Meera","Vikram"},MOD(ROW()-2,8)+1)</f>
        <v>Meera</v>
      </c>
      <c r="L96" s="6" t="str" cm="1">
        <f t="array" ref="L96">INDEX({"UPI","Credit Card","Debit Card","Cash","Net Banking"},MOD(ROW()-2,5)+1)</f>
        <v>Net Banking</v>
      </c>
      <c r="M96" s="10" t="str" cm="1">
        <f t="array" ref="M96">INDEX({"Retail","Corporate","Education","Small Business"},MOD(ROW()-2,4)+1)</f>
        <v>Education</v>
      </c>
    </row>
    <row r="97" spans="1:13" x14ac:dyDescent="0.3">
      <c r="A97" s="5" t="str">
        <f t="shared" si="15"/>
        <v>CUST0096</v>
      </c>
      <c r="B97" s="6" t="str" cm="1">
        <f t="array" ref="B97">INDEX({"Aarav","Vivaan","Aditya","Arjun","Kabir","Rohan","Ananya","Diya","Ishita","Meera","Riya","Pooja","Neha","Kavya","Aisha","Priya","Rahul","Karan","Vikram","Sahil"},MOD(ROW()-2,20)+1)&amp;" "&amp;INDEX({"Shah","Patel","Mehta","Desai","Joshi","Gupta","Verma","Sharma","Trivedi","Rana","Mishra","Kapoor","Iyer","Nair","Singh"},MOD(INT((ROW()-2)/20),15)+1)</f>
        <v>Priya Joshi</v>
      </c>
      <c r="C97" s="6" t="str" cm="1">
        <f t="array" ref="C97">INDEX({"North","South","East","West","Central"},MOD(ROW()-2,5)+1)</f>
        <v>North</v>
      </c>
      <c r="D97" s="6" t="str" cm="1">
        <f t="array" ref="D97">INDEX({"Electronics","Clothing","Furniture","Books","Office Supplies"},MOD(ROW()-2,5)+1)</f>
        <v>Electronics</v>
      </c>
      <c r="E97" s="6">
        <f t="shared" si="19"/>
        <v>13515</v>
      </c>
      <c r="F97" s="6">
        <f t="shared" si="20"/>
        <v>6</v>
      </c>
      <c r="G97" s="7">
        <f t="shared" si="21"/>
        <v>0.2</v>
      </c>
      <c r="H97" s="8">
        <f t="shared" si="18"/>
        <v>45753</v>
      </c>
      <c r="I97" s="9">
        <f t="shared" si="16"/>
        <v>64872</v>
      </c>
      <c r="J97" s="6">
        <f t="shared" si="17"/>
        <v>19461.599999999999</v>
      </c>
      <c r="K97" s="6" t="str" cm="1">
        <f t="array" ref="K97">INDEX({"Amit","Neha","Riya","Karan","Pooja","Rahul","Meera","Vikram"},MOD(ROW()-2,8)+1)</f>
        <v>Vikram</v>
      </c>
      <c r="L97" s="6" t="str" cm="1">
        <f t="array" ref="L97">INDEX({"UPI","Credit Card","Debit Card","Cash","Net Banking"},MOD(ROW()-2,5)+1)</f>
        <v>UPI</v>
      </c>
      <c r="M97" s="10" t="str" cm="1">
        <f t="array" ref="M97">INDEX({"Retail","Corporate","Education","Small Business"},MOD(ROW()-2,4)+1)</f>
        <v>Small Business</v>
      </c>
    </row>
    <row r="98" spans="1:13" x14ac:dyDescent="0.3">
      <c r="A98" s="5" t="str">
        <f t="shared" si="15"/>
        <v>CUST0097</v>
      </c>
      <c r="B98" s="6" t="str" cm="1">
        <f t="array" ref="B98">INDEX({"Aarav","Vivaan","Aditya","Arjun","Kabir","Rohan","Ananya","Diya","Ishita","Meera","Riya","Pooja","Neha","Kavya","Aisha","Priya","Rahul","Karan","Vikram","Sahil"},MOD(ROW()-2,20)+1)&amp;" "&amp;INDEX({"Shah","Patel","Mehta","Desai","Joshi","Gupta","Verma","Sharma","Trivedi","Rana","Mishra","Kapoor","Iyer","Nair","Singh"},MOD(INT((ROW()-2)/20),15)+1)</f>
        <v>Rahul Joshi</v>
      </c>
      <c r="C98" s="6" t="str" cm="1">
        <f t="array" ref="C98">INDEX({"North","South","East","West","Central"},MOD(ROW()-2,5)+1)</f>
        <v>South</v>
      </c>
      <c r="D98" s="6" t="str" cm="1">
        <f t="array" ref="D98">INDEX({"Electronics","Clothing","Furniture","Books","Office Supplies"},MOD(ROW()-2,5)+1)</f>
        <v>Clothing</v>
      </c>
      <c r="E98" s="6">
        <f t="shared" si="19"/>
        <v>13652</v>
      </c>
      <c r="F98" s="6">
        <f t="shared" si="20"/>
        <v>2</v>
      </c>
      <c r="G98" s="7">
        <f t="shared" si="21"/>
        <v>0</v>
      </c>
      <c r="H98" s="8">
        <f t="shared" si="18"/>
        <v>45754</v>
      </c>
      <c r="I98" s="9">
        <f t="shared" si="16"/>
        <v>27304</v>
      </c>
      <c r="J98" s="6">
        <f t="shared" si="17"/>
        <v>2184.3200000000002</v>
      </c>
      <c r="K98" s="6" t="str" cm="1">
        <f t="array" ref="K98">INDEX({"Amit","Neha","Riya","Karan","Pooja","Rahul","Meera","Vikram"},MOD(ROW()-2,8)+1)</f>
        <v>Amit</v>
      </c>
      <c r="L98" s="6" t="str" cm="1">
        <f t="array" ref="L98">INDEX({"UPI","Credit Card","Debit Card","Cash","Net Banking"},MOD(ROW()-2,5)+1)</f>
        <v>Credit Card</v>
      </c>
      <c r="M98" s="10" t="str" cm="1">
        <f t="array" ref="M98">INDEX({"Retail","Corporate","Education","Small Business"},MOD(ROW()-2,4)+1)</f>
        <v>Retail</v>
      </c>
    </row>
    <row r="99" spans="1:13" x14ac:dyDescent="0.3">
      <c r="A99" s="5" t="str">
        <f t="shared" si="15"/>
        <v>CUST0098</v>
      </c>
      <c r="B99" s="6" t="str" cm="1">
        <f t="array" ref="B99">INDEX({"Aarav","Vivaan","Aditya","Arjun","Kabir","Rohan","Ananya","Diya","Ishita","Meera","Riya","Pooja","Neha","Kavya","Aisha","Priya","Rahul","Karan","Vikram","Sahil"},MOD(ROW()-2,20)+1)&amp;" "&amp;INDEX({"Shah","Patel","Mehta","Desai","Joshi","Gupta","Verma","Sharma","Trivedi","Rana","Mishra","Kapoor","Iyer","Nair","Singh"},MOD(INT((ROW()-2)/20),15)+1)</f>
        <v>Karan Joshi</v>
      </c>
      <c r="C99" s="6" t="str" cm="1">
        <f t="array" ref="C99">INDEX({"North","South","East","West","Central"},MOD(ROW()-2,5)+1)</f>
        <v>East</v>
      </c>
      <c r="D99" s="6" t="str" cm="1">
        <f t="array" ref="D99">INDEX({"Electronics","Clothing","Furniture","Books","Office Supplies"},MOD(ROW()-2,5)+1)</f>
        <v>Furniture</v>
      </c>
      <c r="E99" s="6">
        <f t="shared" si="19"/>
        <v>13789</v>
      </c>
      <c r="F99" s="6">
        <f t="shared" si="20"/>
        <v>9</v>
      </c>
      <c r="G99" s="7">
        <f t="shared" si="21"/>
        <v>0.02</v>
      </c>
      <c r="H99" s="8">
        <f t="shared" si="18"/>
        <v>45755</v>
      </c>
      <c r="I99" s="9">
        <f t="shared" si="16"/>
        <v>121618.98</v>
      </c>
      <c r="J99" s="6">
        <f t="shared" si="17"/>
        <v>12161.9</v>
      </c>
      <c r="K99" s="6" t="str" cm="1">
        <f t="array" ref="K99">INDEX({"Amit","Neha","Riya","Karan","Pooja","Rahul","Meera","Vikram"},MOD(ROW()-2,8)+1)</f>
        <v>Neha</v>
      </c>
      <c r="L99" s="6" t="str" cm="1">
        <f t="array" ref="L99">INDEX({"UPI","Credit Card","Debit Card","Cash","Net Banking"},MOD(ROW()-2,5)+1)</f>
        <v>Debit Card</v>
      </c>
      <c r="M99" s="10" t="str" cm="1">
        <f t="array" ref="M99">INDEX({"Retail","Corporate","Education","Small Business"},MOD(ROW()-2,4)+1)</f>
        <v>Corporate</v>
      </c>
    </row>
    <row r="100" spans="1:13" x14ac:dyDescent="0.3">
      <c r="A100" s="5" t="str">
        <f t="shared" si="15"/>
        <v>CUST0099</v>
      </c>
      <c r="B100" s="6" t="str" cm="1">
        <f t="array" ref="B100">INDEX({"Aarav","Vivaan","Aditya","Arjun","Kabir","Rohan","Ananya","Diya","Ishita","Meera","Riya","Pooja","Neha","Kavya","Aisha","Priya","Rahul","Karan","Vikram","Sahil"},MOD(ROW()-2,20)+1)&amp;" "&amp;INDEX({"Shah","Patel","Mehta","Desai","Joshi","Gupta","Verma","Sharma","Trivedi","Rana","Mishra","Kapoor","Iyer","Nair","Singh"},MOD(INT((ROW()-2)/20),15)+1)</f>
        <v>Vikram Joshi</v>
      </c>
      <c r="C100" s="6" t="str" cm="1">
        <f t="array" ref="C100">INDEX({"North","South","East","West","Central"},MOD(ROW()-2,5)+1)</f>
        <v>West</v>
      </c>
      <c r="D100" s="6" t="str" cm="1">
        <f t="array" ref="D100">INDEX({"Electronics","Clothing","Furniture","Books","Office Supplies"},MOD(ROW()-2,5)+1)</f>
        <v>Books</v>
      </c>
      <c r="E100" s="6">
        <f t="shared" si="19"/>
        <v>13926</v>
      </c>
      <c r="F100" s="6">
        <f t="shared" si="20"/>
        <v>5</v>
      </c>
      <c r="G100" s="7">
        <f t="shared" si="21"/>
        <v>0.05</v>
      </c>
      <c r="H100" s="8">
        <f t="shared" si="18"/>
        <v>45756</v>
      </c>
      <c r="I100" s="9">
        <f t="shared" si="16"/>
        <v>66148.5</v>
      </c>
      <c r="J100" s="6">
        <f t="shared" si="17"/>
        <v>7937.82</v>
      </c>
      <c r="K100" s="6" t="str" cm="1">
        <f t="array" ref="K100">INDEX({"Amit","Neha","Riya","Karan","Pooja","Rahul","Meera","Vikram"},MOD(ROW()-2,8)+1)</f>
        <v>Riya</v>
      </c>
      <c r="L100" s="6" t="str" cm="1">
        <f t="array" ref="L100">INDEX({"UPI","Credit Card","Debit Card","Cash","Net Banking"},MOD(ROW()-2,5)+1)</f>
        <v>Cash</v>
      </c>
      <c r="M100" s="10" t="str" cm="1">
        <f t="array" ref="M100">INDEX({"Retail","Corporate","Education","Small Business"},MOD(ROW()-2,4)+1)</f>
        <v>Education</v>
      </c>
    </row>
    <row r="101" spans="1:13" x14ac:dyDescent="0.3">
      <c r="A101" s="5" t="str">
        <f t="shared" si="15"/>
        <v>CUST0100</v>
      </c>
      <c r="B101" s="6" t="str" cm="1">
        <f t="array" ref="B101">INDEX({"Aarav","Vivaan","Aditya","Arjun","Kabir","Rohan","Ananya","Diya","Ishita","Meera","Riya","Pooja","Neha","Kavya","Aisha","Priya","Rahul","Karan","Vikram","Sahil"},MOD(ROW()-2,20)+1)&amp;" "&amp;INDEX({"Shah","Patel","Mehta","Desai","Joshi","Gupta","Verma","Sharma","Trivedi","Rana","Mishra","Kapoor","Iyer","Nair","Singh"},MOD(INT((ROW()-2)/20),15)+1)</f>
        <v>Sahil Joshi</v>
      </c>
      <c r="C101" s="6" t="str" cm="1">
        <f t="array" ref="C101">INDEX({"North","South","East","West","Central"},MOD(ROW()-2,5)+1)</f>
        <v>Central</v>
      </c>
      <c r="D101" s="6" t="str" cm="1">
        <f t="array" ref="D101">INDEX({"Electronics","Clothing","Furniture","Books","Office Supplies"},MOD(ROW()-2,5)+1)</f>
        <v>Office Supplies</v>
      </c>
      <c r="E101" s="6">
        <f t="shared" si="19"/>
        <v>14063</v>
      </c>
      <c r="F101" s="6">
        <f t="shared" si="20"/>
        <v>1</v>
      </c>
      <c r="G101" s="7">
        <f t="shared" si="21"/>
        <v>0.08</v>
      </c>
      <c r="H101" s="8">
        <f t="shared" si="18"/>
        <v>45757</v>
      </c>
      <c r="I101" s="9">
        <f t="shared" si="16"/>
        <v>12937.96</v>
      </c>
      <c r="J101" s="6">
        <f t="shared" si="17"/>
        <v>1811.31</v>
      </c>
      <c r="K101" s="6" t="str" cm="1">
        <f t="array" ref="K101">INDEX({"Amit","Neha","Riya","Karan","Pooja","Rahul","Meera","Vikram"},MOD(ROW()-2,8)+1)</f>
        <v>Karan</v>
      </c>
      <c r="L101" s="6" t="str" cm="1">
        <f t="array" ref="L101">INDEX({"UPI","Credit Card","Debit Card","Cash","Net Banking"},MOD(ROW()-2,5)+1)</f>
        <v>Net Banking</v>
      </c>
      <c r="M101" s="10" t="str" cm="1">
        <f t="array" ref="M101">INDEX({"Retail","Corporate","Education","Small Business"},MOD(ROW()-2,4)+1)</f>
        <v>Small Business</v>
      </c>
    </row>
    <row r="102" spans="1:13" x14ac:dyDescent="0.3">
      <c r="A102" s="5" t="str">
        <f t="shared" si="15"/>
        <v>CUST0101</v>
      </c>
      <c r="B102" s="6" t="str" cm="1">
        <f t="array" ref="B102">INDEX({"Aarav","Vivaan","Aditya","Arjun","Kabir","Rohan","Ananya","Diya","Ishita","Meera","Riya","Pooja","Neha","Kavya","Aisha","Priya","Rahul","Karan","Vikram","Sahil"},MOD(ROW()-2,20)+1)&amp;" "&amp;INDEX({"Shah","Patel","Mehta","Desai","Joshi","Gupta","Verma","Sharma","Trivedi","Rana","Mishra","Kapoor","Iyer","Nair","Singh"},MOD(INT((ROW()-2)/20),15)+1)</f>
        <v>Aarav Gupta</v>
      </c>
      <c r="C102" s="6" t="str" cm="1">
        <f t="array" ref="C102">INDEX({"North","South","East","West","Central"},MOD(ROW()-2,5)+1)</f>
        <v>North</v>
      </c>
      <c r="D102" s="6" t="str" cm="1">
        <f t="array" ref="D102">INDEX({"Electronics","Clothing","Furniture","Books","Office Supplies"},MOD(ROW()-2,5)+1)</f>
        <v>Electronics</v>
      </c>
      <c r="E102" s="6">
        <f t="shared" si="19"/>
        <v>14200</v>
      </c>
      <c r="F102" s="6">
        <f t="shared" si="20"/>
        <v>8</v>
      </c>
      <c r="G102" s="7">
        <f t="shared" si="21"/>
        <v>0.1</v>
      </c>
      <c r="H102" s="8">
        <f t="shared" si="18"/>
        <v>45758</v>
      </c>
      <c r="I102" s="9">
        <f t="shared" si="16"/>
        <v>102240</v>
      </c>
      <c r="J102" s="6">
        <f t="shared" si="17"/>
        <v>16358.4</v>
      </c>
      <c r="K102" s="6" t="str" cm="1">
        <f t="array" ref="K102">INDEX({"Amit","Neha","Riya","Karan","Pooja","Rahul","Meera","Vikram"},MOD(ROW()-2,8)+1)</f>
        <v>Pooja</v>
      </c>
      <c r="L102" s="6" t="str" cm="1">
        <f t="array" ref="L102">INDEX({"UPI","Credit Card","Debit Card","Cash","Net Banking"},MOD(ROW()-2,5)+1)</f>
        <v>UPI</v>
      </c>
      <c r="M102" s="10" t="str" cm="1">
        <f t="array" ref="M102">INDEX({"Retail","Corporate","Education","Small Business"},MOD(ROW()-2,4)+1)</f>
        <v>Retail</v>
      </c>
    </row>
    <row r="103" spans="1:13" x14ac:dyDescent="0.3">
      <c r="A103" s="5" t="str">
        <f t="shared" si="15"/>
        <v>CUST0102</v>
      </c>
      <c r="B103" s="6" t="str" cm="1">
        <f t="array" ref="B103">INDEX({"Aarav","Vivaan","Aditya","Arjun","Kabir","Rohan","Ananya","Diya","Ishita","Meera","Riya","Pooja","Neha","Kavya","Aisha","Priya","Rahul","Karan","Vikram","Sahil"},MOD(ROW()-2,20)+1)&amp;" "&amp;INDEX({"Shah","Patel","Mehta","Desai","Joshi","Gupta","Verma","Sharma","Trivedi","Rana","Mishra","Kapoor","Iyer","Nair","Singh"},MOD(INT((ROW()-2)/20),15)+1)</f>
        <v>Vivaan Gupta</v>
      </c>
      <c r="C103" s="6" t="str" cm="1">
        <f t="array" ref="C103">INDEX({"North","South","East","West","Central"},MOD(ROW()-2,5)+1)</f>
        <v>South</v>
      </c>
      <c r="D103" s="6" t="str" cm="1">
        <f t="array" ref="D103">INDEX({"Electronics","Clothing","Furniture","Books","Office Supplies"},MOD(ROW()-2,5)+1)</f>
        <v>Clothing</v>
      </c>
      <c r="E103" s="6">
        <f t="shared" si="19"/>
        <v>14337</v>
      </c>
      <c r="F103" s="6">
        <f t="shared" si="20"/>
        <v>4</v>
      </c>
      <c r="G103" s="7">
        <f t="shared" si="21"/>
        <v>0.12</v>
      </c>
      <c r="H103" s="8">
        <f t="shared" si="18"/>
        <v>45759</v>
      </c>
      <c r="I103" s="9">
        <f t="shared" si="16"/>
        <v>50466.239999999998</v>
      </c>
      <c r="J103" s="6">
        <f t="shared" si="17"/>
        <v>9083.92</v>
      </c>
      <c r="K103" s="6" t="str" cm="1">
        <f t="array" ref="K103">INDEX({"Amit","Neha","Riya","Karan","Pooja","Rahul","Meera","Vikram"},MOD(ROW()-2,8)+1)</f>
        <v>Rahul</v>
      </c>
      <c r="L103" s="6" t="str" cm="1">
        <f t="array" ref="L103">INDEX({"UPI","Credit Card","Debit Card","Cash","Net Banking"},MOD(ROW()-2,5)+1)</f>
        <v>Credit Card</v>
      </c>
      <c r="M103" s="10" t="str" cm="1">
        <f t="array" ref="M103">INDEX({"Retail","Corporate","Education","Small Business"},MOD(ROW()-2,4)+1)</f>
        <v>Corporate</v>
      </c>
    </row>
    <row r="104" spans="1:13" x14ac:dyDescent="0.3">
      <c r="A104" s="5" t="str">
        <f t="shared" si="15"/>
        <v>CUST0103</v>
      </c>
      <c r="B104" s="6" t="str" cm="1">
        <f t="array" ref="B104">INDEX({"Aarav","Vivaan","Aditya","Arjun","Kabir","Rohan","Ananya","Diya","Ishita","Meera","Riya","Pooja","Neha","Kavya","Aisha","Priya","Rahul","Karan","Vikram","Sahil"},MOD(ROW()-2,20)+1)&amp;" "&amp;INDEX({"Shah","Patel","Mehta","Desai","Joshi","Gupta","Verma","Sharma","Trivedi","Rana","Mishra","Kapoor","Iyer","Nair","Singh"},MOD(INT((ROW()-2)/20),15)+1)</f>
        <v>Aditya Gupta</v>
      </c>
      <c r="C104" s="6" t="str" cm="1">
        <f t="array" ref="C104">INDEX({"North","South","East","West","Central"},MOD(ROW()-2,5)+1)</f>
        <v>East</v>
      </c>
      <c r="D104" s="6" t="str" cm="1">
        <f t="array" ref="D104">INDEX({"Electronics","Clothing","Furniture","Books","Office Supplies"},MOD(ROW()-2,5)+1)</f>
        <v>Furniture</v>
      </c>
      <c r="E104" s="6">
        <f t="shared" si="19"/>
        <v>14474</v>
      </c>
      <c r="F104" s="6">
        <f t="shared" si="20"/>
        <v>11</v>
      </c>
      <c r="G104" s="7">
        <f t="shared" si="21"/>
        <v>0.15</v>
      </c>
      <c r="H104" s="8">
        <f t="shared" si="18"/>
        <v>45760</v>
      </c>
      <c r="I104" s="9">
        <f t="shared" si="16"/>
        <v>135331.9</v>
      </c>
      <c r="J104" s="6">
        <f t="shared" si="17"/>
        <v>27066.38</v>
      </c>
      <c r="K104" s="6" t="str" cm="1">
        <f t="array" ref="K104">INDEX({"Amit","Neha","Riya","Karan","Pooja","Rahul","Meera","Vikram"},MOD(ROW()-2,8)+1)</f>
        <v>Meera</v>
      </c>
      <c r="L104" s="6" t="str" cm="1">
        <f t="array" ref="L104">INDEX({"UPI","Credit Card","Debit Card","Cash","Net Banking"},MOD(ROW()-2,5)+1)</f>
        <v>Debit Card</v>
      </c>
      <c r="M104" s="10" t="str" cm="1">
        <f t="array" ref="M104">INDEX({"Retail","Corporate","Education","Small Business"},MOD(ROW()-2,4)+1)</f>
        <v>Education</v>
      </c>
    </row>
    <row r="105" spans="1:13" x14ac:dyDescent="0.3">
      <c r="A105" s="5" t="str">
        <f t="shared" si="15"/>
        <v>CUST0104</v>
      </c>
      <c r="B105" s="6" t="str" cm="1">
        <f t="array" ref="B105">INDEX({"Aarav","Vivaan","Aditya","Arjun","Kabir","Rohan","Ananya","Diya","Ishita","Meera","Riya","Pooja","Neha","Kavya","Aisha","Priya","Rahul","Karan","Vikram","Sahil"},MOD(ROW()-2,20)+1)&amp;" "&amp;INDEX({"Shah","Patel","Mehta","Desai","Joshi","Gupta","Verma","Sharma","Trivedi","Rana","Mishra","Kapoor","Iyer","Nair","Singh"},MOD(INT((ROW()-2)/20),15)+1)</f>
        <v>Arjun Gupta</v>
      </c>
      <c r="C105" s="6" t="str" cm="1">
        <f t="array" ref="C105">INDEX({"North","South","East","West","Central"},MOD(ROW()-2,5)+1)</f>
        <v>West</v>
      </c>
      <c r="D105" s="6" t="str" cm="1">
        <f t="array" ref="D105">INDEX({"Electronics","Clothing","Furniture","Books","Office Supplies"},MOD(ROW()-2,5)+1)</f>
        <v>Books</v>
      </c>
      <c r="E105" s="6">
        <f t="shared" si="19"/>
        <v>14611</v>
      </c>
      <c r="F105" s="6">
        <f t="shared" si="20"/>
        <v>7</v>
      </c>
      <c r="G105" s="7">
        <f t="shared" si="21"/>
        <v>0.2</v>
      </c>
      <c r="H105" s="8">
        <f t="shared" si="18"/>
        <v>45761</v>
      </c>
      <c r="I105" s="9">
        <f t="shared" si="16"/>
        <v>81821.600000000006</v>
      </c>
      <c r="J105" s="6">
        <f t="shared" si="17"/>
        <v>18000.75</v>
      </c>
      <c r="K105" s="6" t="str" cm="1">
        <f t="array" ref="K105">INDEX({"Amit","Neha","Riya","Karan","Pooja","Rahul","Meera","Vikram"},MOD(ROW()-2,8)+1)</f>
        <v>Vikram</v>
      </c>
      <c r="L105" s="6" t="str" cm="1">
        <f t="array" ref="L105">INDEX({"UPI","Credit Card","Debit Card","Cash","Net Banking"},MOD(ROW()-2,5)+1)</f>
        <v>Cash</v>
      </c>
      <c r="M105" s="10" t="str" cm="1">
        <f t="array" ref="M105">INDEX({"Retail","Corporate","Education","Small Business"},MOD(ROW()-2,4)+1)</f>
        <v>Small Business</v>
      </c>
    </row>
    <row r="106" spans="1:13" x14ac:dyDescent="0.3">
      <c r="A106" s="5" t="str">
        <f t="shared" si="15"/>
        <v>CUST0105</v>
      </c>
      <c r="B106" s="6" t="str" cm="1">
        <f t="array" ref="B106">INDEX({"Aarav","Vivaan","Aditya","Arjun","Kabir","Rohan","Ananya","Diya","Ishita","Meera","Riya","Pooja","Neha","Kavya","Aisha","Priya","Rahul","Karan","Vikram","Sahil"},MOD(ROW()-2,20)+1)&amp;" "&amp;INDEX({"Shah","Patel","Mehta","Desai","Joshi","Gupta","Verma","Sharma","Trivedi","Rana","Mishra","Kapoor","Iyer","Nair","Singh"},MOD(INT((ROW()-2)/20),15)+1)</f>
        <v>Kabir Gupta</v>
      </c>
      <c r="C106" s="6" t="str" cm="1">
        <f t="array" ref="C106">INDEX({"North","South","East","West","Central"},MOD(ROW()-2,5)+1)</f>
        <v>Central</v>
      </c>
      <c r="D106" s="6" t="str" cm="1">
        <f t="array" ref="D106">INDEX({"Electronics","Clothing","Furniture","Books","Office Supplies"},MOD(ROW()-2,5)+1)</f>
        <v>Office Supplies</v>
      </c>
      <c r="E106" s="6">
        <f t="shared" si="19"/>
        <v>14748</v>
      </c>
      <c r="F106" s="6">
        <f t="shared" si="20"/>
        <v>3</v>
      </c>
      <c r="G106" s="7">
        <f t="shared" si="21"/>
        <v>0</v>
      </c>
      <c r="H106" s="8">
        <f t="shared" si="18"/>
        <v>45762</v>
      </c>
      <c r="I106" s="9">
        <f t="shared" si="16"/>
        <v>44244</v>
      </c>
      <c r="J106" s="6">
        <f t="shared" si="17"/>
        <v>10618.56</v>
      </c>
      <c r="K106" s="6" t="str" cm="1">
        <f t="array" ref="K106">INDEX({"Amit","Neha","Riya","Karan","Pooja","Rahul","Meera","Vikram"},MOD(ROW()-2,8)+1)</f>
        <v>Amit</v>
      </c>
      <c r="L106" s="6" t="str" cm="1">
        <f t="array" ref="L106">INDEX({"UPI","Credit Card","Debit Card","Cash","Net Banking"},MOD(ROW()-2,5)+1)</f>
        <v>Net Banking</v>
      </c>
      <c r="M106" s="10" t="str" cm="1">
        <f t="array" ref="M106">INDEX({"Retail","Corporate","Education","Small Business"},MOD(ROW()-2,4)+1)</f>
        <v>Retail</v>
      </c>
    </row>
    <row r="107" spans="1:13" x14ac:dyDescent="0.3">
      <c r="A107" s="5" t="str">
        <f t="shared" si="15"/>
        <v>CUST0106</v>
      </c>
      <c r="B107" s="6" t="str" cm="1">
        <f t="array" ref="B107">INDEX({"Aarav","Vivaan","Aditya","Arjun","Kabir","Rohan","Ananya","Diya","Ishita","Meera","Riya","Pooja","Neha","Kavya","Aisha","Priya","Rahul","Karan","Vikram","Sahil"},MOD(ROW()-2,20)+1)&amp;" "&amp;INDEX({"Shah","Patel","Mehta","Desai","Joshi","Gupta","Verma","Sharma","Trivedi","Rana","Mishra","Kapoor","Iyer","Nair","Singh"},MOD(INT((ROW()-2)/20),15)+1)</f>
        <v>Rohan Gupta</v>
      </c>
      <c r="C107" s="6" t="str" cm="1">
        <f t="array" ref="C107">INDEX({"North","South","East","West","Central"},MOD(ROW()-2,5)+1)</f>
        <v>North</v>
      </c>
      <c r="D107" s="6" t="str" cm="1">
        <f t="array" ref="D107">INDEX({"Electronics","Clothing","Furniture","Books","Office Supplies"},MOD(ROW()-2,5)+1)</f>
        <v>Electronics</v>
      </c>
      <c r="E107" s="6">
        <f t="shared" si="19"/>
        <v>14885</v>
      </c>
      <c r="F107" s="6">
        <f t="shared" si="20"/>
        <v>10</v>
      </c>
      <c r="G107" s="7">
        <f t="shared" si="21"/>
        <v>0.02</v>
      </c>
      <c r="H107" s="8">
        <f t="shared" si="18"/>
        <v>45763</v>
      </c>
      <c r="I107" s="9">
        <f t="shared" si="16"/>
        <v>145873</v>
      </c>
      <c r="J107" s="6">
        <f t="shared" si="17"/>
        <v>37926.980000000003</v>
      </c>
      <c r="K107" s="6" t="str" cm="1">
        <f t="array" ref="K107">INDEX({"Amit","Neha","Riya","Karan","Pooja","Rahul","Meera","Vikram"},MOD(ROW()-2,8)+1)</f>
        <v>Neha</v>
      </c>
      <c r="L107" s="6" t="str" cm="1">
        <f t="array" ref="L107">INDEX({"UPI","Credit Card","Debit Card","Cash","Net Banking"},MOD(ROW()-2,5)+1)</f>
        <v>UPI</v>
      </c>
      <c r="M107" s="10" t="str" cm="1">
        <f t="array" ref="M107">INDEX({"Retail","Corporate","Education","Small Business"},MOD(ROW()-2,4)+1)</f>
        <v>Corporate</v>
      </c>
    </row>
    <row r="108" spans="1:13" x14ac:dyDescent="0.3">
      <c r="A108" s="5" t="str">
        <f t="shared" si="15"/>
        <v>CUST0107</v>
      </c>
      <c r="B108" s="6" t="str" cm="1">
        <f t="array" ref="B108">INDEX({"Aarav","Vivaan","Aditya","Arjun","Kabir","Rohan","Ananya","Diya","Ishita","Meera","Riya","Pooja","Neha","Kavya","Aisha","Priya","Rahul","Karan","Vikram","Sahil"},MOD(ROW()-2,20)+1)&amp;" "&amp;INDEX({"Shah","Patel","Mehta","Desai","Joshi","Gupta","Verma","Sharma","Trivedi","Rana","Mishra","Kapoor","Iyer","Nair","Singh"},MOD(INT((ROW()-2)/20),15)+1)</f>
        <v>Ananya Gupta</v>
      </c>
      <c r="C108" s="6" t="str" cm="1">
        <f t="array" ref="C108">INDEX({"North","South","East","West","Central"},MOD(ROW()-2,5)+1)</f>
        <v>South</v>
      </c>
      <c r="D108" s="6" t="str" cm="1">
        <f t="array" ref="D108">INDEX({"Electronics","Clothing","Furniture","Books","Office Supplies"},MOD(ROW()-2,5)+1)</f>
        <v>Clothing</v>
      </c>
      <c r="E108" s="6">
        <f t="shared" si="19"/>
        <v>15022</v>
      </c>
      <c r="F108" s="6">
        <f t="shared" si="20"/>
        <v>6</v>
      </c>
      <c r="G108" s="7">
        <f t="shared" si="21"/>
        <v>0.05</v>
      </c>
      <c r="H108" s="8">
        <f t="shared" ref="H108:H136" si="22">DATE(2025,1,1)+MOD(ROW()-2,365)</f>
        <v>45764</v>
      </c>
      <c r="I108" s="9">
        <f t="shared" si="16"/>
        <v>85625.4</v>
      </c>
      <c r="J108" s="6">
        <f t="shared" si="17"/>
        <v>23975.11</v>
      </c>
      <c r="K108" s="6" t="str" cm="1">
        <f t="array" ref="K108">INDEX({"Amit","Neha","Riya","Karan","Pooja","Rahul","Meera","Vikram"},MOD(ROW()-2,8)+1)</f>
        <v>Riya</v>
      </c>
      <c r="L108" s="6" t="str" cm="1">
        <f t="array" ref="L108">INDEX({"UPI","Credit Card","Debit Card","Cash","Net Banking"},MOD(ROW()-2,5)+1)</f>
        <v>Credit Card</v>
      </c>
      <c r="M108" s="10" t="str" cm="1">
        <f t="array" ref="M108">INDEX({"Retail","Corporate","Education","Small Business"},MOD(ROW()-2,4)+1)</f>
        <v>Education</v>
      </c>
    </row>
    <row r="109" spans="1:13" x14ac:dyDescent="0.3">
      <c r="A109" s="5" t="str">
        <f t="shared" si="15"/>
        <v>CUST0108</v>
      </c>
      <c r="B109" s="6" t="str" cm="1">
        <f t="array" ref="B109">INDEX({"Aarav","Vivaan","Aditya","Arjun","Kabir","Rohan","Ananya","Diya","Ishita","Meera","Riya","Pooja","Neha","Kavya","Aisha","Priya","Rahul","Karan","Vikram","Sahil"},MOD(ROW()-2,20)+1)&amp;" "&amp;INDEX({"Shah","Patel","Mehta","Desai","Joshi","Gupta","Verma","Sharma","Trivedi","Rana","Mishra","Kapoor","Iyer","Nair","Singh"},MOD(INT((ROW()-2)/20),15)+1)</f>
        <v>Diya Gupta</v>
      </c>
      <c r="C109" s="6" t="str" cm="1">
        <f t="array" ref="C109">INDEX({"North","South","East","West","Central"},MOD(ROW()-2,5)+1)</f>
        <v>East</v>
      </c>
      <c r="D109" s="6" t="str" cm="1">
        <f t="array" ref="D109">INDEX({"Electronics","Clothing","Furniture","Books","Office Supplies"},MOD(ROW()-2,5)+1)</f>
        <v>Furniture</v>
      </c>
      <c r="E109" s="6">
        <f t="shared" si="19"/>
        <v>15159</v>
      </c>
      <c r="F109" s="6">
        <f t="shared" si="20"/>
        <v>2</v>
      </c>
      <c r="G109" s="7">
        <f t="shared" si="21"/>
        <v>0.08</v>
      </c>
      <c r="H109" s="8">
        <f t="shared" si="22"/>
        <v>45765</v>
      </c>
      <c r="I109" s="9">
        <f t="shared" si="16"/>
        <v>27892.560000000001</v>
      </c>
      <c r="J109" s="6">
        <f t="shared" si="17"/>
        <v>8367.77</v>
      </c>
      <c r="K109" s="6" t="str" cm="1">
        <f t="array" ref="K109">INDEX({"Amit","Neha","Riya","Karan","Pooja","Rahul","Meera","Vikram"},MOD(ROW()-2,8)+1)</f>
        <v>Karan</v>
      </c>
      <c r="L109" s="6" t="str" cm="1">
        <f t="array" ref="L109">INDEX({"UPI","Credit Card","Debit Card","Cash","Net Banking"},MOD(ROW()-2,5)+1)</f>
        <v>Debit Card</v>
      </c>
      <c r="M109" s="10" t="str" cm="1">
        <f t="array" ref="M109">INDEX({"Retail","Corporate","Education","Small Business"},MOD(ROW()-2,4)+1)</f>
        <v>Small Business</v>
      </c>
    </row>
    <row r="110" spans="1:13" x14ac:dyDescent="0.3">
      <c r="A110" s="5" t="str">
        <f t="shared" si="15"/>
        <v>CUST0109</v>
      </c>
      <c r="B110" s="6" t="str" cm="1">
        <f t="array" ref="B110">INDEX({"Aarav","Vivaan","Aditya","Arjun","Kabir","Rohan","Ananya","Diya","Ishita","Meera","Riya","Pooja","Neha","Kavya","Aisha","Priya","Rahul","Karan","Vikram","Sahil"},MOD(ROW()-2,20)+1)&amp;" "&amp;INDEX({"Shah","Patel","Mehta","Desai","Joshi","Gupta","Verma","Sharma","Trivedi","Rana","Mishra","Kapoor","Iyer","Nair","Singh"},MOD(INT((ROW()-2)/20),15)+1)</f>
        <v>Ishita Gupta</v>
      </c>
      <c r="C110" s="6" t="str" cm="1">
        <f t="array" ref="C110">INDEX({"North","South","East","West","Central"},MOD(ROW()-2,5)+1)</f>
        <v>West</v>
      </c>
      <c r="D110" s="6" t="str" cm="1">
        <f t="array" ref="D110">INDEX({"Electronics","Clothing","Furniture","Books","Office Supplies"},MOD(ROW()-2,5)+1)</f>
        <v>Books</v>
      </c>
      <c r="E110" s="6">
        <f t="shared" ref="E110:E128" si="23">ROUND(500+MOD((ROW()-2)*137,44500),2)</f>
        <v>15296</v>
      </c>
      <c r="F110" s="6">
        <f t="shared" si="20"/>
        <v>9</v>
      </c>
      <c r="G110" s="7">
        <f t="shared" si="21"/>
        <v>0.1</v>
      </c>
      <c r="H110" s="8">
        <f t="shared" si="22"/>
        <v>45766</v>
      </c>
      <c r="I110" s="9">
        <f t="shared" si="16"/>
        <v>123897.60000000001</v>
      </c>
      <c r="J110" s="6">
        <f t="shared" si="17"/>
        <v>9911.81</v>
      </c>
      <c r="K110" s="6" t="str" cm="1">
        <f t="array" ref="K110">INDEX({"Amit","Neha","Riya","Karan","Pooja","Rahul","Meera","Vikram"},MOD(ROW()-2,8)+1)</f>
        <v>Pooja</v>
      </c>
      <c r="L110" s="6" t="str" cm="1">
        <f t="array" ref="L110">INDEX({"UPI","Credit Card","Debit Card","Cash","Net Banking"},MOD(ROW()-2,5)+1)</f>
        <v>Cash</v>
      </c>
      <c r="M110" s="10" t="str" cm="1">
        <f t="array" ref="M110">INDEX({"Retail","Corporate","Education","Small Business"},MOD(ROW()-2,4)+1)</f>
        <v>Retail</v>
      </c>
    </row>
    <row r="111" spans="1:13" x14ac:dyDescent="0.3">
      <c r="A111" s="5" t="str">
        <f t="shared" si="15"/>
        <v>CUST0110</v>
      </c>
      <c r="B111" s="6" t="str" cm="1">
        <f t="array" ref="B111">INDEX({"Aarav","Vivaan","Aditya","Arjun","Kabir","Rohan","Ananya","Diya","Ishita","Meera","Riya","Pooja","Neha","Kavya","Aisha","Priya","Rahul","Karan","Vikram","Sahil"},MOD(ROW()-2,20)+1)&amp;" "&amp;INDEX({"Shah","Patel","Mehta","Desai","Joshi","Gupta","Verma","Sharma","Trivedi","Rana","Mishra","Kapoor","Iyer","Nair","Singh"},MOD(INT((ROW()-2)/20),15)+1)</f>
        <v>Meera Gupta</v>
      </c>
      <c r="C111" s="6" t="str" cm="1">
        <f t="array" ref="C111">INDEX({"North","South","East","West","Central"},MOD(ROW()-2,5)+1)</f>
        <v>Central</v>
      </c>
      <c r="D111" s="6" t="str" cm="1">
        <f t="array" ref="D111">INDEX({"Electronics","Clothing","Furniture","Books","Office Supplies"},MOD(ROW()-2,5)+1)</f>
        <v>Office Supplies</v>
      </c>
      <c r="E111" s="6">
        <f t="shared" si="23"/>
        <v>15433</v>
      </c>
      <c r="F111" s="6">
        <f t="shared" si="20"/>
        <v>5</v>
      </c>
      <c r="G111" s="7">
        <f t="shared" si="21"/>
        <v>0.12</v>
      </c>
      <c r="H111" s="8">
        <f t="shared" si="22"/>
        <v>45767</v>
      </c>
      <c r="I111" s="9">
        <f t="shared" si="16"/>
        <v>67905.2</v>
      </c>
      <c r="J111" s="6">
        <f t="shared" si="17"/>
        <v>6790.52</v>
      </c>
      <c r="K111" s="6" t="str" cm="1">
        <f t="array" ref="K111">INDEX({"Amit","Neha","Riya","Karan","Pooja","Rahul","Meera","Vikram"},MOD(ROW()-2,8)+1)</f>
        <v>Rahul</v>
      </c>
      <c r="L111" s="6" t="str" cm="1">
        <f t="array" ref="L111">INDEX({"UPI","Credit Card","Debit Card","Cash","Net Banking"},MOD(ROW()-2,5)+1)</f>
        <v>Net Banking</v>
      </c>
      <c r="M111" s="10" t="str" cm="1">
        <f t="array" ref="M111">INDEX({"Retail","Corporate","Education","Small Business"},MOD(ROW()-2,4)+1)</f>
        <v>Corporate</v>
      </c>
    </row>
    <row r="112" spans="1:13" x14ac:dyDescent="0.3">
      <c r="A112" s="5" t="str">
        <f t="shared" si="15"/>
        <v>CUST0111</v>
      </c>
      <c r="B112" s="6" t="str" cm="1">
        <f t="array" ref="B112">INDEX({"Aarav","Vivaan","Aditya","Arjun","Kabir","Rohan","Ananya","Diya","Ishita","Meera","Riya","Pooja","Neha","Kavya","Aisha","Priya","Rahul","Karan","Vikram","Sahil"},MOD(ROW()-2,20)+1)&amp;" "&amp;INDEX({"Shah","Patel","Mehta","Desai","Joshi","Gupta","Verma","Sharma","Trivedi","Rana","Mishra","Kapoor","Iyer","Nair","Singh"},MOD(INT((ROW()-2)/20),15)+1)</f>
        <v>Riya Gupta</v>
      </c>
      <c r="C112" s="6" t="str" cm="1">
        <f t="array" ref="C112">INDEX({"North","South","East","West","Central"},MOD(ROW()-2,5)+1)</f>
        <v>North</v>
      </c>
      <c r="D112" s="6" t="str" cm="1">
        <f t="array" ref="D112">INDEX({"Electronics","Clothing","Furniture","Books","Office Supplies"},MOD(ROW()-2,5)+1)</f>
        <v>Electronics</v>
      </c>
      <c r="E112" s="6">
        <f t="shared" si="23"/>
        <v>15570</v>
      </c>
      <c r="F112" s="6">
        <f t="shared" si="20"/>
        <v>1</v>
      </c>
      <c r="G112" s="7">
        <f t="shared" si="21"/>
        <v>0.15</v>
      </c>
      <c r="H112" s="8">
        <f t="shared" si="22"/>
        <v>45768</v>
      </c>
      <c r="I112" s="9">
        <f t="shared" si="16"/>
        <v>13234.5</v>
      </c>
      <c r="J112" s="6">
        <f t="shared" si="17"/>
        <v>1588.14</v>
      </c>
      <c r="K112" s="6" t="str" cm="1">
        <f t="array" ref="K112">INDEX({"Amit","Neha","Riya","Karan","Pooja","Rahul","Meera","Vikram"},MOD(ROW()-2,8)+1)</f>
        <v>Meera</v>
      </c>
      <c r="L112" s="6" t="str" cm="1">
        <f t="array" ref="L112">INDEX({"UPI","Credit Card","Debit Card","Cash","Net Banking"},MOD(ROW()-2,5)+1)</f>
        <v>UPI</v>
      </c>
      <c r="M112" s="10" t="str" cm="1">
        <f t="array" ref="M112">INDEX({"Retail","Corporate","Education","Small Business"},MOD(ROW()-2,4)+1)</f>
        <v>Education</v>
      </c>
    </row>
    <row r="113" spans="1:13" x14ac:dyDescent="0.3">
      <c r="A113" s="5" t="str">
        <f t="shared" si="15"/>
        <v>CUST0112</v>
      </c>
      <c r="B113" s="6" t="str" cm="1">
        <f t="array" ref="B113">INDEX({"Aarav","Vivaan","Aditya","Arjun","Kabir","Rohan","Ananya","Diya","Ishita","Meera","Riya","Pooja","Neha","Kavya","Aisha","Priya","Rahul","Karan","Vikram","Sahil"},MOD(ROW()-2,20)+1)&amp;" "&amp;INDEX({"Shah","Patel","Mehta","Desai","Joshi","Gupta","Verma","Sharma","Trivedi","Rana","Mishra","Kapoor","Iyer","Nair","Singh"},MOD(INT((ROW()-2)/20),15)+1)</f>
        <v>Pooja Gupta</v>
      </c>
      <c r="C113" s="6" t="str" cm="1">
        <f t="array" ref="C113">INDEX({"North","South","East","West","Central"},MOD(ROW()-2,5)+1)</f>
        <v>South</v>
      </c>
      <c r="D113" s="6" t="str" cm="1">
        <f t="array" ref="D113">INDEX({"Electronics","Clothing","Furniture","Books","Office Supplies"},MOD(ROW()-2,5)+1)</f>
        <v>Clothing</v>
      </c>
      <c r="E113" s="6">
        <f t="shared" si="23"/>
        <v>15707</v>
      </c>
      <c r="F113" s="6">
        <f t="shared" si="20"/>
        <v>8</v>
      </c>
      <c r="G113" s="7">
        <f t="shared" si="21"/>
        <v>0.2</v>
      </c>
      <c r="H113" s="8">
        <f t="shared" si="22"/>
        <v>45769</v>
      </c>
      <c r="I113" s="9">
        <f t="shared" si="16"/>
        <v>100524.8</v>
      </c>
      <c r="J113" s="6">
        <f t="shared" si="17"/>
        <v>14073.47</v>
      </c>
      <c r="K113" s="6" t="str" cm="1">
        <f t="array" ref="K113">INDEX({"Amit","Neha","Riya","Karan","Pooja","Rahul","Meera","Vikram"},MOD(ROW()-2,8)+1)</f>
        <v>Vikram</v>
      </c>
      <c r="L113" s="6" t="str" cm="1">
        <f t="array" ref="L113">INDEX({"UPI","Credit Card","Debit Card","Cash","Net Banking"},MOD(ROW()-2,5)+1)</f>
        <v>Credit Card</v>
      </c>
      <c r="M113" s="10" t="str" cm="1">
        <f t="array" ref="M113">INDEX({"Retail","Corporate","Education","Small Business"},MOD(ROW()-2,4)+1)</f>
        <v>Small Business</v>
      </c>
    </row>
    <row r="114" spans="1:13" x14ac:dyDescent="0.3">
      <c r="A114" s="5" t="str">
        <f t="shared" si="15"/>
        <v>CUST0113</v>
      </c>
      <c r="B114" s="6" t="str" cm="1">
        <f t="array" ref="B114">INDEX({"Aarav","Vivaan","Aditya","Arjun","Kabir","Rohan","Ananya","Diya","Ishita","Meera","Riya","Pooja","Neha","Kavya","Aisha","Priya","Rahul","Karan","Vikram","Sahil"},MOD(ROW()-2,20)+1)&amp;" "&amp;INDEX({"Shah","Patel","Mehta","Desai","Joshi","Gupta","Verma","Sharma","Trivedi","Rana","Mishra","Kapoor","Iyer","Nair","Singh"},MOD(INT((ROW()-2)/20),15)+1)</f>
        <v>Neha Gupta</v>
      </c>
      <c r="C114" s="6" t="str" cm="1">
        <f t="array" ref="C114">INDEX({"North","South","East","West","Central"},MOD(ROW()-2,5)+1)</f>
        <v>East</v>
      </c>
      <c r="D114" s="6" t="str" cm="1">
        <f t="array" ref="D114">INDEX({"Electronics","Clothing","Furniture","Books","Office Supplies"},MOD(ROW()-2,5)+1)</f>
        <v>Furniture</v>
      </c>
      <c r="E114" s="6">
        <f t="shared" si="23"/>
        <v>15844</v>
      </c>
      <c r="F114" s="6">
        <f t="shared" si="20"/>
        <v>4</v>
      </c>
      <c r="G114" s="7">
        <f t="shared" si="21"/>
        <v>0</v>
      </c>
      <c r="H114" s="8">
        <f t="shared" si="22"/>
        <v>45770</v>
      </c>
      <c r="I114" s="9">
        <f t="shared" si="16"/>
        <v>63376</v>
      </c>
      <c r="J114" s="6">
        <f t="shared" si="17"/>
        <v>10140.16</v>
      </c>
      <c r="K114" s="6" t="str" cm="1">
        <f t="array" ref="K114">INDEX({"Amit","Neha","Riya","Karan","Pooja","Rahul","Meera","Vikram"},MOD(ROW()-2,8)+1)</f>
        <v>Amit</v>
      </c>
      <c r="L114" s="6" t="str" cm="1">
        <f t="array" ref="L114">INDEX({"UPI","Credit Card","Debit Card","Cash","Net Banking"},MOD(ROW()-2,5)+1)</f>
        <v>Debit Card</v>
      </c>
      <c r="M114" s="10" t="str" cm="1">
        <f t="array" ref="M114">INDEX({"Retail","Corporate","Education","Small Business"},MOD(ROW()-2,4)+1)</f>
        <v>Retail</v>
      </c>
    </row>
    <row r="115" spans="1:13" x14ac:dyDescent="0.3">
      <c r="A115" s="5" t="str">
        <f t="shared" si="15"/>
        <v>CUST0114</v>
      </c>
      <c r="B115" s="6" t="str" cm="1">
        <f t="array" ref="B115">INDEX({"Aarav","Vivaan","Aditya","Arjun","Kabir","Rohan","Ananya","Diya","Ishita","Meera","Riya","Pooja","Neha","Kavya","Aisha","Priya","Rahul","Karan","Vikram","Sahil"},MOD(ROW()-2,20)+1)&amp;" "&amp;INDEX({"Shah","Patel","Mehta","Desai","Joshi","Gupta","Verma","Sharma","Trivedi","Rana","Mishra","Kapoor","Iyer","Nair","Singh"},MOD(INT((ROW()-2)/20),15)+1)</f>
        <v>Kavya Gupta</v>
      </c>
      <c r="C115" s="6" t="str" cm="1">
        <f t="array" ref="C115">INDEX({"North","South","East","West","Central"},MOD(ROW()-2,5)+1)</f>
        <v>West</v>
      </c>
      <c r="D115" s="6" t="str" cm="1">
        <f t="array" ref="D115">INDEX({"Electronics","Clothing","Furniture","Books","Office Supplies"},MOD(ROW()-2,5)+1)</f>
        <v>Books</v>
      </c>
      <c r="E115" s="6">
        <f t="shared" si="23"/>
        <v>15981</v>
      </c>
      <c r="F115" s="6">
        <f t="shared" si="20"/>
        <v>11</v>
      </c>
      <c r="G115" s="7">
        <f t="shared" si="21"/>
        <v>0.02</v>
      </c>
      <c r="H115" s="8">
        <f t="shared" si="22"/>
        <v>45771</v>
      </c>
      <c r="I115" s="9">
        <f t="shared" si="16"/>
        <v>172275.18</v>
      </c>
      <c r="J115" s="6">
        <f t="shared" si="17"/>
        <v>31009.53</v>
      </c>
      <c r="K115" s="6" t="str" cm="1">
        <f t="array" ref="K115">INDEX({"Amit","Neha","Riya","Karan","Pooja","Rahul","Meera","Vikram"},MOD(ROW()-2,8)+1)</f>
        <v>Neha</v>
      </c>
      <c r="L115" s="6" t="str" cm="1">
        <f t="array" ref="L115">INDEX({"UPI","Credit Card","Debit Card","Cash","Net Banking"},MOD(ROW()-2,5)+1)</f>
        <v>Cash</v>
      </c>
      <c r="M115" s="10" t="str" cm="1">
        <f t="array" ref="M115">INDEX({"Retail","Corporate","Education","Small Business"},MOD(ROW()-2,4)+1)</f>
        <v>Corporate</v>
      </c>
    </row>
    <row r="116" spans="1:13" x14ac:dyDescent="0.3">
      <c r="A116" s="5" t="str">
        <f t="shared" si="15"/>
        <v>CUST0115</v>
      </c>
      <c r="B116" s="6" t="str" cm="1">
        <f t="array" ref="B116">INDEX({"Aarav","Vivaan","Aditya","Arjun","Kabir","Rohan","Ananya","Diya","Ishita","Meera","Riya","Pooja","Neha","Kavya","Aisha","Priya","Rahul","Karan","Vikram","Sahil"},MOD(ROW()-2,20)+1)&amp;" "&amp;INDEX({"Shah","Patel","Mehta","Desai","Joshi","Gupta","Verma","Sharma","Trivedi","Rana","Mishra","Kapoor","Iyer","Nair","Singh"},MOD(INT((ROW()-2)/20),15)+1)</f>
        <v>Aisha Gupta</v>
      </c>
      <c r="C116" s="6" t="str" cm="1">
        <f t="array" ref="C116">INDEX({"North","South","East","West","Central"},MOD(ROW()-2,5)+1)</f>
        <v>Central</v>
      </c>
      <c r="D116" s="6" t="str" cm="1">
        <f t="array" ref="D116">INDEX({"Electronics","Clothing","Furniture","Books","Office Supplies"},MOD(ROW()-2,5)+1)</f>
        <v>Office Supplies</v>
      </c>
      <c r="E116" s="6">
        <f t="shared" si="23"/>
        <v>16118</v>
      </c>
      <c r="F116" s="6">
        <f t="shared" si="20"/>
        <v>7</v>
      </c>
      <c r="G116" s="7">
        <f t="shared" si="21"/>
        <v>0.05</v>
      </c>
      <c r="H116" s="8">
        <f t="shared" si="22"/>
        <v>45772</v>
      </c>
      <c r="I116" s="9">
        <f t="shared" si="16"/>
        <v>107184.7</v>
      </c>
      <c r="J116" s="6">
        <f t="shared" si="17"/>
        <v>21436.94</v>
      </c>
      <c r="K116" s="6" t="str" cm="1">
        <f t="array" ref="K116">INDEX({"Amit","Neha","Riya","Karan","Pooja","Rahul","Meera","Vikram"},MOD(ROW()-2,8)+1)</f>
        <v>Riya</v>
      </c>
      <c r="L116" s="6" t="str" cm="1">
        <f t="array" ref="L116">INDEX({"UPI","Credit Card","Debit Card","Cash","Net Banking"},MOD(ROW()-2,5)+1)</f>
        <v>Net Banking</v>
      </c>
      <c r="M116" s="10" t="str" cm="1">
        <f t="array" ref="M116">INDEX({"Retail","Corporate","Education","Small Business"},MOD(ROW()-2,4)+1)</f>
        <v>Education</v>
      </c>
    </row>
    <row r="117" spans="1:13" x14ac:dyDescent="0.3">
      <c r="A117" s="5" t="str">
        <f t="shared" si="15"/>
        <v>CUST0116</v>
      </c>
      <c r="B117" s="6" t="str" cm="1">
        <f t="array" ref="B117">INDEX({"Aarav","Vivaan","Aditya","Arjun","Kabir","Rohan","Ananya","Diya","Ishita","Meera","Riya","Pooja","Neha","Kavya","Aisha","Priya","Rahul","Karan","Vikram","Sahil"},MOD(ROW()-2,20)+1)&amp;" "&amp;INDEX({"Shah","Patel","Mehta","Desai","Joshi","Gupta","Verma","Sharma","Trivedi","Rana","Mishra","Kapoor","Iyer","Nair","Singh"},MOD(INT((ROW()-2)/20),15)+1)</f>
        <v>Priya Gupta</v>
      </c>
      <c r="C117" s="6" t="str" cm="1">
        <f t="array" ref="C117">INDEX({"North","South","East","West","Central"},MOD(ROW()-2,5)+1)</f>
        <v>North</v>
      </c>
      <c r="D117" s="6" t="str" cm="1">
        <f t="array" ref="D117">INDEX({"Electronics","Clothing","Furniture","Books","Office Supplies"},MOD(ROW()-2,5)+1)</f>
        <v>Electronics</v>
      </c>
      <c r="E117" s="6">
        <f t="shared" si="23"/>
        <v>16255</v>
      </c>
      <c r="F117" s="6">
        <f t="shared" ref="F117:F141" si="24">MOD((ROW()-2)*7,11)+1</f>
        <v>3</v>
      </c>
      <c r="G117" s="7">
        <f t="shared" si="21"/>
        <v>0.08</v>
      </c>
      <c r="H117" s="8">
        <f t="shared" si="22"/>
        <v>45773</v>
      </c>
      <c r="I117" s="9">
        <f t="shared" si="16"/>
        <v>44863.8</v>
      </c>
      <c r="J117" s="6">
        <f t="shared" si="17"/>
        <v>9870.0400000000009</v>
      </c>
      <c r="K117" s="6" t="str" cm="1">
        <f t="array" ref="K117">INDEX({"Amit","Neha","Riya","Karan","Pooja","Rahul","Meera","Vikram"},MOD(ROW()-2,8)+1)</f>
        <v>Karan</v>
      </c>
      <c r="L117" s="6" t="str" cm="1">
        <f t="array" ref="L117">INDEX({"UPI","Credit Card","Debit Card","Cash","Net Banking"},MOD(ROW()-2,5)+1)</f>
        <v>UPI</v>
      </c>
      <c r="M117" s="10" t="str" cm="1">
        <f t="array" ref="M117">INDEX({"Retail","Corporate","Education","Small Business"},MOD(ROW()-2,4)+1)</f>
        <v>Small Business</v>
      </c>
    </row>
    <row r="118" spans="1:13" x14ac:dyDescent="0.3">
      <c r="A118" s="5" t="str">
        <f t="shared" si="15"/>
        <v>CUST0117</v>
      </c>
      <c r="B118" s="6" t="str" cm="1">
        <f t="array" ref="B118">INDEX({"Aarav","Vivaan","Aditya","Arjun","Kabir","Rohan","Ananya","Diya","Ishita","Meera","Riya","Pooja","Neha","Kavya","Aisha","Priya","Rahul","Karan","Vikram","Sahil"},MOD(ROW()-2,20)+1)&amp;" "&amp;INDEX({"Shah","Patel","Mehta","Desai","Joshi","Gupta","Verma","Sharma","Trivedi","Rana","Mishra","Kapoor","Iyer","Nair","Singh"},MOD(INT((ROW()-2)/20),15)+1)</f>
        <v>Rahul Gupta</v>
      </c>
      <c r="C118" s="6" t="str" cm="1">
        <f t="array" ref="C118">INDEX({"North","South","East","West","Central"},MOD(ROW()-2,5)+1)</f>
        <v>South</v>
      </c>
      <c r="D118" s="6" t="str" cm="1">
        <f t="array" ref="D118">INDEX({"Electronics","Clothing","Furniture","Books","Office Supplies"},MOD(ROW()-2,5)+1)</f>
        <v>Clothing</v>
      </c>
      <c r="E118" s="6">
        <f t="shared" si="23"/>
        <v>16392</v>
      </c>
      <c r="F118" s="6">
        <f t="shared" si="24"/>
        <v>10</v>
      </c>
      <c r="G118" s="7">
        <f t="shared" si="21"/>
        <v>0.1</v>
      </c>
      <c r="H118" s="8">
        <f t="shared" si="22"/>
        <v>45774</v>
      </c>
      <c r="I118" s="9">
        <f t="shared" si="16"/>
        <v>147528</v>
      </c>
      <c r="J118" s="6">
        <f t="shared" si="17"/>
        <v>35406.720000000001</v>
      </c>
      <c r="K118" s="6" t="str" cm="1">
        <f t="array" ref="K118">INDEX({"Amit","Neha","Riya","Karan","Pooja","Rahul","Meera","Vikram"},MOD(ROW()-2,8)+1)</f>
        <v>Pooja</v>
      </c>
      <c r="L118" s="6" t="str" cm="1">
        <f t="array" ref="L118">INDEX({"UPI","Credit Card","Debit Card","Cash","Net Banking"},MOD(ROW()-2,5)+1)</f>
        <v>Credit Card</v>
      </c>
      <c r="M118" s="10" t="str" cm="1">
        <f t="array" ref="M118">INDEX({"Retail","Corporate","Education","Small Business"},MOD(ROW()-2,4)+1)</f>
        <v>Retail</v>
      </c>
    </row>
    <row r="119" spans="1:13" x14ac:dyDescent="0.3">
      <c r="A119" s="5" t="str">
        <f t="shared" si="15"/>
        <v>CUST0118</v>
      </c>
      <c r="B119" s="6" t="str" cm="1">
        <f t="array" ref="B119">INDEX({"Aarav","Vivaan","Aditya","Arjun","Kabir","Rohan","Ananya","Diya","Ishita","Meera","Riya","Pooja","Neha","Kavya","Aisha","Priya","Rahul","Karan","Vikram","Sahil"},MOD(ROW()-2,20)+1)&amp;" "&amp;INDEX({"Shah","Patel","Mehta","Desai","Joshi","Gupta","Verma","Sharma","Trivedi","Rana","Mishra","Kapoor","Iyer","Nair","Singh"},MOD(INT((ROW()-2)/20),15)+1)</f>
        <v>Karan Gupta</v>
      </c>
      <c r="C119" s="6" t="str" cm="1">
        <f t="array" ref="C119">INDEX({"North","South","East","West","Central"},MOD(ROW()-2,5)+1)</f>
        <v>East</v>
      </c>
      <c r="D119" s="6" t="str" cm="1">
        <f t="array" ref="D119">INDEX({"Electronics","Clothing","Furniture","Books","Office Supplies"},MOD(ROW()-2,5)+1)</f>
        <v>Furniture</v>
      </c>
      <c r="E119" s="6">
        <f t="shared" si="23"/>
        <v>16529</v>
      </c>
      <c r="F119" s="6">
        <f t="shared" si="24"/>
        <v>6</v>
      </c>
      <c r="G119" s="7">
        <f t="shared" ref="G119:G150" si="25">CHOOSE(MOD(ROW()-2,8)+1,0,0.02,0.05,0.08,0.1,0.12,0.15,0.2)</f>
        <v>0.12</v>
      </c>
      <c r="H119" s="8">
        <f t="shared" si="22"/>
        <v>45775</v>
      </c>
      <c r="I119" s="9">
        <f t="shared" si="16"/>
        <v>87273.12</v>
      </c>
      <c r="J119" s="6">
        <f t="shared" si="17"/>
        <v>22691.01</v>
      </c>
      <c r="K119" s="6" t="str" cm="1">
        <f t="array" ref="K119">INDEX({"Amit","Neha","Riya","Karan","Pooja","Rahul","Meera","Vikram"},MOD(ROW()-2,8)+1)</f>
        <v>Rahul</v>
      </c>
      <c r="L119" s="6" t="str" cm="1">
        <f t="array" ref="L119">INDEX({"UPI","Credit Card","Debit Card","Cash","Net Banking"},MOD(ROW()-2,5)+1)</f>
        <v>Debit Card</v>
      </c>
      <c r="M119" s="10" t="str" cm="1">
        <f t="array" ref="M119">INDEX({"Retail","Corporate","Education","Small Business"},MOD(ROW()-2,4)+1)</f>
        <v>Corporate</v>
      </c>
    </row>
    <row r="120" spans="1:13" x14ac:dyDescent="0.3">
      <c r="A120" s="5" t="str">
        <f t="shared" si="15"/>
        <v>CUST0119</v>
      </c>
      <c r="B120" s="6" t="str" cm="1">
        <f t="array" ref="B120">INDEX({"Aarav","Vivaan","Aditya","Arjun","Kabir","Rohan","Ananya","Diya","Ishita","Meera","Riya","Pooja","Neha","Kavya","Aisha","Priya","Rahul","Karan","Vikram","Sahil"},MOD(ROW()-2,20)+1)&amp;" "&amp;INDEX({"Shah","Patel","Mehta","Desai","Joshi","Gupta","Verma","Sharma","Trivedi","Rana","Mishra","Kapoor","Iyer","Nair","Singh"},MOD(INT((ROW()-2)/20),15)+1)</f>
        <v>Vikram Gupta</v>
      </c>
      <c r="C120" s="6" t="str" cm="1">
        <f t="array" ref="C120">INDEX({"North","South","East","West","Central"},MOD(ROW()-2,5)+1)</f>
        <v>West</v>
      </c>
      <c r="D120" s="6" t="str" cm="1">
        <f t="array" ref="D120">INDEX({"Electronics","Clothing","Furniture","Books","Office Supplies"},MOD(ROW()-2,5)+1)</f>
        <v>Books</v>
      </c>
      <c r="E120" s="6">
        <f t="shared" si="23"/>
        <v>16666</v>
      </c>
      <c r="F120" s="6">
        <f t="shared" si="24"/>
        <v>2</v>
      </c>
      <c r="G120" s="7">
        <f t="shared" si="25"/>
        <v>0.15</v>
      </c>
      <c r="H120" s="8">
        <f t="shared" si="22"/>
        <v>45776</v>
      </c>
      <c r="I120" s="9">
        <f t="shared" si="16"/>
        <v>28332.2</v>
      </c>
      <c r="J120" s="6">
        <f t="shared" si="17"/>
        <v>7933.02</v>
      </c>
      <c r="K120" s="6" t="str" cm="1">
        <f t="array" ref="K120">INDEX({"Amit","Neha","Riya","Karan","Pooja","Rahul","Meera","Vikram"},MOD(ROW()-2,8)+1)</f>
        <v>Meera</v>
      </c>
      <c r="L120" s="6" t="str" cm="1">
        <f t="array" ref="L120">INDEX({"UPI","Credit Card","Debit Card","Cash","Net Banking"},MOD(ROW()-2,5)+1)</f>
        <v>Cash</v>
      </c>
      <c r="M120" s="10" t="str" cm="1">
        <f t="array" ref="M120">INDEX({"Retail","Corporate","Education","Small Business"},MOD(ROW()-2,4)+1)</f>
        <v>Education</v>
      </c>
    </row>
    <row r="121" spans="1:13" x14ac:dyDescent="0.3">
      <c r="A121" s="5" t="str">
        <f t="shared" si="15"/>
        <v>CUST0120</v>
      </c>
      <c r="B121" s="6" t="str" cm="1">
        <f t="array" ref="B121">INDEX({"Aarav","Vivaan","Aditya","Arjun","Kabir","Rohan","Ananya","Diya","Ishita","Meera","Riya","Pooja","Neha","Kavya","Aisha","Priya","Rahul","Karan","Vikram","Sahil"},MOD(ROW()-2,20)+1)&amp;" "&amp;INDEX({"Shah","Patel","Mehta","Desai","Joshi","Gupta","Verma","Sharma","Trivedi","Rana","Mishra","Kapoor","Iyer","Nair","Singh"},MOD(INT((ROW()-2)/20),15)+1)</f>
        <v>Sahil Gupta</v>
      </c>
      <c r="C121" s="6" t="str" cm="1">
        <f t="array" ref="C121">INDEX({"North","South","East","West","Central"},MOD(ROW()-2,5)+1)</f>
        <v>Central</v>
      </c>
      <c r="D121" s="6" t="str" cm="1">
        <f t="array" ref="D121">INDEX({"Electronics","Clothing","Furniture","Books","Office Supplies"},MOD(ROW()-2,5)+1)</f>
        <v>Office Supplies</v>
      </c>
      <c r="E121" s="6">
        <f t="shared" si="23"/>
        <v>16803</v>
      </c>
      <c r="F121" s="6">
        <f t="shared" si="24"/>
        <v>9</v>
      </c>
      <c r="G121" s="7">
        <f t="shared" si="25"/>
        <v>0.2</v>
      </c>
      <c r="H121" s="8">
        <f t="shared" si="22"/>
        <v>45777</v>
      </c>
      <c r="I121" s="9">
        <f t="shared" si="16"/>
        <v>120981.6</v>
      </c>
      <c r="J121" s="6">
        <f t="shared" si="17"/>
        <v>36294.480000000003</v>
      </c>
      <c r="K121" s="6" t="str" cm="1">
        <f t="array" ref="K121">INDEX({"Amit","Neha","Riya","Karan","Pooja","Rahul","Meera","Vikram"},MOD(ROW()-2,8)+1)</f>
        <v>Vikram</v>
      </c>
      <c r="L121" s="6" t="str" cm="1">
        <f t="array" ref="L121">INDEX({"UPI","Credit Card","Debit Card","Cash","Net Banking"},MOD(ROW()-2,5)+1)</f>
        <v>Net Banking</v>
      </c>
      <c r="M121" s="10" t="str" cm="1">
        <f t="array" ref="M121">INDEX({"Retail","Corporate","Education","Small Business"},MOD(ROW()-2,4)+1)</f>
        <v>Small Business</v>
      </c>
    </row>
    <row r="122" spans="1:13" x14ac:dyDescent="0.3">
      <c r="A122" s="5" t="str">
        <f t="shared" si="15"/>
        <v>CUST0121</v>
      </c>
      <c r="B122" s="6" t="str" cm="1">
        <f t="array" ref="B122">INDEX({"Aarav","Vivaan","Aditya","Arjun","Kabir","Rohan","Ananya","Diya","Ishita","Meera","Riya","Pooja","Neha","Kavya","Aisha","Priya","Rahul","Karan","Vikram","Sahil"},MOD(ROW()-2,20)+1)&amp;" "&amp;INDEX({"Shah","Patel","Mehta","Desai","Joshi","Gupta","Verma","Sharma","Trivedi","Rana","Mishra","Kapoor","Iyer","Nair","Singh"},MOD(INT((ROW()-2)/20),15)+1)</f>
        <v>Aarav Verma</v>
      </c>
      <c r="C122" s="6" t="str" cm="1">
        <f t="array" ref="C122">INDEX({"North","South","East","West","Central"},MOD(ROW()-2,5)+1)</f>
        <v>North</v>
      </c>
      <c r="D122" s="6" t="str" cm="1">
        <f t="array" ref="D122">INDEX({"Electronics","Clothing","Furniture","Books","Office Supplies"},MOD(ROW()-2,5)+1)</f>
        <v>Electronics</v>
      </c>
      <c r="E122" s="6">
        <f t="shared" si="23"/>
        <v>16940</v>
      </c>
      <c r="F122" s="6">
        <f t="shared" si="24"/>
        <v>5</v>
      </c>
      <c r="G122" s="7">
        <f t="shared" si="25"/>
        <v>0</v>
      </c>
      <c r="H122" s="8">
        <f t="shared" si="22"/>
        <v>45778</v>
      </c>
      <c r="I122" s="9">
        <f t="shared" si="16"/>
        <v>84700</v>
      </c>
      <c r="J122" s="6">
        <f t="shared" si="17"/>
        <v>6776</v>
      </c>
      <c r="K122" s="6" t="str" cm="1">
        <f t="array" ref="K122">INDEX({"Amit","Neha","Riya","Karan","Pooja","Rahul","Meera","Vikram"},MOD(ROW()-2,8)+1)</f>
        <v>Amit</v>
      </c>
      <c r="L122" s="6" t="str" cm="1">
        <f t="array" ref="L122">INDEX({"UPI","Credit Card","Debit Card","Cash","Net Banking"},MOD(ROW()-2,5)+1)</f>
        <v>UPI</v>
      </c>
      <c r="M122" s="10" t="str" cm="1">
        <f t="array" ref="M122">INDEX({"Retail","Corporate","Education","Small Business"},MOD(ROW()-2,4)+1)</f>
        <v>Retail</v>
      </c>
    </row>
    <row r="123" spans="1:13" x14ac:dyDescent="0.3">
      <c r="A123" s="5" t="str">
        <f t="shared" si="15"/>
        <v>CUST0122</v>
      </c>
      <c r="B123" s="6" t="str" cm="1">
        <f t="array" ref="B123">INDEX({"Aarav","Vivaan","Aditya","Arjun","Kabir","Rohan","Ananya","Diya","Ishita","Meera","Riya","Pooja","Neha","Kavya","Aisha","Priya","Rahul","Karan","Vikram","Sahil"},MOD(ROW()-2,20)+1)&amp;" "&amp;INDEX({"Shah","Patel","Mehta","Desai","Joshi","Gupta","Verma","Sharma","Trivedi","Rana","Mishra","Kapoor","Iyer","Nair","Singh"},MOD(INT((ROW()-2)/20),15)+1)</f>
        <v>Vivaan Verma</v>
      </c>
      <c r="C123" s="6" t="str" cm="1">
        <f t="array" ref="C123">INDEX({"North","South","East","West","Central"},MOD(ROW()-2,5)+1)</f>
        <v>South</v>
      </c>
      <c r="D123" s="6" t="str" cm="1">
        <f t="array" ref="D123">INDEX({"Electronics","Clothing","Furniture","Books","Office Supplies"},MOD(ROW()-2,5)+1)</f>
        <v>Clothing</v>
      </c>
      <c r="E123" s="6">
        <f t="shared" si="23"/>
        <v>17077</v>
      </c>
      <c r="F123" s="6">
        <f t="shared" si="24"/>
        <v>1</v>
      </c>
      <c r="G123" s="7">
        <f t="shared" si="25"/>
        <v>0.02</v>
      </c>
      <c r="H123" s="8">
        <f t="shared" si="22"/>
        <v>45779</v>
      </c>
      <c r="I123" s="9">
        <f t="shared" si="16"/>
        <v>16735.46</v>
      </c>
      <c r="J123" s="6">
        <f t="shared" si="17"/>
        <v>1673.55</v>
      </c>
      <c r="K123" s="6" t="str" cm="1">
        <f t="array" ref="K123">INDEX({"Amit","Neha","Riya","Karan","Pooja","Rahul","Meera","Vikram"},MOD(ROW()-2,8)+1)</f>
        <v>Neha</v>
      </c>
      <c r="L123" s="6" t="str" cm="1">
        <f t="array" ref="L123">INDEX({"UPI","Credit Card","Debit Card","Cash","Net Banking"},MOD(ROW()-2,5)+1)</f>
        <v>Credit Card</v>
      </c>
      <c r="M123" s="10" t="str" cm="1">
        <f t="array" ref="M123">INDEX({"Retail","Corporate","Education","Small Business"},MOD(ROW()-2,4)+1)</f>
        <v>Corporate</v>
      </c>
    </row>
    <row r="124" spans="1:13" x14ac:dyDescent="0.3">
      <c r="A124" s="5" t="str">
        <f t="shared" si="15"/>
        <v>CUST0123</v>
      </c>
      <c r="B124" s="6" t="str" cm="1">
        <f t="array" ref="B124">INDEX({"Aarav","Vivaan","Aditya","Arjun","Kabir","Rohan","Ananya","Diya","Ishita","Meera","Riya","Pooja","Neha","Kavya","Aisha","Priya","Rahul","Karan","Vikram","Sahil"},MOD(ROW()-2,20)+1)&amp;" "&amp;INDEX({"Shah","Patel","Mehta","Desai","Joshi","Gupta","Verma","Sharma","Trivedi","Rana","Mishra","Kapoor","Iyer","Nair","Singh"},MOD(INT((ROW()-2)/20),15)+1)</f>
        <v>Aditya Verma</v>
      </c>
      <c r="C124" s="6" t="str" cm="1">
        <f t="array" ref="C124">INDEX({"North","South","East","West","Central"},MOD(ROW()-2,5)+1)</f>
        <v>East</v>
      </c>
      <c r="D124" s="6" t="str" cm="1">
        <f t="array" ref="D124">INDEX({"Electronics","Clothing","Furniture","Books","Office Supplies"},MOD(ROW()-2,5)+1)</f>
        <v>Furniture</v>
      </c>
      <c r="E124" s="6">
        <f t="shared" si="23"/>
        <v>17214</v>
      </c>
      <c r="F124" s="6">
        <f t="shared" si="24"/>
        <v>8</v>
      </c>
      <c r="G124" s="7">
        <f t="shared" si="25"/>
        <v>0.05</v>
      </c>
      <c r="H124" s="8">
        <f t="shared" si="22"/>
        <v>45780</v>
      </c>
      <c r="I124" s="9">
        <f t="shared" si="16"/>
        <v>130826.4</v>
      </c>
      <c r="J124" s="6">
        <f t="shared" si="17"/>
        <v>15699.17</v>
      </c>
      <c r="K124" s="6" t="str" cm="1">
        <f t="array" ref="K124">INDEX({"Amit","Neha","Riya","Karan","Pooja","Rahul","Meera","Vikram"},MOD(ROW()-2,8)+1)</f>
        <v>Riya</v>
      </c>
      <c r="L124" s="6" t="str" cm="1">
        <f t="array" ref="L124">INDEX({"UPI","Credit Card","Debit Card","Cash","Net Banking"},MOD(ROW()-2,5)+1)</f>
        <v>Debit Card</v>
      </c>
      <c r="M124" s="10" t="str" cm="1">
        <f t="array" ref="M124">INDEX({"Retail","Corporate","Education","Small Business"},MOD(ROW()-2,4)+1)</f>
        <v>Education</v>
      </c>
    </row>
    <row r="125" spans="1:13" x14ac:dyDescent="0.3">
      <c r="A125" s="5" t="str">
        <f t="shared" si="15"/>
        <v>CUST0124</v>
      </c>
      <c r="B125" s="6" t="str" cm="1">
        <f t="array" ref="B125">INDEX({"Aarav","Vivaan","Aditya","Arjun","Kabir","Rohan","Ananya","Diya","Ishita","Meera","Riya","Pooja","Neha","Kavya","Aisha","Priya","Rahul","Karan","Vikram","Sahil"},MOD(ROW()-2,20)+1)&amp;" "&amp;INDEX({"Shah","Patel","Mehta","Desai","Joshi","Gupta","Verma","Sharma","Trivedi","Rana","Mishra","Kapoor","Iyer","Nair","Singh"},MOD(INT((ROW()-2)/20),15)+1)</f>
        <v>Arjun Verma</v>
      </c>
      <c r="C125" s="6" t="str" cm="1">
        <f t="array" ref="C125">INDEX({"North","South","East","West","Central"},MOD(ROW()-2,5)+1)</f>
        <v>West</v>
      </c>
      <c r="D125" s="6" t="str" cm="1">
        <f t="array" ref="D125">INDEX({"Electronics","Clothing","Furniture","Books","Office Supplies"},MOD(ROW()-2,5)+1)</f>
        <v>Books</v>
      </c>
      <c r="E125" s="6">
        <f t="shared" si="23"/>
        <v>17351</v>
      </c>
      <c r="F125" s="6">
        <f t="shared" si="24"/>
        <v>4</v>
      </c>
      <c r="G125" s="7">
        <f t="shared" si="25"/>
        <v>0.08</v>
      </c>
      <c r="H125" s="8">
        <f t="shared" si="22"/>
        <v>45781</v>
      </c>
      <c r="I125" s="9">
        <f t="shared" si="16"/>
        <v>63851.68</v>
      </c>
      <c r="J125" s="6">
        <f t="shared" si="17"/>
        <v>8939.24</v>
      </c>
      <c r="K125" s="6" t="str" cm="1">
        <f t="array" ref="K125">INDEX({"Amit","Neha","Riya","Karan","Pooja","Rahul","Meera","Vikram"},MOD(ROW()-2,8)+1)</f>
        <v>Karan</v>
      </c>
      <c r="L125" s="6" t="str" cm="1">
        <f t="array" ref="L125">INDEX({"UPI","Credit Card","Debit Card","Cash","Net Banking"},MOD(ROW()-2,5)+1)</f>
        <v>Cash</v>
      </c>
      <c r="M125" s="10" t="str" cm="1">
        <f t="array" ref="M125">INDEX({"Retail","Corporate","Education","Small Business"},MOD(ROW()-2,4)+1)</f>
        <v>Small Business</v>
      </c>
    </row>
    <row r="126" spans="1:13" x14ac:dyDescent="0.3">
      <c r="A126" s="5" t="str">
        <f t="shared" si="15"/>
        <v>CUST0125</v>
      </c>
      <c r="B126" s="6" t="str" cm="1">
        <f t="array" ref="B126">INDEX({"Aarav","Vivaan","Aditya","Arjun","Kabir","Rohan","Ananya","Diya","Ishita","Meera","Riya","Pooja","Neha","Kavya","Aisha","Priya","Rahul","Karan","Vikram","Sahil"},MOD(ROW()-2,20)+1)&amp;" "&amp;INDEX({"Shah","Patel","Mehta","Desai","Joshi","Gupta","Verma","Sharma","Trivedi","Rana","Mishra","Kapoor","Iyer","Nair","Singh"},MOD(INT((ROW()-2)/20),15)+1)</f>
        <v>Kabir Verma</v>
      </c>
      <c r="C126" s="6" t="str" cm="1">
        <f t="array" ref="C126">INDEX({"North","South","East","West","Central"},MOD(ROW()-2,5)+1)</f>
        <v>Central</v>
      </c>
      <c r="D126" s="6" t="str" cm="1">
        <f t="array" ref="D126">INDEX({"Electronics","Clothing","Furniture","Books","Office Supplies"},MOD(ROW()-2,5)+1)</f>
        <v>Office Supplies</v>
      </c>
      <c r="E126" s="6">
        <f t="shared" si="23"/>
        <v>17488</v>
      </c>
      <c r="F126" s="6">
        <f t="shared" si="24"/>
        <v>11</v>
      </c>
      <c r="G126" s="7">
        <f t="shared" si="25"/>
        <v>0.1</v>
      </c>
      <c r="H126" s="8">
        <f t="shared" si="22"/>
        <v>45782</v>
      </c>
      <c r="I126" s="9">
        <f t="shared" si="16"/>
        <v>173131.2</v>
      </c>
      <c r="J126" s="6">
        <f t="shared" si="17"/>
        <v>27700.99</v>
      </c>
      <c r="K126" s="6" t="str" cm="1">
        <f t="array" ref="K126">INDEX({"Amit","Neha","Riya","Karan","Pooja","Rahul","Meera","Vikram"},MOD(ROW()-2,8)+1)</f>
        <v>Pooja</v>
      </c>
      <c r="L126" s="6" t="str" cm="1">
        <f t="array" ref="L126">INDEX({"UPI","Credit Card","Debit Card","Cash","Net Banking"},MOD(ROW()-2,5)+1)</f>
        <v>Net Banking</v>
      </c>
      <c r="M126" s="10" t="str" cm="1">
        <f t="array" ref="M126">INDEX({"Retail","Corporate","Education","Small Business"},MOD(ROW()-2,4)+1)</f>
        <v>Retail</v>
      </c>
    </row>
    <row r="127" spans="1:13" x14ac:dyDescent="0.3">
      <c r="A127" s="5" t="str">
        <f t="shared" si="15"/>
        <v>CUST0126</v>
      </c>
      <c r="B127" s="6" t="str" cm="1">
        <f t="array" ref="B127">INDEX({"Aarav","Vivaan","Aditya","Arjun","Kabir","Rohan","Ananya","Diya","Ishita","Meera","Riya","Pooja","Neha","Kavya","Aisha","Priya","Rahul","Karan","Vikram","Sahil"},MOD(ROW()-2,20)+1)&amp;" "&amp;INDEX({"Shah","Patel","Mehta","Desai","Joshi","Gupta","Verma","Sharma","Trivedi","Rana","Mishra","Kapoor","Iyer","Nair","Singh"},MOD(INT((ROW()-2)/20),15)+1)</f>
        <v>Rohan Verma</v>
      </c>
      <c r="C127" s="6" t="str" cm="1">
        <f t="array" ref="C127">INDEX({"North","South","East","West","Central"},MOD(ROW()-2,5)+1)</f>
        <v>North</v>
      </c>
      <c r="D127" s="6" t="str" cm="1">
        <f t="array" ref="D127">INDEX({"Electronics","Clothing","Furniture","Books","Office Supplies"},MOD(ROW()-2,5)+1)</f>
        <v>Electronics</v>
      </c>
      <c r="E127" s="6">
        <f t="shared" si="23"/>
        <v>17625</v>
      </c>
      <c r="F127" s="6">
        <f t="shared" si="24"/>
        <v>7</v>
      </c>
      <c r="G127" s="7">
        <f t="shared" si="25"/>
        <v>0.12</v>
      </c>
      <c r="H127" s="8">
        <f t="shared" si="22"/>
        <v>45783</v>
      </c>
      <c r="I127" s="9">
        <f t="shared" si="16"/>
        <v>108570</v>
      </c>
      <c r="J127" s="6">
        <f t="shared" si="17"/>
        <v>19542.599999999999</v>
      </c>
      <c r="K127" s="6" t="str" cm="1">
        <f t="array" ref="K127">INDEX({"Amit","Neha","Riya","Karan","Pooja","Rahul","Meera","Vikram"},MOD(ROW()-2,8)+1)</f>
        <v>Rahul</v>
      </c>
      <c r="L127" s="6" t="str" cm="1">
        <f t="array" ref="L127">INDEX({"UPI","Credit Card","Debit Card","Cash","Net Banking"},MOD(ROW()-2,5)+1)</f>
        <v>UPI</v>
      </c>
      <c r="M127" s="10" t="str" cm="1">
        <f t="array" ref="M127">INDEX({"Retail","Corporate","Education","Small Business"},MOD(ROW()-2,4)+1)</f>
        <v>Corporate</v>
      </c>
    </row>
    <row r="128" spans="1:13" x14ac:dyDescent="0.3">
      <c r="A128" s="5" t="str">
        <f t="shared" si="15"/>
        <v>CUST0127</v>
      </c>
      <c r="B128" s="6" t="str" cm="1">
        <f t="array" ref="B128">INDEX({"Aarav","Vivaan","Aditya","Arjun","Kabir","Rohan","Ananya","Diya","Ishita","Meera","Riya","Pooja","Neha","Kavya","Aisha","Priya","Rahul","Karan","Vikram","Sahil"},MOD(ROW()-2,20)+1)&amp;" "&amp;INDEX({"Shah","Patel","Mehta","Desai","Joshi","Gupta","Verma","Sharma","Trivedi","Rana","Mishra","Kapoor","Iyer","Nair","Singh"},MOD(INT((ROW()-2)/20),15)+1)</f>
        <v>Ananya Verma</v>
      </c>
      <c r="C128" s="6" t="str" cm="1">
        <f t="array" ref="C128">INDEX({"North","South","East","West","Central"},MOD(ROW()-2,5)+1)</f>
        <v>South</v>
      </c>
      <c r="D128" s="6" t="str" cm="1">
        <f t="array" ref="D128">INDEX({"Electronics","Clothing","Furniture","Books","Office Supplies"},MOD(ROW()-2,5)+1)</f>
        <v>Clothing</v>
      </c>
      <c r="E128" s="6">
        <f t="shared" si="23"/>
        <v>17762</v>
      </c>
      <c r="F128" s="6">
        <f t="shared" si="24"/>
        <v>3</v>
      </c>
      <c r="G128" s="7">
        <f t="shared" si="25"/>
        <v>0.15</v>
      </c>
      <c r="H128" s="8">
        <f t="shared" si="22"/>
        <v>45784</v>
      </c>
      <c r="I128" s="9">
        <f t="shared" si="16"/>
        <v>45293.1</v>
      </c>
      <c r="J128" s="6">
        <f t="shared" si="17"/>
        <v>9058.6200000000008</v>
      </c>
      <c r="K128" s="6" t="str" cm="1">
        <f t="array" ref="K128">INDEX({"Amit","Neha","Riya","Karan","Pooja","Rahul","Meera","Vikram"},MOD(ROW()-2,8)+1)</f>
        <v>Meera</v>
      </c>
      <c r="L128" s="6" t="str" cm="1">
        <f t="array" ref="L128">INDEX({"UPI","Credit Card","Debit Card","Cash","Net Banking"},MOD(ROW()-2,5)+1)</f>
        <v>Credit Card</v>
      </c>
      <c r="M128" s="10" t="str" cm="1">
        <f t="array" ref="M128">INDEX({"Retail","Corporate","Education","Small Business"},MOD(ROW()-2,4)+1)</f>
        <v>Education</v>
      </c>
    </row>
    <row r="129" spans="1:13" x14ac:dyDescent="0.3">
      <c r="A129" s="5" t="str">
        <f t="shared" si="15"/>
        <v>CUST0128</v>
      </c>
      <c r="B129" s="6" t="str" cm="1">
        <f t="array" ref="B129">INDEX({"Aarav","Vivaan","Aditya","Arjun","Kabir","Rohan","Ananya","Diya","Ishita","Meera","Riya","Pooja","Neha","Kavya","Aisha","Priya","Rahul","Karan","Vikram","Sahil"},MOD(ROW()-2,20)+1)&amp;" "&amp;INDEX({"Shah","Patel","Mehta","Desai","Joshi","Gupta","Verma","Sharma","Trivedi","Rana","Mishra","Kapoor","Iyer","Nair","Singh"},MOD(INT((ROW()-2)/20),15)+1)</f>
        <v>Diya Verma</v>
      </c>
      <c r="C129" s="6" t="str" cm="1">
        <f t="array" ref="C129">INDEX({"North","South","East","West","Central"},MOD(ROW()-2,5)+1)</f>
        <v>East</v>
      </c>
      <c r="D129" s="6" t="str" cm="1">
        <f t="array" ref="D129">INDEX({"Electronics","Clothing","Furniture","Books","Office Supplies"},MOD(ROW()-2,5)+1)</f>
        <v>Furniture</v>
      </c>
      <c r="E129" s="6">
        <v>23379</v>
      </c>
      <c r="F129" s="6">
        <f t="shared" si="24"/>
        <v>10</v>
      </c>
      <c r="G129" s="7">
        <f t="shared" si="25"/>
        <v>0.2</v>
      </c>
      <c r="H129" s="8">
        <f t="shared" si="22"/>
        <v>45785</v>
      </c>
      <c r="I129" s="9">
        <f t="shared" si="16"/>
        <v>187032</v>
      </c>
      <c r="J129" s="6">
        <f t="shared" si="17"/>
        <v>41147.040000000001</v>
      </c>
      <c r="K129" s="6" t="str" cm="1">
        <f t="array" ref="K129">INDEX({"Amit","Neha","Riya","Karan","Pooja","Rahul","Meera","Vikram"},MOD(ROW()-2,8)+1)</f>
        <v>Vikram</v>
      </c>
      <c r="L129" s="6" t="str" cm="1">
        <f t="array" ref="L129">INDEX({"UPI","Credit Card","Debit Card","Cash","Net Banking"},MOD(ROW()-2,5)+1)</f>
        <v>Debit Card</v>
      </c>
      <c r="M129" s="10" t="str" cm="1">
        <f t="array" ref="M129">INDEX({"Retail","Corporate","Education","Small Business"},MOD(ROW()-2,4)+1)</f>
        <v>Small Business</v>
      </c>
    </row>
    <row r="130" spans="1:13" x14ac:dyDescent="0.3">
      <c r="A130" s="5" t="str">
        <f t="shared" ref="A130:A193" si="26">"CUST"&amp;TEXT(ROW()-1,"0000")</f>
        <v>CUST0129</v>
      </c>
      <c r="B130" s="6" t="str" cm="1">
        <f t="array" ref="B130">INDEX({"Aarav","Vivaan","Aditya","Arjun","Kabir","Rohan","Ananya","Diya","Ishita","Meera","Riya","Pooja","Neha","Kavya","Aisha","Priya","Rahul","Karan","Vikram","Sahil"},MOD(ROW()-2,20)+1)&amp;" "&amp;INDEX({"Shah","Patel","Mehta","Desai","Joshi","Gupta","Verma","Sharma","Trivedi","Rana","Mishra","Kapoor","Iyer","Nair","Singh"},MOD(INT((ROW()-2)/20),15)+1)</f>
        <v>Ishita Verma</v>
      </c>
      <c r="C130" s="6" t="str" cm="1">
        <f t="array" ref="C130">INDEX({"North","South","East","West","Central"},MOD(ROW()-2,5)+1)</f>
        <v>West</v>
      </c>
      <c r="D130" s="6" t="str" cm="1">
        <f t="array" ref="D130">INDEX({"Electronics","Clothing","Furniture","Books","Office Supplies"},MOD(ROW()-2,5)+1)</f>
        <v>Books</v>
      </c>
      <c r="E130" s="6">
        <f t="shared" ref="E130:E161" si="27">ROUND(500+MOD((ROW()-2)*137,44500),2)</f>
        <v>18036</v>
      </c>
      <c r="F130" s="6">
        <f t="shared" si="24"/>
        <v>6</v>
      </c>
      <c r="G130" s="7">
        <f t="shared" si="25"/>
        <v>0</v>
      </c>
      <c r="H130" s="8">
        <f t="shared" si="22"/>
        <v>45786</v>
      </c>
      <c r="I130" s="9">
        <f t="shared" ref="I130:I193" si="28">ROUND(E130*F130*(1-G130),2)</f>
        <v>108216</v>
      </c>
      <c r="J130" s="6">
        <f t="shared" ref="J130:J193" si="29">ROUND(I130*(0.08+MOD(ROW()-2,12)*0.02),2)</f>
        <v>25971.84</v>
      </c>
      <c r="K130" s="6" t="str" cm="1">
        <f t="array" ref="K130">INDEX({"Amit","Neha","Riya","Karan","Pooja","Rahul","Meera","Vikram"},MOD(ROW()-2,8)+1)</f>
        <v>Amit</v>
      </c>
      <c r="L130" s="6" t="str" cm="1">
        <f t="array" ref="L130">INDEX({"UPI","Credit Card","Debit Card","Cash","Net Banking"},MOD(ROW()-2,5)+1)</f>
        <v>Cash</v>
      </c>
      <c r="M130" s="10" t="str" cm="1">
        <f t="array" ref="M130">INDEX({"Retail","Corporate","Education","Small Business"},MOD(ROW()-2,4)+1)</f>
        <v>Retail</v>
      </c>
    </row>
    <row r="131" spans="1:13" x14ac:dyDescent="0.3">
      <c r="A131" s="5" t="str">
        <f t="shared" si="26"/>
        <v>CUST0130</v>
      </c>
      <c r="B131" s="6" t="str" cm="1">
        <f t="array" ref="B131">INDEX({"Aarav","Vivaan","Aditya","Arjun","Kabir","Rohan","Ananya","Diya","Ishita","Meera","Riya","Pooja","Neha","Kavya","Aisha","Priya","Rahul","Karan","Vikram","Sahil"},MOD(ROW()-2,20)+1)&amp;" "&amp;INDEX({"Shah","Patel","Mehta","Desai","Joshi","Gupta","Verma","Sharma","Trivedi","Rana","Mishra","Kapoor","Iyer","Nair","Singh"},MOD(INT((ROW()-2)/20),15)+1)</f>
        <v>Meera Verma</v>
      </c>
      <c r="C131" s="6" t="str" cm="1">
        <f t="array" ref="C131">INDEX({"North","South","East","West","Central"},MOD(ROW()-2,5)+1)</f>
        <v>Central</v>
      </c>
      <c r="D131" s="6" t="str" cm="1">
        <f t="array" ref="D131">INDEX({"Electronics","Clothing","Furniture","Books","Office Supplies"},MOD(ROW()-2,5)+1)</f>
        <v>Office Supplies</v>
      </c>
      <c r="E131" s="6">
        <f t="shared" si="27"/>
        <v>18173</v>
      </c>
      <c r="F131" s="6">
        <f t="shared" si="24"/>
        <v>2</v>
      </c>
      <c r="G131" s="7">
        <f t="shared" si="25"/>
        <v>0.02</v>
      </c>
      <c r="H131" s="8">
        <f t="shared" si="22"/>
        <v>45787</v>
      </c>
      <c r="I131" s="9">
        <f t="shared" si="28"/>
        <v>35619.08</v>
      </c>
      <c r="J131" s="6">
        <f t="shared" si="29"/>
        <v>9260.9599999999991</v>
      </c>
      <c r="K131" s="6" t="str" cm="1">
        <f t="array" ref="K131">INDEX({"Amit","Neha","Riya","Karan","Pooja","Rahul","Meera","Vikram"},MOD(ROW()-2,8)+1)</f>
        <v>Neha</v>
      </c>
      <c r="L131" s="6" t="str" cm="1">
        <f t="array" ref="L131">INDEX({"UPI","Credit Card","Debit Card","Cash","Net Banking"},MOD(ROW()-2,5)+1)</f>
        <v>Net Banking</v>
      </c>
      <c r="M131" s="10" t="str" cm="1">
        <f t="array" ref="M131">INDEX({"Retail","Corporate","Education","Small Business"},MOD(ROW()-2,4)+1)</f>
        <v>Corporate</v>
      </c>
    </row>
    <row r="132" spans="1:13" x14ac:dyDescent="0.3">
      <c r="A132" s="5" t="str">
        <f t="shared" si="26"/>
        <v>CUST0131</v>
      </c>
      <c r="B132" s="6" t="str" cm="1">
        <f t="array" ref="B132">INDEX({"Aarav","Vivaan","Aditya","Arjun","Kabir","Rohan","Ananya","Diya","Ishita","Meera","Riya","Pooja","Neha","Kavya","Aisha","Priya","Rahul","Karan","Vikram","Sahil"},MOD(ROW()-2,20)+1)&amp;" "&amp;INDEX({"Shah","Patel","Mehta","Desai","Joshi","Gupta","Verma","Sharma","Trivedi","Rana","Mishra","Kapoor","Iyer","Nair","Singh"},MOD(INT((ROW()-2)/20),15)+1)</f>
        <v>Riya Verma</v>
      </c>
      <c r="C132" s="6" t="str" cm="1">
        <f t="array" ref="C132">INDEX({"North","South","East","West","Central"},MOD(ROW()-2,5)+1)</f>
        <v>North</v>
      </c>
      <c r="D132" s="6" t="str" cm="1">
        <f t="array" ref="D132">INDEX({"Electronics","Clothing","Furniture","Books","Office Supplies"},MOD(ROW()-2,5)+1)</f>
        <v>Electronics</v>
      </c>
      <c r="E132" s="6">
        <f t="shared" si="27"/>
        <v>18310</v>
      </c>
      <c r="F132" s="6">
        <f t="shared" si="24"/>
        <v>9</v>
      </c>
      <c r="G132" s="7">
        <f t="shared" si="25"/>
        <v>0.05</v>
      </c>
      <c r="H132" s="8">
        <f t="shared" si="22"/>
        <v>45788</v>
      </c>
      <c r="I132" s="9">
        <f t="shared" si="28"/>
        <v>156550.5</v>
      </c>
      <c r="J132" s="6">
        <f t="shared" si="29"/>
        <v>43834.14</v>
      </c>
      <c r="K132" s="6" t="str" cm="1">
        <f t="array" ref="K132">INDEX({"Amit","Neha","Riya","Karan","Pooja","Rahul","Meera","Vikram"},MOD(ROW()-2,8)+1)</f>
        <v>Riya</v>
      </c>
      <c r="L132" s="6" t="str" cm="1">
        <f t="array" ref="L132">INDEX({"UPI","Credit Card","Debit Card","Cash","Net Banking"},MOD(ROW()-2,5)+1)</f>
        <v>UPI</v>
      </c>
      <c r="M132" s="10" t="str" cm="1">
        <f t="array" ref="M132">INDEX({"Retail","Corporate","Education","Small Business"},MOD(ROW()-2,4)+1)</f>
        <v>Education</v>
      </c>
    </row>
    <row r="133" spans="1:13" x14ac:dyDescent="0.3">
      <c r="A133" s="5" t="str">
        <f t="shared" si="26"/>
        <v>CUST0132</v>
      </c>
      <c r="B133" s="6" t="str" cm="1">
        <f t="array" ref="B133">INDEX({"Aarav","Vivaan","Aditya","Arjun","Kabir","Rohan","Ananya","Diya","Ishita","Meera","Riya","Pooja","Neha","Kavya","Aisha","Priya","Rahul","Karan","Vikram","Sahil"},MOD(ROW()-2,20)+1)&amp;" "&amp;INDEX({"Shah","Patel","Mehta","Desai","Joshi","Gupta","Verma","Sharma","Trivedi","Rana","Mishra","Kapoor","Iyer","Nair","Singh"},MOD(INT((ROW()-2)/20),15)+1)</f>
        <v>Pooja Verma</v>
      </c>
      <c r="C133" s="6" t="str" cm="1">
        <f t="array" ref="C133">INDEX({"North","South","East","West","Central"},MOD(ROW()-2,5)+1)</f>
        <v>South</v>
      </c>
      <c r="D133" s="6" t="str" cm="1">
        <f t="array" ref="D133">INDEX({"Electronics","Clothing","Furniture","Books","Office Supplies"},MOD(ROW()-2,5)+1)</f>
        <v>Clothing</v>
      </c>
      <c r="E133" s="6">
        <f t="shared" si="27"/>
        <v>18447</v>
      </c>
      <c r="F133" s="6">
        <f t="shared" si="24"/>
        <v>5</v>
      </c>
      <c r="G133" s="7">
        <f t="shared" si="25"/>
        <v>0.08</v>
      </c>
      <c r="H133" s="8">
        <f t="shared" si="22"/>
        <v>45789</v>
      </c>
      <c r="I133" s="9">
        <f t="shared" si="28"/>
        <v>84856.2</v>
      </c>
      <c r="J133" s="6">
        <f t="shared" si="29"/>
        <v>25456.86</v>
      </c>
      <c r="K133" s="6" t="str" cm="1">
        <f t="array" ref="K133">INDEX({"Amit","Neha","Riya","Karan","Pooja","Rahul","Meera","Vikram"},MOD(ROW()-2,8)+1)</f>
        <v>Karan</v>
      </c>
      <c r="L133" s="6" t="str" cm="1">
        <f t="array" ref="L133">INDEX({"UPI","Credit Card","Debit Card","Cash","Net Banking"},MOD(ROW()-2,5)+1)</f>
        <v>Credit Card</v>
      </c>
      <c r="M133" s="10" t="str" cm="1">
        <f t="array" ref="M133">INDEX({"Retail","Corporate","Education","Small Business"},MOD(ROW()-2,4)+1)</f>
        <v>Small Business</v>
      </c>
    </row>
    <row r="134" spans="1:13" x14ac:dyDescent="0.3">
      <c r="A134" s="5" t="str">
        <f t="shared" si="26"/>
        <v>CUST0133</v>
      </c>
      <c r="B134" s="6" t="str" cm="1">
        <f t="array" ref="B134">INDEX({"Aarav","Vivaan","Aditya","Arjun","Kabir","Rohan","Ananya","Diya","Ishita","Meera","Riya","Pooja","Neha","Kavya","Aisha","Priya","Rahul","Karan","Vikram","Sahil"},MOD(ROW()-2,20)+1)&amp;" "&amp;INDEX({"Shah","Patel","Mehta","Desai","Joshi","Gupta","Verma","Sharma","Trivedi","Rana","Mishra","Kapoor","Iyer","Nair","Singh"},MOD(INT((ROW()-2)/20),15)+1)</f>
        <v>Neha Verma</v>
      </c>
      <c r="C134" s="6" t="str" cm="1">
        <f t="array" ref="C134">INDEX({"North","South","East","West","Central"},MOD(ROW()-2,5)+1)</f>
        <v>East</v>
      </c>
      <c r="D134" s="6" t="str" cm="1">
        <f t="array" ref="D134">INDEX({"Electronics","Clothing","Furniture","Books","Office Supplies"},MOD(ROW()-2,5)+1)</f>
        <v>Furniture</v>
      </c>
      <c r="E134" s="6">
        <f t="shared" si="27"/>
        <v>18584</v>
      </c>
      <c r="F134" s="6">
        <f t="shared" si="24"/>
        <v>1</v>
      </c>
      <c r="G134" s="7">
        <f t="shared" si="25"/>
        <v>0.1</v>
      </c>
      <c r="H134" s="8">
        <f t="shared" si="22"/>
        <v>45790</v>
      </c>
      <c r="I134" s="9">
        <f t="shared" si="28"/>
        <v>16725.599999999999</v>
      </c>
      <c r="J134" s="6">
        <f t="shared" si="29"/>
        <v>1338.05</v>
      </c>
      <c r="K134" s="6" t="str" cm="1">
        <f t="array" ref="K134">INDEX({"Amit","Neha","Riya","Karan","Pooja","Rahul","Meera","Vikram"},MOD(ROW()-2,8)+1)</f>
        <v>Pooja</v>
      </c>
      <c r="L134" s="6" t="str" cm="1">
        <f t="array" ref="L134">INDEX({"UPI","Credit Card","Debit Card","Cash","Net Banking"},MOD(ROW()-2,5)+1)</f>
        <v>Debit Card</v>
      </c>
      <c r="M134" s="10" t="str" cm="1">
        <f t="array" ref="M134">INDEX({"Retail","Corporate","Education","Small Business"},MOD(ROW()-2,4)+1)</f>
        <v>Retail</v>
      </c>
    </row>
    <row r="135" spans="1:13" x14ac:dyDescent="0.3">
      <c r="A135" s="5" t="str">
        <f t="shared" si="26"/>
        <v>CUST0134</v>
      </c>
      <c r="B135" s="6" t="str" cm="1">
        <f t="array" ref="B135">INDEX({"Aarav","Vivaan","Aditya","Arjun","Kabir","Rohan","Ananya","Diya","Ishita","Meera","Riya","Pooja","Neha","Kavya","Aisha","Priya","Rahul","Karan","Vikram","Sahil"},MOD(ROW()-2,20)+1)&amp;" "&amp;INDEX({"Shah","Patel","Mehta","Desai","Joshi","Gupta","Verma","Sharma","Trivedi","Rana","Mishra","Kapoor","Iyer","Nair","Singh"},MOD(INT((ROW()-2)/20),15)+1)</f>
        <v>Kavya Verma</v>
      </c>
      <c r="C135" s="6" t="str" cm="1">
        <f t="array" ref="C135">INDEX({"North","South","East","West","Central"},MOD(ROW()-2,5)+1)</f>
        <v>West</v>
      </c>
      <c r="D135" s="6" t="str" cm="1">
        <f t="array" ref="D135">INDEX({"Electronics","Clothing","Furniture","Books","Office Supplies"},MOD(ROW()-2,5)+1)</f>
        <v>Books</v>
      </c>
      <c r="E135" s="6">
        <f t="shared" si="27"/>
        <v>18721</v>
      </c>
      <c r="F135" s="6">
        <f t="shared" si="24"/>
        <v>8</v>
      </c>
      <c r="G135" s="7">
        <f t="shared" si="25"/>
        <v>0.12</v>
      </c>
      <c r="H135" s="8">
        <f t="shared" si="22"/>
        <v>45791</v>
      </c>
      <c r="I135" s="9">
        <f t="shared" si="28"/>
        <v>131795.84</v>
      </c>
      <c r="J135" s="6">
        <f t="shared" si="29"/>
        <v>13179.58</v>
      </c>
      <c r="K135" s="6" t="str" cm="1">
        <f t="array" ref="K135">INDEX({"Amit","Neha","Riya","Karan","Pooja","Rahul","Meera","Vikram"},MOD(ROW()-2,8)+1)</f>
        <v>Rahul</v>
      </c>
      <c r="L135" s="6" t="str" cm="1">
        <f t="array" ref="L135">INDEX({"UPI","Credit Card","Debit Card","Cash","Net Banking"},MOD(ROW()-2,5)+1)</f>
        <v>Cash</v>
      </c>
      <c r="M135" s="10" t="str" cm="1">
        <f t="array" ref="M135">INDEX({"Retail","Corporate","Education","Small Business"},MOD(ROW()-2,4)+1)</f>
        <v>Corporate</v>
      </c>
    </row>
    <row r="136" spans="1:13" x14ac:dyDescent="0.3">
      <c r="A136" s="5" t="str">
        <f t="shared" si="26"/>
        <v>CUST0135</v>
      </c>
      <c r="B136" s="6" t="str" cm="1">
        <f t="array" ref="B136">INDEX({"Aarav","Vivaan","Aditya","Arjun","Kabir","Rohan","Ananya","Diya","Ishita","Meera","Riya","Pooja","Neha","Kavya","Aisha","Priya","Rahul","Karan","Vikram","Sahil"},MOD(ROW()-2,20)+1)&amp;" "&amp;INDEX({"Shah","Patel","Mehta","Desai","Joshi","Gupta","Verma","Sharma","Trivedi","Rana","Mishra","Kapoor","Iyer","Nair","Singh"},MOD(INT((ROW()-2)/20),15)+1)</f>
        <v>Aisha Verma</v>
      </c>
      <c r="C136" s="6" t="str" cm="1">
        <f t="array" ref="C136">INDEX({"North","South","East","West","Central"},MOD(ROW()-2,5)+1)</f>
        <v>Central</v>
      </c>
      <c r="D136" s="6" t="str" cm="1">
        <f t="array" ref="D136">INDEX({"Electronics","Clothing","Furniture","Books","Office Supplies"},MOD(ROW()-2,5)+1)</f>
        <v>Office Supplies</v>
      </c>
      <c r="E136" s="6">
        <f t="shared" si="27"/>
        <v>18858</v>
      </c>
      <c r="F136" s="6">
        <f t="shared" si="24"/>
        <v>4</v>
      </c>
      <c r="G136" s="7">
        <f t="shared" si="25"/>
        <v>0.15</v>
      </c>
      <c r="H136" s="8">
        <f t="shared" si="22"/>
        <v>45792</v>
      </c>
      <c r="I136" s="9">
        <f t="shared" si="28"/>
        <v>64117.2</v>
      </c>
      <c r="J136" s="6">
        <f t="shared" si="29"/>
        <v>7694.06</v>
      </c>
      <c r="K136" s="6" t="str" cm="1">
        <f t="array" ref="K136">INDEX({"Amit","Neha","Riya","Karan","Pooja","Rahul","Meera","Vikram"},MOD(ROW()-2,8)+1)</f>
        <v>Meera</v>
      </c>
      <c r="L136" s="6" t="str" cm="1">
        <f t="array" ref="L136">INDEX({"UPI","Credit Card","Debit Card","Cash","Net Banking"},MOD(ROW()-2,5)+1)</f>
        <v>Net Banking</v>
      </c>
      <c r="M136" s="10" t="str" cm="1">
        <f t="array" ref="M136">INDEX({"Retail","Corporate","Education","Small Business"},MOD(ROW()-2,4)+1)</f>
        <v>Education</v>
      </c>
    </row>
    <row r="137" spans="1:13" x14ac:dyDescent="0.3">
      <c r="A137" s="5" t="str">
        <f t="shared" si="26"/>
        <v>CUST0136</v>
      </c>
      <c r="B137" s="6" t="str" cm="1">
        <f t="array" ref="B137">INDEX({"Aarav","Vivaan","Aditya","Arjun","Kabir","Rohan","Ananya","Diya","Ishita","Meera","Riya","Pooja","Neha","Kavya","Aisha","Priya","Rahul","Karan","Vikram","Sahil"},MOD(ROW()-2,20)+1)&amp;" "&amp;INDEX({"Shah","Patel","Mehta","Desai","Joshi","Gupta","Verma","Sharma","Trivedi","Rana","Mishra","Kapoor","Iyer","Nair","Singh"},MOD(INT((ROW()-2)/20),15)+1)</f>
        <v>Priya Verma</v>
      </c>
      <c r="C137" s="6" t="str" cm="1">
        <f t="array" ref="C137">INDEX({"North","South","East","West","Central"},MOD(ROW()-2,5)+1)</f>
        <v>North</v>
      </c>
      <c r="D137" s="6" t="str" cm="1">
        <f t="array" ref="D137">INDEX({"Electronics","Clothing","Furniture","Books","Office Supplies"},MOD(ROW()-2,5)+1)</f>
        <v>Electronics</v>
      </c>
      <c r="E137" s="6">
        <f t="shared" si="27"/>
        <v>18995</v>
      </c>
      <c r="F137" s="6">
        <f t="shared" si="24"/>
        <v>11</v>
      </c>
      <c r="G137" s="7">
        <f t="shared" si="25"/>
        <v>0.2</v>
      </c>
      <c r="H137" s="8">
        <v>45823</v>
      </c>
      <c r="I137" s="9">
        <f t="shared" si="28"/>
        <v>167156</v>
      </c>
      <c r="J137" s="6">
        <f t="shared" si="29"/>
        <v>23401.84</v>
      </c>
      <c r="K137" s="6" t="str" cm="1">
        <f t="array" ref="K137">INDEX({"Amit","Neha","Riya","Karan","Pooja","Rahul","Meera","Vikram"},MOD(ROW()-2,8)+1)</f>
        <v>Vikram</v>
      </c>
      <c r="L137" s="6" t="str" cm="1">
        <f t="array" ref="L137">INDEX({"UPI","Credit Card","Debit Card","Cash","Net Banking"},MOD(ROW()-2,5)+1)</f>
        <v>UPI</v>
      </c>
      <c r="M137" s="10" t="str" cm="1">
        <f t="array" ref="M137">INDEX({"Retail","Corporate","Education","Small Business"},MOD(ROW()-2,4)+1)</f>
        <v>Small Business</v>
      </c>
    </row>
    <row r="138" spans="1:13" x14ac:dyDescent="0.3">
      <c r="A138" s="5" t="str">
        <f t="shared" si="26"/>
        <v>CUST0137</v>
      </c>
      <c r="B138" s="6" t="str" cm="1">
        <f t="array" ref="B138">INDEX({"Aarav","Vivaan","Aditya","Arjun","Kabir","Rohan","Ananya","Diya","Ishita","Meera","Riya","Pooja","Neha","Kavya","Aisha","Priya","Rahul","Karan","Vikram","Sahil"},MOD(ROW()-2,20)+1)&amp;" "&amp;INDEX({"Shah","Patel","Mehta","Desai","Joshi","Gupta","Verma","Sharma","Trivedi","Rana","Mishra","Kapoor","Iyer","Nair","Singh"},MOD(INT((ROW()-2)/20),15)+1)</f>
        <v>Rahul Verma</v>
      </c>
      <c r="C138" s="6" t="str" cm="1">
        <f t="array" ref="C138">INDEX({"North","South","East","West","Central"},MOD(ROW()-2,5)+1)</f>
        <v>South</v>
      </c>
      <c r="D138" s="6" t="str" cm="1">
        <f t="array" ref="D138">INDEX({"Electronics","Clothing","Furniture","Books","Office Supplies"},MOD(ROW()-2,5)+1)</f>
        <v>Clothing</v>
      </c>
      <c r="E138" s="6">
        <f t="shared" si="27"/>
        <v>19132</v>
      </c>
      <c r="F138" s="6">
        <f t="shared" si="24"/>
        <v>7</v>
      </c>
      <c r="G138" s="7">
        <f t="shared" si="25"/>
        <v>0</v>
      </c>
      <c r="H138" s="8">
        <f t="shared" ref="H138:H169" si="30">DATE(2025,1,1)+MOD(ROW()-2,365)</f>
        <v>45794</v>
      </c>
      <c r="I138" s="9">
        <f t="shared" si="28"/>
        <v>133924</v>
      </c>
      <c r="J138" s="6">
        <f t="shared" si="29"/>
        <v>21427.84</v>
      </c>
      <c r="K138" s="6" t="str" cm="1">
        <f t="array" ref="K138">INDEX({"Amit","Neha","Riya","Karan","Pooja","Rahul","Meera","Vikram"},MOD(ROW()-2,8)+1)</f>
        <v>Amit</v>
      </c>
      <c r="L138" s="6" t="str" cm="1">
        <f t="array" ref="L138">INDEX({"UPI","Credit Card","Debit Card","Cash","Net Banking"},MOD(ROW()-2,5)+1)</f>
        <v>Credit Card</v>
      </c>
      <c r="M138" s="10" t="str" cm="1">
        <f t="array" ref="M138">INDEX({"Retail","Corporate","Education","Small Business"},MOD(ROW()-2,4)+1)</f>
        <v>Retail</v>
      </c>
    </row>
    <row r="139" spans="1:13" x14ac:dyDescent="0.3">
      <c r="A139" s="5" t="str">
        <f t="shared" si="26"/>
        <v>CUST0138</v>
      </c>
      <c r="B139" s="6" t="str" cm="1">
        <f t="array" ref="B139">INDEX({"Aarav","Vivaan","Aditya","Arjun","Kabir","Rohan","Ananya","Diya","Ishita","Meera","Riya","Pooja","Neha","Kavya","Aisha","Priya","Rahul","Karan","Vikram","Sahil"},MOD(ROW()-2,20)+1)&amp;" "&amp;INDEX({"Shah","Patel","Mehta","Desai","Joshi","Gupta","Verma","Sharma","Trivedi","Rana","Mishra","Kapoor","Iyer","Nair","Singh"},MOD(INT((ROW()-2)/20),15)+1)</f>
        <v>Karan Verma</v>
      </c>
      <c r="C139" s="6" t="str" cm="1">
        <f t="array" ref="C139">INDEX({"North","South","East","West","Central"},MOD(ROW()-2,5)+1)</f>
        <v>East</v>
      </c>
      <c r="D139" s="6" t="str" cm="1">
        <f t="array" ref="D139">INDEX({"Electronics","Clothing","Furniture","Books","Office Supplies"},MOD(ROW()-2,5)+1)</f>
        <v>Furniture</v>
      </c>
      <c r="E139" s="6">
        <f t="shared" si="27"/>
        <v>19269</v>
      </c>
      <c r="F139" s="6">
        <f t="shared" si="24"/>
        <v>3</v>
      </c>
      <c r="G139" s="7">
        <f t="shared" si="25"/>
        <v>0.02</v>
      </c>
      <c r="H139" s="8">
        <f t="shared" si="30"/>
        <v>45795</v>
      </c>
      <c r="I139" s="9">
        <f t="shared" si="28"/>
        <v>56650.86</v>
      </c>
      <c r="J139" s="6">
        <f t="shared" si="29"/>
        <v>10197.15</v>
      </c>
      <c r="K139" s="6" t="str" cm="1">
        <f t="array" ref="K139">INDEX({"Amit","Neha","Riya","Karan","Pooja","Rahul","Meera","Vikram"},MOD(ROW()-2,8)+1)</f>
        <v>Neha</v>
      </c>
      <c r="L139" s="6" t="str" cm="1">
        <f t="array" ref="L139">INDEX({"UPI","Credit Card","Debit Card","Cash","Net Banking"},MOD(ROW()-2,5)+1)</f>
        <v>Debit Card</v>
      </c>
      <c r="M139" s="10" t="str" cm="1">
        <f t="array" ref="M139">INDEX({"Retail","Corporate","Education","Small Business"},MOD(ROW()-2,4)+1)</f>
        <v>Corporate</v>
      </c>
    </row>
    <row r="140" spans="1:13" x14ac:dyDescent="0.3">
      <c r="A140" s="5" t="str">
        <f t="shared" si="26"/>
        <v>CUST0139</v>
      </c>
      <c r="B140" s="6" t="str" cm="1">
        <f t="array" ref="B140">INDEX({"Aarav","Vivaan","Aditya","Arjun","Kabir","Rohan","Ananya","Diya","Ishita","Meera","Riya","Pooja","Neha","Kavya","Aisha","Priya","Rahul","Karan","Vikram","Sahil"},MOD(ROW()-2,20)+1)&amp;" "&amp;INDEX({"Shah","Patel","Mehta","Desai","Joshi","Gupta","Verma","Sharma","Trivedi","Rana","Mishra","Kapoor","Iyer","Nair","Singh"},MOD(INT((ROW()-2)/20),15)+1)</f>
        <v>Vikram Verma</v>
      </c>
      <c r="C140" s="6" t="str" cm="1">
        <f t="array" ref="C140">INDEX({"North","South","East","West","Central"},MOD(ROW()-2,5)+1)</f>
        <v>West</v>
      </c>
      <c r="D140" s="6" t="str" cm="1">
        <f t="array" ref="D140">INDEX({"Electronics","Clothing","Furniture","Books","Office Supplies"},MOD(ROW()-2,5)+1)</f>
        <v>Books</v>
      </c>
      <c r="E140" s="6">
        <f t="shared" si="27"/>
        <v>19406</v>
      </c>
      <c r="F140" s="6">
        <f t="shared" si="24"/>
        <v>10</v>
      </c>
      <c r="G140" s="7">
        <f t="shared" si="25"/>
        <v>0.05</v>
      </c>
      <c r="H140" s="8">
        <f t="shared" si="30"/>
        <v>45796</v>
      </c>
      <c r="I140" s="9">
        <f t="shared" si="28"/>
        <v>184357</v>
      </c>
      <c r="J140" s="6">
        <f t="shared" si="29"/>
        <v>36871.4</v>
      </c>
      <c r="K140" s="6" t="str" cm="1">
        <f t="array" ref="K140">INDEX({"Amit","Neha","Riya","Karan","Pooja","Rahul","Meera","Vikram"},MOD(ROW()-2,8)+1)</f>
        <v>Riya</v>
      </c>
      <c r="L140" s="6" t="str" cm="1">
        <f t="array" ref="L140">INDEX({"UPI","Credit Card","Debit Card","Cash","Net Banking"},MOD(ROW()-2,5)+1)</f>
        <v>Cash</v>
      </c>
      <c r="M140" s="10" t="str" cm="1">
        <f t="array" ref="M140">INDEX({"Retail","Corporate","Education","Small Business"},MOD(ROW()-2,4)+1)</f>
        <v>Education</v>
      </c>
    </row>
    <row r="141" spans="1:13" x14ac:dyDescent="0.3">
      <c r="A141" s="5" t="str">
        <f t="shared" si="26"/>
        <v>CUST0140</v>
      </c>
      <c r="B141" s="6" t="str" cm="1">
        <f t="array" ref="B141">INDEX({"Aarav","Vivaan","Aditya","Arjun","Kabir","Rohan","Ananya","Diya","Ishita","Meera","Riya","Pooja","Neha","Kavya","Aisha","Priya","Rahul","Karan","Vikram","Sahil"},MOD(ROW()-2,20)+1)&amp;" "&amp;INDEX({"Shah","Patel","Mehta","Desai","Joshi","Gupta","Verma","Sharma","Trivedi","Rana","Mishra","Kapoor","Iyer","Nair","Singh"},MOD(INT((ROW()-2)/20),15)+1)</f>
        <v>Sahil Verma</v>
      </c>
      <c r="C141" s="6" t="str" cm="1">
        <f t="array" ref="C141">INDEX({"North","South","East","West","Central"},MOD(ROW()-2,5)+1)</f>
        <v>Central</v>
      </c>
      <c r="D141" s="6" t="str" cm="1">
        <f t="array" ref="D141">INDEX({"Electronics","Clothing","Furniture","Books","Office Supplies"},MOD(ROW()-2,5)+1)</f>
        <v>Office Supplies</v>
      </c>
      <c r="E141" s="6">
        <f t="shared" si="27"/>
        <v>19543</v>
      </c>
      <c r="F141" s="6">
        <f t="shared" si="24"/>
        <v>6</v>
      </c>
      <c r="G141" s="7">
        <f t="shared" si="25"/>
        <v>0.08</v>
      </c>
      <c r="H141" s="8">
        <f t="shared" si="30"/>
        <v>45797</v>
      </c>
      <c r="I141" s="9">
        <f t="shared" si="28"/>
        <v>107877.36</v>
      </c>
      <c r="J141" s="6">
        <f t="shared" si="29"/>
        <v>23733.02</v>
      </c>
      <c r="K141" s="6" t="str" cm="1">
        <f t="array" ref="K141">INDEX({"Amit","Neha","Riya","Karan","Pooja","Rahul","Meera","Vikram"},MOD(ROW()-2,8)+1)</f>
        <v>Karan</v>
      </c>
      <c r="L141" s="6" t="str" cm="1">
        <f t="array" ref="L141">INDEX({"UPI","Credit Card","Debit Card","Cash","Net Banking"},MOD(ROW()-2,5)+1)</f>
        <v>Net Banking</v>
      </c>
      <c r="M141" s="10" t="str" cm="1">
        <f t="array" ref="M141">INDEX({"Retail","Corporate","Education","Small Business"},MOD(ROW()-2,4)+1)</f>
        <v>Small Business</v>
      </c>
    </row>
    <row r="142" spans="1:13" x14ac:dyDescent="0.3">
      <c r="A142" s="5" t="str">
        <f t="shared" si="26"/>
        <v>CUST0141</v>
      </c>
      <c r="B142" s="6" t="str" cm="1">
        <f t="array" ref="B142">INDEX({"Aarav","Vivaan","Aditya","Arjun","Kabir","Rohan","Ananya","Diya","Ishita","Meera","Riya","Pooja","Neha","Kavya","Aisha","Priya","Rahul","Karan","Vikram","Sahil"},MOD(ROW()-2,20)+1)&amp;" "&amp;INDEX({"Shah","Patel","Mehta","Desai","Joshi","Gupta","Verma","Sharma","Trivedi","Rana","Mishra","Kapoor","Iyer","Nair","Singh"},MOD(INT((ROW()-2)/20),15)+1)</f>
        <v>Aarav Sharma</v>
      </c>
      <c r="C142" s="6" t="str" cm="1">
        <f t="array" ref="C142">INDEX({"North","South","East","West","Central"},MOD(ROW()-2,5)+1)</f>
        <v>North</v>
      </c>
      <c r="D142" s="6" t="str" cm="1">
        <f t="array" ref="D142">INDEX({"Electronics","Clothing","Furniture","Books","Office Supplies"},MOD(ROW()-2,5)+1)</f>
        <v>Electronics</v>
      </c>
      <c r="E142" s="6">
        <f t="shared" si="27"/>
        <v>19680</v>
      </c>
      <c r="F142" s="6">
        <v>3</v>
      </c>
      <c r="G142" s="7">
        <f t="shared" si="25"/>
        <v>0.1</v>
      </c>
      <c r="H142" s="8">
        <f t="shared" si="30"/>
        <v>45798</v>
      </c>
      <c r="I142" s="9">
        <f t="shared" si="28"/>
        <v>53136</v>
      </c>
      <c r="J142" s="6">
        <f t="shared" si="29"/>
        <v>12752.64</v>
      </c>
      <c r="K142" s="6" t="str" cm="1">
        <f t="array" ref="K142">INDEX({"Amit","Neha","Riya","Karan","Pooja","Rahul","Meera","Vikram"},MOD(ROW()-2,8)+1)</f>
        <v>Pooja</v>
      </c>
      <c r="L142" s="6" t="str" cm="1">
        <f t="array" ref="L142">INDEX({"UPI","Credit Card","Debit Card","Cash","Net Banking"},MOD(ROW()-2,5)+1)</f>
        <v>UPI</v>
      </c>
      <c r="M142" s="10" t="str" cm="1">
        <f t="array" ref="M142">INDEX({"Retail","Corporate","Education","Small Business"},MOD(ROW()-2,4)+1)</f>
        <v>Retail</v>
      </c>
    </row>
    <row r="143" spans="1:13" x14ac:dyDescent="0.3">
      <c r="A143" s="5" t="str">
        <f t="shared" si="26"/>
        <v>CUST0142</v>
      </c>
      <c r="B143" s="6" t="s">
        <v>30</v>
      </c>
      <c r="C143" s="6" t="str" cm="1">
        <f t="array" ref="C143">INDEX({"North","South","East","West","Central"},MOD(ROW()-2,5)+1)</f>
        <v>South</v>
      </c>
      <c r="D143" s="6" t="str" cm="1">
        <f t="array" ref="D143">INDEX({"Electronics","Clothing","Furniture","Books","Office Supplies"},MOD(ROW()-2,5)+1)</f>
        <v>Clothing</v>
      </c>
      <c r="E143" s="6">
        <f t="shared" si="27"/>
        <v>19817</v>
      </c>
      <c r="F143" s="6">
        <f t="shared" ref="F143:F174" si="31">MOD((ROW()-2)*7,11)+1</f>
        <v>9</v>
      </c>
      <c r="G143" s="7">
        <f t="shared" si="25"/>
        <v>0.12</v>
      </c>
      <c r="H143" s="8">
        <f t="shared" si="30"/>
        <v>45799</v>
      </c>
      <c r="I143" s="9">
        <f t="shared" si="28"/>
        <v>156950.64000000001</v>
      </c>
      <c r="J143" s="6">
        <f t="shared" si="29"/>
        <v>40807.17</v>
      </c>
      <c r="K143" s="6" t="str" cm="1">
        <f t="array" ref="K143">INDEX({"Amit","Neha","Riya","Karan","Pooja","Rahul","Meera","Vikram"},MOD(ROW()-2,8)+1)</f>
        <v>Rahul</v>
      </c>
      <c r="L143" s="6" t="str" cm="1">
        <f t="array" ref="L143">INDEX({"UPI","Credit Card","Debit Card","Cash","Net Banking"},MOD(ROW()-2,5)+1)</f>
        <v>Credit Card</v>
      </c>
      <c r="M143" s="10" t="str" cm="1">
        <f t="array" ref="M143">INDEX({"Retail","Corporate","Education","Small Business"},MOD(ROW()-2,4)+1)</f>
        <v>Corporate</v>
      </c>
    </row>
    <row r="144" spans="1:13" x14ac:dyDescent="0.3">
      <c r="A144" s="5" t="str">
        <f t="shared" si="26"/>
        <v>CUST0143</v>
      </c>
      <c r="B144" s="6" t="str" cm="1">
        <f t="array" ref="B144">INDEX({"Aarav","Vivaan","Aditya","Arjun","Kabir","Rohan","Ananya","Diya","Ishita","Meera","Riya","Pooja","Neha","Kavya","Aisha","Priya","Rahul","Karan","Vikram","Sahil"},MOD(ROW()-2,20)+1)&amp;" "&amp;INDEX({"Shah","Patel","Mehta","Desai","Joshi","Gupta","Verma","Sharma","Trivedi","Rana","Mishra","Kapoor","Iyer","Nair","Singh"},MOD(INT((ROW()-2)/20),15)+1)</f>
        <v>Aditya Sharma</v>
      </c>
      <c r="C144" s="6" t="str" cm="1">
        <f t="array" ref="C144">INDEX({"North","South","East","West","Central"},MOD(ROW()-2,5)+1)</f>
        <v>East</v>
      </c>
      <c r="D144" s="6" t="str" cm="1">
        <f t="array" ref="D144">INDEX({"Electronics","Clothing","Furniture","Books","Office Supplies"},MOD(ROW()-2,5)+1)</f>
        <v>Furniture</v>
      </c>
      <c r="E144" s="6">
        <f t="shared" si="27"/>
        <v>19954</v>
      </c>
      <c r="F144" s="6">
        <f t="shared" si="31"/>
        <v>5</v>
      </c>
      <c r="G144" s="7">
        <f t="shared" si="25"/>
        <v>0.15</v>
      </c>
      <c r="H144" s="8">
        <f t="shared" si="30"/>
        <v>45800</v>
      </c>
      <c r="I144" s="9">
        <f t="shared" si="28"/>
        <v>84804.5</v>
      </c>
      <c r="J144" s="6">
        <f t="shared" si="29"/>
        <v>23745.26</v>
      </c>
      <c r="K144" s="6" t="str" cm="1">
        <f t="array" ref="K144">INDEX({"Amit","Neha","Riya","Karan","Pooja","Rahul","Meera","Vikram"},MOD(ROW()-2,8)+1)</f>
        <v>Meera</v>
      </c>
      <c r="L144" s="6" t="str" cm="1">
        <f t="array" ref="L144">INDEX({"UPI","Credit Card","Debit Card","Cash","Net Banking"},MOD(ROW()-2,5)+1)</f>
        <v>Debit Card</v>
      </c>
      <c r="M144" s="10" t="str" cm="1">
        <f t="array" ref="M144">INDEX({"Retail","Corporate","Education","Small Business"},MOD(ROW()-2,4)+1)</f>
        <v>Education</v>
      </c>
    </row>
    <row r="145" spans="1:13" x14ac:dyDescent="0.3">
      <c r="A145" s="5" t="str">
        <f t="shared" si="26"/>
        <v>CUST0144</v>
      </c>
      <c r="B145" s="6" t="str" cm="1">
        <f t="array" ref="B145">INDEX({"Aarav","Vivaan","Aditya","Arjun","Kabir","Rohan","Ananya","Diya","Ishita","Meera","Riya","Pooja","Neha","Kavya","Aisha","Priya","Rahul","Karan","Vikram","Sahil"},MOD(ROW()-2,20)+1)&amp;" "&amp;INDEX({"Shah","Patel","Mehta","Desai","Joshi","Gupta","Verma","Sharma","Trivedi","Rana","Mishra","Kapoor","Iyer","Nair","Singh"},MOD(INT((ROW()-2)/20),15)+1)</f>
        <v>Arjun Sharma</v>
      </c>
      <c r="C145" s="6" t="str" cm="1">
        <f t="array" ref="C145">INDEX({"North","South","East","West","Central"},MOD(ROW()-2,5)+1)</f>
        <v>West</v>
      </c>
      <c r="D145" s="6" t="str" cm="1">
        <f t="array" ref="D145">INDEX({"Electronics","Clothing","Furniture","Books","Office Supplies"},MOD(ROW()-2,5)+1)</f>
        <v>Books</v>
      </c>
      <c r="E145" s="6">
        <f t="shared" si="27"/>
        <v>20091</v>
      </c>
      <c r="F145" s="6">
        <f t="shared" si="31"/>
        <v>1</v>
      </c>
      <c r="G145" s="7">
        <f t="shared" si="25"/>
        <v>0.2</v>
      </c>
      <c r="H145" s="8">
        <f t="shared" si="30"/>
        <v>45801</v>
      </c>
      <c r="I145" s="9">
        <f t="shared" si="28"/>
        <v>16072.8</v>
      </c>
      <c r="J145" s="6">
        <f t="shared" si="29"/>
        <v>4821.84</v>
      </c>
      <c r="K145" s="6" t="str" cm="1">
        <f t="array" ref="K145">INDEX({"Amit","Neha","Riya","Karan","Pooja","Rahul","Meera","Vikram"},MOD(ROW()-2,8)+1)</f>
        <v>Vikram</v>
      </c>
      <c r="L145" s="6" t="str" cm="1">
        <f t="array" ref="L145">INDEX({"UPI","Credit Card","Debit Card","Cash","Net Banking"},MOD(ROW()-2,5)+1)</f>
        <v>Cash</v>
      </c>
      <c r="M145" s="10" t="str" cm="1">
        <f t="array" ref="M145">INDEX({"Retail","Corporate","Education","Small Business"},MOD(ROW()-2,4)+1)</f>
        <v>Small Business</v>
      </c>
    </row>
    <row r="146" spans="1:13" x14ac:dyDescent="0.3">
      <c r="A146" s="5" t="str">
        <f t="shared" si="26"/>
        <v>CUST0145</v>
      </c>
      <c r="B146" s="6" t="str" cm="1">
        <f t="array" ref="B146">INDEX({"Aarav","Vivaan","Aditya","Arjun","Kabir","Rohan","Ananya","Diya","Ishita","Meera","Riya","Pooja","Neha","Kavya","Aisha","Priya","Rahul","Karan","Vikram","Sahil"},MOD(ROW()-2,20)+1)&amp;" "&amp;INDEX({"Shah","Patel","Mehta","Desai","Joshi","Gupta","Verma","Sharma","Trivedi","Rana","Mishra","Kapoor","Iyer","Nair","Singh"},MOD(INT((ROW()-2)/20),15)+1)</f>
        <v>Kabir Sharma</v>
      </c>
      <c r="C146" s="6" t="str" cm="1">
        <f t="array" ref="C146">INDEX({"North","South","East","West","Central"},MOD(ROW()-2,5)+1)</f>
        <v>Central</v>
      </c>
      <c r="D146" s="6" t="str" cm="1">
        <f t="array" ref="D146">INDEX({"Electronics","Clothing","Furniture","Books","Office Supplies"},MOD(ROW()-2,5)+1)</f>
        <v>Office Supplies</v>
      </c>
      <c r="E146" s="6">
        <f t="shared" si="27"/>
        <v>20228</v>
      </c>
      <c r="F146" s="6">
        <f t="shared" si="31"/>
        <v>8</v>
      </c>
      <c r="G146" s="7">
        <f t="shared" si="25"/>
        <v>0</v>
      </c>
      <c r="H146" s="8">
        <f t="shared" si="30"/>
        <v>45802</v>
      </c>
      <c r="I146" s="9">
        <f t="shared" si="28"/>
        <v>161824</v>
      </c>
      <c r="J146" s="6">
        <f t="shared" si="29"/>
        <v>12945.92</v>
      </c>
      <c r="K146" s="6" t="str" cm="1">
        <f t="array" ref="K146">INDEX({"Amit","Neha","Riya","Karan","Pooja","Rahul","Meera","Vikram"},MOD(ROW()-2,8)+1)</f>
        <v>Amit</v>
      </c>
      <c r="L146" s="6" t="str" cm="1">
        <f t="array" ref="L146">INDEX({"UPI","Credit Card","Debit Card","Cash","Net Banking"},MOD(ROW()-2,5)+1)</f>
        <v>Net Banking</v>
      </c>
      <c r="M146" s="10" t="str" cm="1">
        <f t="array" ref="M146">INDEX({"Retail","Corporate","Education","Small Business"},MOD(ROW()-2,4)+1)</f>
        <v>Retail</v>
      </c>
    </row>
    <row r="147" spans="1:13" x14ac:dyDescent="0.3">
      <c r="A147" s="5" t="str">
        <f t="shared" si="26"/>
        <v>CUST0146</v>
      </c>
      <c r="B147" s="6" t="str" cm="1">
        <f t="array" ref="B147">INDEX({"Aarav","Vivaan","Aditya","Arjun","Kabir","Rohan","Ananya","Diya","Ishita","Meera","Riya","Pooja","Neha","Kavya","Aisha","Priya","Rahul","Karan","Vikram","Sahil"},MOD(ROW()-2,20)+1)&amp;" "&amp;INDEX({"Shah","Patel","Mehta","Desai","Joshi","Gupta","Verma","Sharma","Trivedi","Rana","Mishra","Kapoor","Iyer","Nair","Singh"},MOD(INT((ROW()-2)/20),15)+1)</f>
        <v>Rohan Sharma</v>
      </c>
      <c r="C147" s="6" t="str" cm="1">
        <f t="array" ref="C147">INDEX({"North","South","East","West","Central"},MOD(ROW()-2,5)+1)</f>
        <v>North</v>
      </c>
      <c r="D147" s="6" t="str" cm="1">
        <f t="array" ref="D147">INDEX({"Electronics","Clothing","Furniture","Books","Office Supplies"},MOD(ROW()-2,5)+1)</f>
        <v>Electronics</v>
      </c>
      <c r="E147" s="6">
        <f t="shared" si="27"/>
        <v>20365</v>
      </c>
      <c r="F147" s="6">
        <f t="shared" si="31"/>
        <v>4</v>
      </c>
      <c r="G147" s="7">
        <f t="shared" si="25"/>
        <v>0.02</v>
      </c>
      <c r="H147" s="8">
        <f t="shared" si="30"/>
        <v>45803</v>
      </c>
      <c r="I147" s="9">
        <f t="shared" si="28"/>
        <v>79830.8</v>
      </c>
      <c r="J147" s="6">
        <f t="shared" si="29"/>
        <v>7983.08</v>
      </c>
      <c r="K147" s="6" t="str" cm="1">
        <f t="array" ref="K147">INDEX({"Amit","Neha","Riya","Karan","Pooja","Rahul","Meera","Vikram"},MOD(ROW()-2,8)+1)</f>
        <v>Neha</v>
      </c>
      <c r="L147" s="6" t="str" cm="1">
        <f t="array" ref="L147">INDEX({"UPI","Credit Card","Debit Card","Cash","Net Banking"},MOD(ROW()-2,5)+1)</f>
        <v>UPI</v>
      </c>
      <c r="M147" s="10" t="str" cm="1">
        <f t="array" ref="M147">INDEX({"Retail","Corporate","Education","Small Business"},MOD(ROW()-2,4)+1)</f>
        <v>Corporate</v>
      </c>
    </row>
    <row r="148" spans="1:13" x14ac:dyDescent="0.3">
      <c r="A148" s="5" t="str">
        <f t="shared" si="26"/>
        <v>CUST0147</v>
      </c>
      <c r="B148" s="6" t="str" cm="1">
        <f t="array" ref="B148">INDEX({"Aarav","Vivaan","Aditya","Arjun","Kabir","Rohan","Ananya","Diya","Ishita","Meera","Riya","Pooja","Neha","Kavya","Aisha","Priya","Rahul","Karan","Vikram","Sahil"},MOD(ROW()-2,20)+1)&amp;" "&amp;INDEX({"Shah","Patel","Mehta","Desai","Joshi","Gupta","Verma","Sharma","Trivedi","Rana","Mishra","Kapoor","Iyer","Nair","Singh"},MOD(INT((ROW()-2)/20),15)+1)</f>
        <v>Ananya Sharma</v>
      </c>
      <c r="C148" s="6" t="str" cm="1">
        <f t="array" ref="C148">INDEX({"North","South","East","West","Central"},MOD(ROW()-2,5)+1)</f>
        <v>South</v>
      </c>
      <c r="D148" s="6" t="str" cm="1">
        <f t="array" ref="D148">INDEX({"Electronics","Clothing","Furniture","Books","Office Supplies"},MOD(ROW()-2,5)+1)</f>
        <v>Clothing</v>
      </c>
      <c r="E148" s="6">
        <f t="shared" si="27"/>
        <v>20502</v>
      </c>
      <c r="F148" s="6">
        <f t="shared" si="31"/>
        <v>11</v>
      </c>
      <c r="G148" s="7">
        <f t="shared" si="25"/>
        <v>0.05</v>
      </c>
      <c r="H148" s="8">
        <f t="shared" si="30"/>
        <v>45804</v>
      </c>
      <c r="I148" s="9">
        <f t="shared" si="28"/>
        <v>214245.9</v>
      </c>
      <c r="J148" s="6">
        <f t="shared" si="29"/>
        <v>25709.51</v>
      </c>
      <c r="K148" s="6" t="str" cm="1">
        <f t="array" ref="K148">INDEX({"Amit","Neha","Riya","Karan","Pooja","Rahul","Meera","Vikram"},MOD(ROW()-2,8)+1)</f>
        <v>Riya</v>
      </c>
      <c r="L148" s="6" t="str" cm="1">
        <f t="array" ref="L148">INDEX({"UPI","Credit Card","Debit Card","Cash","Net Banking"},MOD(ROW()-2,5)+1)</f>
        <v>Credit Card</v>
      </c>
      <c r="M148" s="10" t="str" cm="1">
        <f t="array" ref="M148">INDEX({"Retail","Corporate","Education","Small Business"},MOD(ROW()-2,4)+1)</f>
        <v>Education</v>
      </c>
    </row>
    <row r="149" spans="1:13" x14ac:dyDescent="0.3">
      <c r="A149" s="5" t="str">
        <f t="shared" si="26"/>
        <v>CUST0148</v>
      </c>
      <c r="B149" s="6" t="str" cm="1">
        <f t="array" ref="B149">INDEX({"Aarav","Vivaan","Aditya","Arjun","Kabir","Rohan","Ananya","Diya","Ishita","Meera","Riya","Pooja","Neha","Kavya","Aisha","Priya","Rahul","Karan","Vikram","Sahil"},MOD(ROW()-2,20)+1)&amp;" "&amp;INDEX({"Shah","Patel","Mehta","Desai","Joshi","Gupta","Verma","Sharma","Trivedi","Rana","Mishra","Kapoor","Iyer","Nair","Singh"},MOD(INT((ROW()-2)/20),15)+1)</f>
        <v>Diya Sharma</v>
      </c>
      <c r="C149" s="6" t="str" cm="1">
        <f t="array" ref="C149">INDEX({"North","South","East","West","Central"},MOD(ROW()-2,5)+1)</f>
        <v>East</v>
      </c>
      <c r="D149" s="6" t="str" cm="1">
        <f t="array" ref="D149">INDEX({"Electronics","Clothing","Furniture","Books","Office Supplies"},MOD(ROW()-2,5)+1)</f>
        <v>Furniture</v>
      </c>
      <c r="E149" s="6">
        <f t="shared" si="27"/>
        <v>20639</v>
      </c>
      <c r="F149" s="6">
        <f t="shared" si="31"/>
        <v>7</v>
      </c>
      <c r="G149" s="7">
        <f t="shared" si="25"/>
        <v>0.08</v>
      </c>
      <c r="H149" s="8">
        <f t="shared" si="30"/>
        <v>45805</v>
      </c>
      <c r="I149" s="9">
        <f t="shared" si="28"/>
        <v>132915.16</v>
      </c>
      <c r="J149" s="6">
        <f t="shared" si="29"/>
        <v>18608.12</v>
      </c>
      <c r="K149" s="6" t="str" cm="1">
        <f t="array" ref="K149">INDEX({"Amit","Neha","Riya","Karan","Pooja","Rahul","Meera","Vikram"},MOD(ROW()-2,8)+1)</f>
        <v>Karan</v>
      </c>
      <c r="L149" s="6" t="str" cm="1">
        <f t="array" ref="L149">INDEX({"UPI","Credit Card","Debit Card","Cash","Net Banking"},MOD(ROW()-2,5)+1)</f>
        <v>Debit Card</v>
      </c>
      <c r="M149" s="10" t="str" cm="1">
        <f t="array" ref="M149">INDEX({"Retail","Corporate","Education","Small Business"},MOD(ROW()-2,4)+1)</f>
        <v>Small Business</v>
      </c>
    </row>
    <row r="150" spans="1:13" x14ac:dyDescent="0.3">
      <c r="A150" s="5" t="str">
        <f t="shared" si="26"/>
        <v>CUST0149</v>
      </c>
      <c r="B150" s="6" t="str" cm="1">
        <f t="array" ref="B150">INDEX({"Aarav","Vivaan","Aditya","Arjun","Kabir","Rohan","Ananya","Diya","Ishita","Meera","Riya","Pooja","Neha","Kavya","Aisha","Priya","Rahul","Karan","Vikram","Sahil"},MOD(ROW()-2,20)+1)&amp;" "&amp;INDEX({"Shah","Patel","Mehta","Desai","Joshi","Gupta","Verma","Sharma","Trivedi","Rana","Mishra","Kapoor","Iyer","Nair","Singh"},MOD(INT((ROW()-2)/20),15)+1)</f>
        <v>Ishita Sharma</v>
      </c>
      <c r="C150" s="6" t="str" cm="1">
        <f t="array" ref="C150">INDEX({"North","South","East","West","Central"},MOD(ROW()-2,5)+1)</f>
        <v>West</v>
      </c>
      <c r="D150" s="6" t="str" cm="1">
        <f t="array" ref="D150">INDEX({"Electronics","Clothing","Furniture","Books","Office Supplies"},MOD(ROW()-2,5)+1)</f>
        <v>Books</v>
      </c>
      <c r="E150" s="6">
        <f t="shared" si="27"/>
        <v>20776</v>
      </c>
      <c r="F150" s="6">
        <f t="shared" si="31"/>
        <v>3</v>
      </c>
      <c r="G150" s="7">
        <f t="shared" si="25"/>
        <v>0.1</v>
      </c>
      <c r="H150" s="8">
        <f t="shared" si="30"/>
        <v>45806</v>
      </c>
      <c r="I150" s="9">
        <f t="shared" si="28"/>
        <v>56095.199999999997</v>
      </c>
      <c r="J150" s="6">
        <f t="shared" si="29"/>
        <v>8975.23</v>
      </c>
      <c r="K150" s="6" t="str" cm="1">
        <f t="array" ref="K150">INDEX({"Amit","Neha","Riya","Karan","Pooja","Rahul","Meera","Vikram"},MOD(ROW()-2,8)+1)</f>
        <v>Pooja</v>
      </c>
      <c r="L150" s="6" t="str" cm="1">
        <f t="array" ref="L150">INDEX({"UPI","Credit Card","Debit Card","Cash","Net Banking"},MOD(ROW()-2,5)+1)</f>
        <v>Cash</v>
      </c>
      <c r="M150" s="10" t="str" cm="1">
        <f t="array" ref="M150">INDEX({"Retail","Corporate","Education","Small Business"},MOD(ROW()-2,4)+1)</f>
        <v>Retail</v>
      </c>
    </row>
    <row r="151" spans="1:13" x14ac:dyDescent="0.3">
      <c r="A151" s="5" t="str">
        <f t="shared" si="26"/>
        <v>CUST0150</v>
      </c>
      <c r="B151" s="6" t="str" cm="1">
        <f t="array" ref="B151">INDEX({"Aarav","Vivaan","Aditya","Arjun","Kabir","Rohan","Ananya","Diya","Ishita","Meera","Riya","Pooja","Neha","Kavya","Aisha","Priya","Rahul","Karan","Vikram","Sahil"},MOD(ROW()-2,20)+1)&amp;" "&amp;INDEX({"Shah","Patel","Mehta","Desai","Joshi","Gupta","Verma","Sharma","Trivedi","Rana","Mishra","Kapoor","Iyer","Nair","Singh"},MOD(INT((ROW()-2)/20),15)+1)</f>
        <v>Meera Sharma</v>
      </c>
      <c r="C151" s="6" t="str" cm="1">
        <f t="array" ref="C151">INDEX({"North","South","East","West","Central"},MOD(ROW()-2,5)+1)</f>
        <v>Central</v>
      </c>
      <c r="D151" s="6" t="str" cm="1">
        <f t="array" ref="D151">INDEX({"Electronics","Clothing","Furniture","Books","Office Supplies"},MOD(ROW()-2,5)+1)</f>
        <v>Office Supplies</v>
      </c>
      <c r="E151" s="6">
        <f t="shared" si="27"/>
        <v>20913</v>
      </c>
      <c r="F151" s="6">
        <f t="shared" si="31"/>
        <v>10</v>
      </c>
      <c r="G151" s="7">
        <v>0.08</v>
      </c>
      <c r="H151" s="8">
        <f t="shared" si="30"/>
        <v>45807</v>
      </c>
      <c r="I151" s="9">
        <f t="shared" si="28"/>
        <v>192399.6</v>
      </c>
      <c r="J151" s="6">
        <f t="shared" si="29"/>
        <v>34631.93</v>
      </c>
      <c r="K151" s="6" t="str" cm="1">
        <f t="array" ref="K151">INDEX({"Amit","Neha","Riya","Karan","Pooja","Rahul","Meera","Vikram"},MOD(ROW()-2,8)+1)</f>
        <v>Rahul</v>
      </c>
      <c r="L151" s="6" t="str" cm="1">
        <f t="array" ref="L151">INDEX({"UPI","Credit Card","Debit Card","Cash","Net Banking"},MOD(ROW()-2,5)+1)</f>
        <v>Net Banking</v>
      </c>
      <c r="M151" s="10" t="str" cm="1">
        <f t="array" ref="M151">INDEX({"Retail","Corporate","Education","Small Business"},MOD(ROW()-2,4)+1)</f>
        <v>Corporate</v>
      </c>
    </row>
    <row r="152" spans="1:13" x14ac:dyDescent="0.3">
      <c r="A152" s="5" t="str">
        <f t="shared" si="26"/>
        <v>CUST0151</v>
      </c>
      <c r="B152" s="6" t="str" cm="1">
        <f t="array" ref="B152">INDEX({"Aarav","Vivaan","Aditya","Arjun","Kabir","Rohan","Ananya","Diya","Ishita","Meera","Riya","Pooja","Neha","Kavya","Aisha","Priya","Rahul","Karan","Vikram","Sahil"},MOD(ROW()-2,20)+1)&amp;" "&amp;INDEX({"Shah","Patel","Mehta","Desai","Joshi","Gupta","Verma","Sharma","Trivedi","Rana","Mishra","Kapoor","Iyer","Nair","Singh"},MOD(INT((ROW()-2)/20),15)+1)</f>
        <v>Riya Sharma</v>
      </c>
      <c r="C152" s="6" t="str" cm="1">
        <f t="array" ref="C152">INDEX({"North","South","East","West","Central"},MOD(ROW()-2,5)+1)</f>
        <v>North</v>
      </c>
      <c r="D152" s="6" t="str" cm="1">
        <f t="array" ref="D152">INDEX({"Electronics","Clothing","Furniture","Books","Office Supplies"},MOD(ROW()-2,5)+1)</f>
        <v>Electronics</v>
      </c>
      <c r="E152" s="6">
        <f t="shared" si="27"/>
        <v>21050</v>
      </c>
      <c r="F152" s="6">
        <f t="shared" si="31"/>
        <v>6</v>
      </c>
      <c r="G152" s="7">
        <f t="shared" ref="G152:G192" si="32">CHOOSE(MOD(ROW()-2,8)+1,0,0.02,0.05,0.08,0.1,0.12,0.15,0.2)</f>
        <v>0.15</v>
      </c>
      <c r="H152" s="8">
        <f t="shared" si="30"/>
        <v>45808</v>
      </c>
      <c r="I152" s="9">
        <f t="shared" si="28"/>
        <v>107355</v>
      </c>
      <c r="J152" s="6">
        <f t="shared" si="29"/>
        <v>21471</v>
      </c>
      <c r="K152" s="6" t="str" cm="1">
        <f t="array" ref="K152">INDEX({"Amit","Neha","Riya","Karan","Pooja","Rahul","Meera","Vikram"},MOD(ROW()-2,8)+1)</f>
        <v>Meera</v>
      </c>
      <c r="L152" s="6" t="str" cm="1">
        <f t="array" ref="L152">INDEX({"UPI","Credit Card","Debit Card","Cash","Net Banking"},MOD(ROW()-2,5)+1)</f>
        <v>UPI</v>
      </c>
      <c r="M152" s="10" t="str" cm="1">
        <f t="array" ref="M152">INDEX({"Retail","Corporate","Education","Small Business"},MOD(ROW()-2,4)+1)</f>
        <v>Education</v>
      </c>
    </row>
    <row r="153" spans="1:13" x14ac:dyDescent="0.3">
      <c r="A153" s="5" t="str">
        <f t="shared" si="26"/>
        <v>CUST0152</v>
      </c>
      <c r="B153" s="6" t="str" cm="1">
        <f t="array" ref="B153">INDEX({"Aarav","Vivaan","Aditya","Arjun","Kabir","Rohan","Ananya","Diya","Ishita","Meera","Riya","Pooja","Neha","Kavya","Aisha","Priya","Rahul","Karan","Vikram","Sahil"},MOD(ROW()-2,20)+1)&amp;" "&amp;INDEX({"Shah","Patel","Mehta","Desai","Joshi","Gupta","Verma","Sharma","Trivedi","Rana","Mishra","Kapoor","Iyer","Nair","Singh"},MOD(INT((ROW()-2)/20),15)+1)</f>
        <v>Pooja Sharma</v>
      </c>
      <c r="C153" s="6" t="str" cm="1">
        <f t="array" ref="C153">INDEX({"North","South","East","West","Central"},MOD(ROW()-2,5)+1)</f>
        <v>South</v>
      </c>
      <c r="D153" s="6" t="str" cm="1">
        <f t="array" ref="D153">INDEX({"Electronics","Clothing","Furniture","Books","Office Supplies"},MOD(ROW()-2,5)+1)</f>
        <v>Clothing</v>
      </c>
      <c r="E153" s="6">
        <f t="shared" si="27"/>
        <v>21187</v>
      </c>
      <c r="F153" s="6">
        <f t="shared" si="31"/>
        <v>2</v>
      </c>
      <c r="G153" s="7">
        <f t="shared" si="32"/>
        <v>0.2</v>
      </c>
      <c r="H153" s="8">
        <f t="shared" si="30"/>
        <v>45809</v>
      </c>
      <c r="I153" s="9">
        <f t="shared" si="28"/>
        <v>33899.199999999997</v>
      </c>
      <c r="J153" s="6">
        <f t="shared" si="29"/>
        <v>7457.82</v>
      </c>
      <c r="K153" s="6" t="str" cm="1">
        <f t="array" ref="K153">INDEX({"Amit","Neha","Riya","Karan","Pooja","Rahul","Meera","Vikram"},MOD(ROW()-2,8)+1)</f>
        <v>Vikram</v>
      </c>
      <c r="L153" s="6" t="str" cm="1">
        <f t="array" ref="L153">INDEX({"UPI","Credit Card","Debit Card","Cash","Net Banking"},MOD(ROW()-2,5)+1)</f>
        <v>Credit Card</v>
      </c>
      <c r="M153" s="10" t="str" cm="1">
        <f t="array" ref="M153">INDEX({"Retail","Corporate","Education","Small Business"},MOD(ROW()-2,4)+1)</f>
        <v>Small Business</v>
      </c>
    </row>
    <row r="154" spans="1:13" x14ac:dyDescent="0.3">
      <c r="A154" s="5" t="str">
        <f t="shared" si="26"/>
        <v>CUST0153</v>
      </c>
      <c r="B154" s="6" t="str" cm="1">
        <f t="array" ref="B154">INDEX({"Aarav","Vivaan","Aditya","Arjun","Kabir","Rohan","Ananya","Diya","Ishita","Meera","Riya","Pooja","Neha","Kavya","Aisha","Priya","Rahul","Karan","Vikram","Sahil"},MOD(ROW()-2,20)+1)&amp;" "&amp;INDEX({"Shah","Patel","Mehta","Desai","Joshi","Gupta","Verma","Sharma","Trivedi","Rana","Mishra","Kapoor","Iyer","Nair","Singh"},MOD(INT((ROW()-2)/20),15)+1)</f>
        <v>Neha Sharma</v>
      </c>
      <c r="C154" s="6" t="str" cm="1">
        <f t="array" ref="C154">INDEX({"North","South","East","West","Central"},MOD(ROW()-2,5)+1)</f>
        <v>East</v>
      </c>
      <c r="D154" s="6" t="str" cm="1">
        <f t="array" ref="D154">INDEX({"Electronics","Clothing","Furniture","Books","Office Supplies"},MOD(ROW()-2,5)+1)</f>
        <v>Furniture</v>
      </c>
      <c r="E154" s="6">
        <f t="shared" si="27"/>
        <v>21324</v>
      </c>
      <c r="F154" s="6">
        <f t="shared" si="31"/>
        <v>9</v>
      </c>
      <c r="G154" s="7">
        <f t="shared" si="32"/>
        <v>0</v>
      </c>
      <c r="H154" s="8">
        <f t="shared" si="30"/>
        <v>45810</v>
      </c>
      <c r="I154" s="9">
        <f t="shared" si="28"/>
        <v>191916</v>
      </c>
      <c r="J154" s="6">
        <f t="shared" si="29"/>
        <v>46059.839999999997</v>
      </c>
      <c r="K154" s="6" t="str" cm="1">
        <f t="array" ref="K154">INDEX({"Amit","Neha","Riya","Karan","Pooja","Rahul","Meera","Vikram"},MOD(ROW()-2,8)+1)</f>
        <v>Amit</v>
      </c>
      <c r="L154" s="6" t="str" cm="1">
        <f t="array" ref="L154">INDEX({"UPI","Credit Card","Debit Card","Cash","Net Banking"},MOD(ROW()-2,5)+1)</f>
        <v>Debit Card</v>
      </c>
      <c r="M154" s="10" t="str" cm="1">
        <f t="array" ref="M154">INDEX({"Retail","Corporate","Education","Small Business"},MOD(ROW()-2,4)+1)</f>
        <v>Retail</v>
      </c>
    </row>
    <row r="155" spans="1:13" x14ac:dyDescent="0.3">
      <c r="A155" s="5" t="str">
        <f t="shared" si="26"/>
        <v>CUST0154</v>
      </c>
      <c r="B155" s="6" t="str" cm="1">
        <f t="array" ref="B155">INDEX({"Aarav","Vivaan","Aditya","Arjun","Kabir","Rohan","Ananya","Diya","Ishita","Meera","Riya","Pooja","Neha","Kavya","Aisha","Priya","Rahul","Karan","Vikram","Sahil"},MOD(ROW()-2,20)+1)&amp;" "&amp;INDEX({"Shah","Patel","Mehta","Desai","Joshi","Gupta","Verma","Sharma","Trivedi","Rana","Mishra","Kapoor","Iyer","Nair","Singh"},MOD(INT((ROW()-2)/20),15)+1)</f>
        <v>Kavya Sharma</v>
      </c>
      <c r="C155" s="6" t="str" cm="1">
        <f t="array" ref="C155">INDEX({"North","South","East","West","Central"},MOD(ROW()-2,5)+1)</f>
        <v>West</v>
      </c>
      <c r="D155" s="6" t="str" cm="1">
        <f t="array" ref="D155">INDEX({"Electronics","Clothing","Furniture","Books","Office Supplies"},MOD(ROW()-2,5)+1)</f>
        <v>Books</v>
      </c>
      <c r="E155" s="6">
        <f t="shared" si="27"/>
        <v>21461</v>
      </c>
      <c r="F155" s="6">
        <f t="shared" si="31"/>
        <v>5</v>
      </c>
      <c r="G155" s="7">
        <f t="shared" si="32"/>
        <v>0.02</v>
      </c>
      <c r="H155" s="8">
        <f t="shared" si="30"/>
        <v>45811</v>
      </c>
      <c r="I155" s="9">
        <f t="shared" si="28"/>
        <v>105158.9</v>
      </c>
      <c r="J155" s="6">
        <f t="shared" si="29"/>
        <v>27341.31</v>
      </c>
      <c r="K155" s="6" t="str" cm="1">
        <f t="array" ref="K155">INDEX({"Amit","Neha","Riya","Karan","Pooja","Rahul","Meera","Vikram"},MOD(ROW()-2,8)+1)</f>
        <v>Neha</v>
      </c>
      <c r="L155" s="6" t="str" cm="1">
        <f t="array" ref="L155">INDEX({"UPI","Credit Card","Debit Card","Cash","Net Banking"},MOD(ROW()-2,5)+1)</f>
        <v>Cash</v>
      </c>
      <c r="M155" s="10" t="str" cm="1">
        <f t="array" ref="M155">INDEX({"Retail","Corporate","Education","Small Business"},MOD(ROW()-2,4)+1)</f>
        <v>Corporate</v>
      </c>
    </row>
    <row r="156" spans="1:13" x14ac:dyDescent="0.3">
      <c r="A156" s="5" t="str">
        <f t="shared" si="26"/>
        <v>CUST0155</v>
      </c>
      <c r="B156" s="6" t="str" cm="1">
        <f t="array" ref="B156">INDEX({"Aarav","Vivaan","Aditya","Arjun","Kabir","Rohan","Ananya","Diya","Ishita","Meera","Riya","Pooja","Neha","Kavya","Aisha","Priya","Rahul","Karan","Vikram","Sahil"},MOD(ROW()-2,20)+1)&amp;" "&amp;INDEX({"Shah","Patel","Mehta","Desai","Joshi","Gupta","Verma","Sharma","Trivedi","Rana","Mishra","Kapoor","Iyer","Nair","Singh"},MOD(INT((ROW()-2)/20),15)+1)</f>
        <v>Aisha Sharma</v>
      </c>
      <c r="C156" s="6" t="str" cm="1">
        <f t="array" ref="C156">INDEX({"North","South","East","West","Central"},MOD(ROW()-2,5)+1)</f>
        <v>Central</v>
      </c>
      <c r="D156" s="6" t="str" cm="1">
        <f t="array" ref="D156">INDEX({"Electronics","Clothing","Furniture","Books","Office Supplies"},MOD(ROW()-2,5)+1)</f>
        <v>Office Supplies</v>
      </c>
      <c r="E156" s="6">
        <f t="shared" si="27"/>
        <v>21598</v>
      </c>
      <c r="F156" s="6">
        <f t="shared" si="31"/>
        <v>1</v>
      </c>
      <c r="G156" s="7">
        <f t="shared" si="32"/>
        <v>0.05</v>
      </c>
      <c r="H156" s="8">
        <f t="shared" si="30"/>
        <v>45812</v>
      </c>
      <c r="I156" s="9">
        <f t="shared" si="28"/>
        <v>20518.099999999999</v>
      </c>
      <c r="J156" s="6">
        <f t="shared" si="29"/>
        <v>5745.07</v>
      </c>
      <c r="K156" s="6" t="str" cm="1">
        <f t="array" ref="K156">INDEX({"Amit","Neha","Riya","Karan","Pooja","Rahul","Meera","Vikram"},MOD(ROW()-2,8)+1)</f>
        <v>Riya</v>
      </c>
      <c r="L156" s="6" t="str" cm="1">
        <f t="array" ref="L156">INDEX({"UPI","Credit Card","Debit Card","Cash","Net Banking"},MOD(ROW()-2,5)+1)</f>
        <v>Net Banking</v>
      </c>
      <c r="M156" s="10" t="str" cm="1">
        <f t="array" ref="M156">INDEX({"Retail","Corporate","Education","Small Business"},MOD(ROW()-2,4)+1)</f>
        <v>Education</v>
      </c>
    </row>
    <row r="157" spans="1:13" x14ac:dyDescent="0.3">
      <c r="A157" s="5" t="str">
        <f t="shared" si="26"/>
        <v>CUST0156</v>
      </c>
      <c r="B157" s="6" t="str" cm="1">
        <f t="array" ref="B157">INDEX({"Aarav","Vivaan","Aditya","Arjun","Kabir","Rohan","Ananya","Diya","Ishita","Meera","Riya","Pooja","Neha","Kavya","Aisha","Priya","Rahul","Karan","Vikram","Sahil"},MOD(ROW()-2,20)+1)&amp;" "&amp;INDEX({"Shah","Patel","Mehta","Desai","Joshi","Gupta","Verma","Sharma","Trivedi","Rana","Mishra","Kapoor","Iyer","Nair","Singh"},MOD(INT((ROW()-2)/20),15)+1)</f>
        <v>Priya Sharma</v>
      </c>
      <c r="C157" s="6" t="str" cm="1">
        <f t="array" ref="C157">INDEX({"North","South","East","West","Central"},MOD(ROW()-2,5)+1)</f>
        <v>North</v>
      </c>
      <c r="D157" s="6" t="str" cm="1">
        <f t="array" ref="D157">INDEX({"Electronics","Clothing","Furniture","Books","Office Supplies"},MOD(ROW()-2,5)+1)</f>
        <v>Electronics</v>
      </c>
      <c r="E157" s="6">
        <f t="shared" si="27"/>
        <v>21735</v>
      </c>
      <c r="F157" s="6">
        <f t="shared" si="31"/>
        <v>8</v>
      </c>
      <c r="G157" s="7">
        <f t="shared" si="32"/>
        <v>0.08</v>
      </c>
      <c r="H157" s="8">
        <f t="shared" si="30"/>
        <v>45813</v>
      </c>
      <c r="I157" s="9">
        <f t="shared" si="28"/>
        <v>159969.60000000001</v>
      </c>
      <c r="J157" s="6">
        <f t="shared" si="29"/>
        <v>47990.879999999997</v>
      </c>
      <c r="K157" s="6" t="str" cm="1">
        <f t="array" ref="K157">INDEX({"Amit","Neha","Riya","Karan","Pooja","Rahul","Meera","Vikram"},MOD(ROW()-2,8)+1)</f>
        <v>Karan</v>
      </c>
      <c r="L157" s="6" t="str" cm="1">
        <f t="array" ref="L157">INDEX({"UPI","Credit Card","Debit Card","Cash","Net Banking"},MOD(ROW()-2,5)+1)</f>
        <v>UPI</v>
      </c>
      <c r="M157" s="10" t="str" cm="1">
        <f t="array" ref="M157">INDEX({"Retail","Corporate","Education","Small Business"},MOD(ROW()-2,4)+1)</f>
        <v>Small Business</v>
      </c>
    </row>
    <row r="158" spans="1:13" x14ac:dyDescent="0.3">
      <c r="A158" s="5" t="str">
        <f t="shared" si="26"/>
        <v>CUST0157</v>
      </c>
      <c r="B158" s="6" t="str" cm="1">
        <f t="array" ref="B158">INDEX({"Aarav","Vivaan","Aditya","Arjun","Kabir","Rohan","Ananya","Diya","Ishita","Meera","Riya","Pooja","Neha","Kavya","Aisha","Priya","Rahul","Karan","Vikram","Sahil"},MOD(ROW()-2,20)+1)&amp;" "&amp;INDEX({"Shah","Patel","Mehta","Desai","Joshi","Gupta","Verma","Sharma","Trivedi","Rana","Mishra","Kapoor","Iyer","Nair","Singh"},MOD(INT((ROW()-2)/20),15)+1)</f>
        <v>Rahul Sharma</v>
      </c>
      <c r="C158" s="6" t="str" cm="1">
        <f t="array" ref="C158">INDEX({"North","South","East","West","Central"},MOD(ROW()-2,5)+1)</f>
        <v>South</v>
      </c>
      <c r="D158" s="6" t="str" cm="1">
        <f t="array" ref="D158">INDEX({"Electronics","Clothing","Furniture","Books","Office Supplies"},MOD(ROW()-2,5)+1)</f>
        <v>Clothing</v>
      </c>
      <c r="E158" s="6">
        <f t="shared" si="27"/>
        <v>21872</v>
      </c>
      <c r="F158" s="6">
        <f t="shared" si="31"/>
        <v>4</v>
      </c>
      <c r="G158" s="7">
        <f t="shared" si="32"/>
        <v>0.1</v>
      </c>
      <c r="H158" s="8">
        <f t="shared" si="30"/>
        <v>45814</v>
      </c>
      <c r="I158" s="9">
        <f t="shared" si="28"/>
        <v>78739.199999999997</v>
      </c>
      <c r="J158" s="6">
        <f t="shared" si="29"/>
        <v>6299.14</v>
      </c>
      <c r="K158" s="6" t="str" cm="1">
        <f t="array" ref="K158">INDEX({"Amit","Neha","Riya","Karan","Pooja","Rahul","Meera","Vikram"},MOD(ROW()-2,8)+1)</f>
        <v>Pooja</v>
      </c>
      <c r="L158" s="6" t="str" cm="1">
        <f t="array" ref="L158">INDEX({"UPI","Credit Card","Debit Card","Cash","Net Banking"},MOD(ROW()-2,5)+1)</f>
        <v>Credit Card</v>
      </c>
      <c r="M158" s="10" t="str" cm="1">
        <f t="array" ref="M158">INDEX({"Retail","Corporate","Education","Small Business"},MOD(ROW()-2,4)+1)</f>
        <v>Retail</v>
      </c>
    </row>
    <row r="159" spans="1:13" x14ac:dyDescent="0.3">
      <c r="A159" s="5" t="str">
        <f t="shared" si="26"/>
        <v>CUST0158</v>
      </c>
      <c r="B159" s="6" t="str" cm="1">
        <f t="array" ref="B159">INDEX({"Aarav","Vivaan","Aditya","Arjun","Kabir","Rohan","Ananya","Diya","Ishita","Meera","Riya","Pooja","Neha","Kavya","Aisha","Priya","Rahul","Karan","Vikram","Sahil"},MOD(ROW()-2,20)+1)&amp;" "&amp;INDEX({"Shah","Patel","Mehta","Desai","Joshi","Gupta","Verma","Sharma","Trivedi","Rana","Mishra","Kapoor","Iyer","Nair","Singh"},MOD(INT((ROW()-2)/20),15)+1)</f>
        <v>Karan Sharma</v>
      </c>
      <c r="C159" s="6" t="str" cm="1">
        <f t="array" ref="C159">INDEX({"North","South","East","West","Central"},MOD(ROW()-2,5)+1)</f>
        <v>East</v>
      </c>
      <c r="D159" s="6" t="str" cm="1">
        <f t="array" ref="D159">INDEX({"Electronics","Clothing","Furniture","Books","Office Supplies"},MOD(ROW()-2,5)+1)</f>
        <v>Furniture</v>
      </c>
      <c r="E159" s="6">
        <f t="shared" si="27"/>
        <v>22009</v>
      </c>
      <c r="F159" s="6">
        <f t="shared" si="31"/>
        <v>11</v>
      </c>
      <c r="G159" s="7">
        <f t="shared" si="32"/>
        <v>0.12</v>
      </c>
      <c r="H159" s="8">
        <f t="shared" si="30"/>
        <v>45815</v>
      </c>
      <c r="I159" s="9">
        <f t="shared" si="28"/>
        <v>213047.12</v>
      </c>
      <c r="J159" s="6">
        <f t="shared" si="29"/>
        <v>21304.71</v>
      </c>
      <c r="K159" s="6" t="str" cm="1">
        <f t="array" ref="K159">INDEX({"Amit","Neha","Riya","Karan","Pooja","Rahul","Meera","Vikram"},MOD(ROW()-2,8)+1)</f>
        <v>Rahul</v>
      </c>
      <c r="L159" s="6" t="str" cm="1">
        <f t="array" ref="L159">INDEX({"UPI","Credit Card","Debit Card","Cash","Net Banking"},MOD(ROW()-2,5)+1)</f>
        <v>Debit Card</v>
      </c>
      <c r="M159" s="10" t="str" cm="1">
        <f t="array" ref="M159">INDEX({"Retail","Corporate","Education","Small Business"},MOD(ROW()-2,4)+1)</f>
        <v>Corporate</v>
      </c>
    </row>
    <row r="160" spans="1:13" x14ac:dyDescent="0.3">
      <c r="A160" s="5" t="str">
        <f t="shared" si="26"/>
        <v>CUST0159</v>
      </c>
      <c r="B160" s="6" t="str" cm="1">
        <f t="array" ref="B160">INDEX({"Aarav","Vivaan","Aditya","Arjun","Kabir","Rohan","Ananya","Diya","Ishita","Meera","Riya","Pooja","Neha","Kavya","Aisha","Priya","Rahul","Karan","Vikram","Sahil"},MOD(ROW()-2,20)+1)&amp;" "&amp;INDEX({"Shah","Patel","Mehta","Desai","Joshi","Gupta","Verma","Sharma","Trivedi","Rana","Mishra","Kapoor","Iyer","Nair","Singh"},MOD(INT((ROW()-2)/20),15)+1)</f>
        <v>Vikram Sharma</v>
      </c>
      <c r="C160" s="6" t="str" cm="1">
        <f t="array" ref="C160">INDEX({"North","South","East","West","Central"},MOD(ROW()-2,5)+1)</f>
        <v>West</v>
      </c>
      <c r="D160" s="6" t="str" cm="1">
        <f t="array" ref="D160">INDEX({"Electronics","Clothing","Furniture","Books","Office Supplies"},MOD(ROW()-2,5)+1)</f>
        <v>Books</v>
      </c>
      <c r="E160" s="6">
        <f t="shared" si="27"/>
        <v>22146</v>
      </c>
      <c r="F160" s="6">
        <f t="shared" si="31"/>
        <v>7</v>
      </c>
      <c r="G160" s="7">
        <f t="shared" si="32"/>
        <v>0.15</v>
      </c>
      <c r="H160" s="8">
        <f t="shared" si="30"/>
        <v>45816</v>
      </c>
      <c r="I160" s="9">
        <f t="shared" si="28"/>
        <v>131768.70000000001</v>
      </c>
      <c r="J160" s="6">
        <f t="shared" si="29"/>
        <v>15812.24</v>
      </c>
      <c r="K160" s="6" t="str" cm="1">
        <f t="array" ref="K160">INDEX({"Amit","Neha","Riya","Karan","Pooja","Rahul","Meera","Vikram"},MOD(ROW()-2,8)+1)</f>
        <v>Meera</v>
      </c>
      <c r="L160" s="6" t="str" cm="1">
        <f t="array" ref="L160">INDEX({"UPI","Credit Card","Debit Card","Cash","Net Banking"},MOD(ROW()-2,5)+1)</f>
        <v>Cash</v>
      </c>
      <c r="M160" s="10" t="str" cm="1">
        <f t="array" ref="M160">INDEX({"Retail","Corporate","Education","Small Business"},MOD(ROW()-2,4)+1)</f>
        <v>Education</v>
      </c>
    </row>
    <row r="161" spans="1:13" x14ac:dyDescent="0.3">
      <c r="A161" s="5" t="str">
        <f t="shared" si="26"/>
        <v>CUST0160</v>
      </c>
      <c r="B161" s="6" t="str" cm="1">
        <f t="array" ref="B161">INDEX({"Aarav","Vivaan","Aditya","Arjun","Kabir","Rohan","Ananya","Diya","Ishita","Meera","Riya","Pooja","Neha","Kavya","Aisha","Priya","Rahul","Karan","Vikram","Sahil"},MOD(ROW()-2,20)+1)&amp;" "&amp;INDEX({"Shah","Patel","Mehta","Desai","Joshi","Gupta","Verma","Sharma","Trivedi","Rana","Mishra","Kapoor","Iyer","Nair","Singh"},MOD(INT((ROW()-2)/20),15)+1)</f>
        <v>Sahil Sharma</v>
      </c>
      <c r="C161" s="6" t="str" cm="1">
        <f t="array" ref="C161">INDEX({"North","South","East","West","Central"},MOD(ROW()-2,5)+1)</f>
        <v>Central</v>
      </c>
      <c r="D161" s="6" t="str" cm="1">
        <f t="array" ref="D161">INDEX({"Electronics","Clothing","Furniture","Books","Office Supplies"},MOD(ROW()-2,5)+1)</f>
        <v>Office Supplies</v>
      </c>
      <c r="E161" s="6">
        <f t="shared" si="27"/>
        <v>22283</v>
      </c>
      <c r="F161" s="6">
        <f t="shared" si="31"/>
        <v>3</v>
      </c>
      <c r="G161" s="7">
        <f t="shared" si="32"/>
        <v>0.2</v>
      </c>
      <c r="H161" s="8">
        <f t="shared" si="30"/>
        <v>45817</v>
      </c>
      <c r="I161" s="9">
        <f t="shared" si="28"/>
        <v>53479.199999999997</v>
      </c>
      <c r="J161" s="6">
        <f t="shared" si="29"/>
        <v>7487.09</v>
      </c>
      <c r="K161" s="6" t="str" cm="1">
        <f t="array" ref="K161">INDEX({"Amit","Neha","Riya","Karan","Pooja","Rahul","Meera","Vikram"},MOD(ROW()-2,8)+1)</f>
        <v>Vikram</v>
      </c>
      <c r="L161" s="6" t="str" cm="1">
        <f t="array" ref="L161">INDEX({"UPI","Credit Card","Debit Card","Cash","Net Banking"},MOD(ROW()-2,5)+1)</f>
        <v>Net Banking</v>
      </c>
      <c r="M161" s="10" t="str" cm="1">
        <f t="array" ref="M161">INDEX({"Retail","Corporate","Education","Small Business"},MOD(ROW()-2,4)+1)</f>
        <v>Small Business</v>
      </c>
    </row>
    <row r="162" spans="1:13" x14ac:dyDescent="0.3">
      <c r="A162" s="5" t="str">
        <f t="shared" si="26"/>
        <v>CUST0161</v>
      </c>
      <c r="B162" s="6" t="str" cm="1">
        <f t="array" ref="B162">INDEX({"Aarav","Vivaan","Aditya","Arjun","Kabir","Rohan","Ananya","Diya","Ishita","Meera","Riya","Pooja","Neha","Kavya","Aisha","Priya","Rahul","Karan","Vikram","Sahil"},MOD(ROW()-2,20)+1)&amp;" "&amp;INDEX({"Shah","Patel","Mehta","Desai","Joshi","Gupta","Verma","Sharma","Trivedi","Rana","Mishra","Kapoor","Iyer","Nair","Singh"},MOD(INT((ROW()-2)/20),15)+1)</f>
        <v>Aarav Trivedi</v>
      </c>
      <c r="C162" s="6" t="str" cm="1">
        <f t="array" ref="C162">INDEX({"North","South","East","West","Central"},MOD(ROW()-2,5)+1)</f>
        <v>North</v>
      </c>
      <c r="D162" s="6" t="str" cm="1">
        <f t="array" ref="D162">INDEX({"Electronics","Clothing","Furniture","Books","Office Supplies"},MOD(ROW()-2,5)+1)</f>
        <v>Electronics</v>
      </c>
      <c r="E162" s="6">
        <f t="shared" ref="E162:E193" si="33">ROUND(500+MOD((ROW()-2)*137,44500),2)</f>
        <v>22420</v>
      </c>
      <c r="F162" s="6">
        <f t="shared" si="31"/>
        <v>10</v>
      </c>
      <c r="G162" s="7">
        <f t="shared" si="32"/>
        <v>0</v>
      </c>
      <c r="H162" s="8">
        <f t="shared" si="30"/>
        <v>45818</v>
      </c>
      <c r="I162" s="9">
        <f t="shared" si="28"/>
        <v>224200</v>
      </c>
      <c r="J162" s="6">
        <f t="shared" si="29"/>
        <v>35872</v>
      </c>
      <c r="K162" s="6" t="str" cm="1">
        <f t="array" ref="K162">INDEX({"Amit","Neha","Riya","Karan","Pooja","Rahul","Meera","Vikram"},MOD(ROW()-2,8)+1)</f>
        <v>Amit</v>
      </c>
      <c r="L162" s="6" t="str" cm="1">
        <f t="array" ref="L162">INDEX({"UPI","Credit Card","Debit Card","Cash","Net Banking"},MOD(ROW()-2,5)+1)</f>
        <v>UPI</v>
      </c>
      <c r="M162" s="10" t="str" cm="1">
        <f t="array" ref="M162">INDEX({"Retail","Corporate","Education","Small Business"},MOD(ROW()-2,4)+1)</f>
        <v>Retail</v>
      </c>
    </row>
    <row r="163" spans="1:13" x14ac:dyDescent="0.3">
      <c r="A163" s="5" t="str">
        <f t="shared" si="26"/>
        <v>CUST0162</v>
      </c>
      <c r="B163" s="6" t="str" cm="1">
        <f t="array" ref="B163">INDEX({"Aarav","Vivaan","Aditya","Arjun","Kabir","Rohan","Ananya","Diya","Ishita","Meera","Riya","Pooja","Neha","Kavya","Aisha","Priya","Rahul","Karan","Vikram","Sahil"},MOD(ROW()-2,20)+1)&amp;" "&amp;INDEX({"Shah","Patel","Mehta","Desai","Joshi","Gupta","Verma","Sharma","Trivedi","Rana","Mishra","Kapoor","Iyer","Nair","Singh"},MOD(INT((ROW()-2)/20),15)+1)</f>
        <v>Vivaan Trivedi</v>
      </c>
      <c r="C163" s="6" t="str" cm="1">
        <f t="array" ref="C163">INDEX({"North","South","East","West","Central"},MOD(ROW()-2,5)+1)</f>
        <v>South</v>
      </c>
      <c r="D163" s="6" t="str" cm="1">
        <f t="array" ref="D163">INDEX({"Electronics","Clothing","Furniture","Books","Office Supplies"},MOD(ROW()-2,5)+1)</f>
        <v>Clothing</v>
      </c>
      <c r="E163" s="6">
        <f t="shared" si="33"/>
        <v>22557</v>
      </c>
      <c r="F163" s="6">
        <f t="shared" si="31"/>
        <v>6</v>
      </c>
      <c r="G163" s="7">
        <f t="shared" si="32"/>
        <v>0.02</v>
      </c>
      <c r="H163" s="8">
        <f t="shared" si="30"/>
        <v>45819</v>
      </c>
      <c r="I163" s="9">
        <f t="shared" si="28"/>
        <v>132635.16</v>
      </c>
      <c r="J163" s="6">
        <f t="shared" si="29"/>
        <v>23874.33</v>
      </c>
      <c r="K163" s="6" t="str" cm="1">
        <f t="array" ref="K163">INDEX({"Amit","Neha","Riya","Karan","Pooja","Rahul","Meera","Vikram"},MOD(ROW()-2,8)+1)</f>
        <v>Neha</v>
      </c>
      <c r="L163" s="6" t="str" cm="1">
        <f t="array" ref="L163">INDEX({"UPI","Credit Card","Debit Card","Cash","Net Banking"},MOD(ROW()-2,5)+1)</f>
        <v>Credit Card</v>
      </c>
      <c r="M163" s="10" t="str" cm="1">
        <f t="array" ref="M163">INDEX({"Retail","Corporate","Education","Small Business"},MOD(ROW()-2,4)+1)</f>
        <v>Corporate</v>
      </c>
    </row>
    <row r="164" spans="1:13" x14ac:dyDescent="0.3">
      <c r="A164" s="5" t="str">
        <f t="shared" si="26"/>
        <v>CUST0163</v>
      </c>
      <c r="B164" s="6" t="str" cm="1">
        <f t="array" ref="B164">INDEX({"Aarav","Vivaan","Aditya","Arjun","Kabir","Rohan","Ananya","Diya","Ishita","Meera","Riya","Pooja","Neha","Kavya","Aisha","Priya","Rahul","Karan","Vikram","Sahil"},MOD(ROW()-2,20)+1)&amp;" "&amp;INDEX({"Shah","Patel","Mehta","Desai","Joshi","Gupta","Verma","Sharma","Trivedi","Rana","Mishra","Kapoor","Iyer","Nair","Singh"},MOD(INT((ROW()-2)/20),15)+1)</f>
        <v>Aditya Trivedi</v>
      </c>
      <c r="C164" s="6" t="str" cm="1">
        <f t="array" ref="C164">INDEX({"North","South","East","West","Central"},MOD(ROW()-2,5)+1)</f>
        <v>East</v>
      </c>
      <c r="D164" s="6" t="str" cm="1">
        <f t="array" ref="D164">INDEX({"Electronics","Clothing","Furniture","Books","Office Supplies"},MOD(ROW()-2,5)+1)</f>
        <v>Furniture</v>
      </c>
      <c r="E164" s="6">
        <f t="shared" si="33"/>
        <v>22694</v>
      </c>
      <c r="F164" s="6">
        <f t="shared" si="31"/>
        <v>2</v>
      </c>
      <c r="G164" s="7">
        <f t="shared" si="32"/>
        <v>0.05</v>
      </c>
      <c r="H164" s="8">
        <f t="shared" si="30"/>
        <v>45820</v>
      </c>
      <c r="I164" s="9">
        <f t="shared" si="28"/>
        <v>43118.6</v>
      </c>
      <c r="J164" s="6">
        <f t="shared" si="29"/>
        <v>8623.7199999999993</v>
      </c>
      <c r="K164" s="6" t="str" cm="1">
        <f t="array" ref="K164">INDEX({"Amit","Neha","Riya","Karan","Pooja","Rahul","Meera","Vikram"},MOD(ROW()-2,8)+1)</f>
        <v>Riya</v>
      </c>
      <c r="L164" s="6" t="str" cm="1">
        <f t="array" ref="L164">INDEX({"UPI","Credit Card","Debit Card","Cash","Net Banking"},MOD(ROW()-2,5)+1)</f>
        <v>Debit Card</v>
      </c>
      <c r="M164" s="10" t="str" cm="1">
        <f t="array" ref="M164">INDEX({"Retail","Corporate","Education","Small Business"},MOD(ROW()-2,4)+1)</f>
        <v>Education</v>
      </c>
    </row>
    <row r="165" spans="1:13" x14ac:dyDescent="0.3">
      <c r="A165" s="5" t="str">
        <f t="shared" si="26"/>
        <v>CUST0164</v>
      </c>
      <c r="B165" s="6" t="str" cm="1">
        <f t="array" ref="B165">INDEX({"Aarav","Vivaan","Aditya","Arjun","Kabir","Rohan","Ananya","Diya","Ishita","Meera","Riya","Pooja","Neha","Kavya","Aisha","Priya","Rahul","Karan","Vikram","Sahil"},MOD(ROW()-2,20)+1)&amp;" "&amp;INDEX({"Shah","Patel","Mehta","Desai","Joshi","Gupta","Verma","Sharma","Trivedi","Rana","Mishra","Kapoor","Iyer","Nair","Singh"},MOD(INT((ROW()-2)/20),15)+1)</f>
        <v>Arjun Trivedi</v>
      </c>
      <c r="C165" s="6" t="str" cm="1">
        <f t="array" ref="C165">INDEX({"North","South","East","West","Central"},MOD(ROW()-2,5)+1)</f>
        <v>West</v>
      </c>
      <c r="D165" s="6" t="str" cm="1">
        <f t="array" ref="D165">INDEX({"Electronics","Clothing","Furniture","Books","Office Supplies"},MOD(ROW()-2,5)+1)</f>
        <v>Books</v>
      </c>
      <c r="E165" s="6">
        <f t="shared" si="33"/>
        <v>22831</v>
      </c>
      <c r="F165" s="6">
        <f t="shared" si="31"/>
        <v>9</v>
      </c>
      <c r="G165" s="7">
        <f t="shared" si="32"/>
        <v>0.08</v>
      </c>
      <c r="H165" s="8">
        <f t="shared" si="30"/>
        <v>45821</v>
      </c>
      <c r="I165" s="9">
        <f t="shared" si="28"/>
        <v>189040.68</v>
      </c>
      <c r="J165" s="6">
        <f t="shared" si="29"/>
        <v>41588.949999999997</v>
      </c>
      <c r="K165" s="6" t="str" cm="1">
        <f t="array" ref="K165">INDEX({"Amit","Neha","Riya","Karan","Pooja","Rahul","Meera","Vikram"},MOD(ROW()-2,8)+1)</f>
        <v>Karan</v>
      </c>
      <c r="L165" s="6" t="str" cm="1">
        <f t="array" ref="L165">INDEX({"UPI","Credit Card","Debit Card","Cash","Net Banking"},MOD(ROW()-2,5)+1)</f>
        <v>Cash</v>
      </c>
      <c r="M165" s="10" t="str" cm="1">
        <f t="array" ref="M165">INDEX({"Retail","Corporate","Education","Small Business"},MOD(ROW()-2,4)+1)</f>
        <v>Small Business</v>
      </c>
    </row>
    <row r="166" spans="1:13" x14ac:dyDescent="0.3">
      <c r="A166" s="5" t="str">
        <f t="shared" si="26"/>
        <v>CUST0165</v>
      </c>
      <c r="B166" s="6" t="str" cm="1">
        <f t="array" ref="B166">INDEX({"Aarav","Vivaan","Aditya","Arjun","Kabir","Rohan","Ananya","Diya","Ishita","Meera","Riya","Pooja","Neha","Kavya","Aisha","Priya","Rahul","Karan","Vikram","Sahil"},MOD(ROW()-2,20)+1)&amp;" "&amp;INDEX({"Shah","Patel","Mehta","Desai","Joshi","Gupta","Verma","Sharma","Trivedi","Rana","Mishra","Kapoor","Iyer","Nair","Singh"},MOD(INT((ROW()-2)/20),15)+1)</f>
        <v>Kabir Trivedi</v>
      </c>
      <c r="C166" s="6" t="str" cm="1">
        <f t="array" ref="C166">INDEX({"North","South","East","West","Central"},MOD(ROW()-2,5)+1)</f>
        <v>Central</v>
      </c>
      <c r="D166" s="6" t="str" cm="1">
        <f t="array" ref="D166">INDEX({"Electronics","Clothing","Furniture","Books","Office Supplies"},MOD(ROW()-2,5)+1)</f>
        <v>Office Supplies</v>
      </c>
      <c r="E166" s="6">
        <f t="shared" si="33"/>
        <v>22968</v>
      </c>
      <c r="F166" s="6">
        <f t="shared" si="31"/>
        <v>5</v>
      </c>
      <c r="G166" s="7">
        <f t="shared" si="32"/>
        <v>0.1</v>
      </c>
      <c r="H166" s="8">
        <f t="shared" si="30"/>
        <v>45822</v>
      </c>
      <c r="I166" s="9">
        <f t="shared" si="28"/>
        <v>103356</v>
      </c>
      <c r="J166" s="6">
        <f t="shared" si="29"/>
        <v>24805.439999999999</v>
      </c>
      <c r="K166" s="6" t="str" cm="1">
        <f t="array" ref="K166">INDEX({"Amit","Neha","Riya","Karan","Pooja","Rahul","Meera","Vikram"},MOD(ROW()-2,8)+1)</f>
        <v>Pooja</v>
      </c>
      <c r="L166" s="6" t="str" cm="1">
        <f t="array" ref="L166">INDEX({"UPI","Credit Card","Debit Card","Cash","Net Banking"},MOD(ROW()-2,5)+1)</f>
        <v>Net Banking</v>
      </c>
      <c r="M166" s="10" t="str" cm="1">
        <f t="array" ref="M166">INDEX({"Retail","Corporate","Education","Small Business"},MOD(ROW()-2,4)+1)</f>
        <v>Retail</v>
      </c>
    </row>
    <row r="167" spans="1:13" x14ac:dyDescent="0.3">
      <c r="A167" s="5" t="str">
        <f t="shared" si="26"/>
        <v>CUST0166</v>
      </c>
      <c r="B167" s="6" t="str" cm="1">
        <f t="array" ref="B167">INDEX({"Aarav","Vivaan","Aditya","Arjun","Kabir","Rohan","Ananya","Diya","Ishita","Meera","Riya","Pooja","Neha","Kavya","Aisha","Priya","Rahul","Karan","Vikram","Sahil"},MOD(ROW()-2,20)+1)&amp;" "&amp;INDEX({"Shah","Patel","Mehta","Desai","Joshi","Gupta","Verma","Sharma","Trivedi","Rana","Mishra","Kapoor","Iyer","Nair","Singh"},MOD(INT((ROW()-2)/20),15)+1)</f>
        <v>Rohan Trivedi</v>
      </c>
      <c r="C167" s="6" t="str" cm="1">
        <f t="array" ref="C167">INDEX({"North","South","East","West","Central"},MOD(ROW()-2,5)+1)</f>
        <v>North</v>
      </c>
      <c r="D167" s="6" t="str" cm="1">
        <f t="array" ref="D167">INDEX({"Electronics","Clothing","Furniture","Books","Office Supplies"},MOD(ROW()-2,5)+1)</f>
        <v>Electronics</v>
      </c>
      <c r="E167" s="6">
        <f t="shared" si="33"/>
        <v>23105</v>
      </c>
      <c r="F167" s="6">
        <f t="shared" si="31"/>
        <v>1</v>
      </c>
      <c r="G167" s="7">
        <f t="shared" si="32"/>
        <v>0.12</v>
      </c>
      <c r="H167" s="8">
        <f t="shared" si="30"/>
        <v>45823</v>
      </c>
      <c r="I167" s="9">
        <f t="shared" si="28"/>
        <v>20332.400000000001</v>
      </c>
      <c r="J167" s="6">
        <f t="shared" si="29"/>
        <v>5286.42</v>
      </c>
      <c r="K167" s="6" t="str" cm="1">
        <f t="array" ref="K167">INDEX({"Amit","Neha","Riya","Karan","Pooja","Rahul","Meera","Vikram"},MOD(ROW()-2,8)+1)</f>
        <v>Rahul</v>
      </c>
      <c r="L167" s="6" t="str" cm="1">
        <f t="array" ref="L167">INDEX({"UPI","Credit Card","Debit Card","Cash","Net Banking"},MOD(ROW()-2,5)+1)</f>
        <v>UPI</v>
      </c>
      <c r="M167" s="10" t="str" cm="1">
        <f t="array" ref="M167">INDEX({"Retail","Corporate","Education","Small Business"},MOD(ROW()-2,4)+1)</f>
        <v>Corporate</v>
      </c>
    </row>
    <row r="168" spans="1:13" x14ac:dyDescent="0.3">
      <c r="A168" s="5" t="str">
        <f t="shared" si="26"/>
        <v>CUST0167</v>
      </c>
      <c r="B168" s="6" t="str" cm="1">
        <f t="array" ref="B168">INDEX({"Aarav","Vivaan","Aditya","Arjun","Kabir","Rohan","Ananya","Diya","Ishita","Meera","Riya","Pooja","Neha","Kavya","Aisha","Priya","Rahul","Karan","Vikram","Sahil"},MOD(ROW()-2,20)+1)&amp;" "&amp;INDEX({"Shah","Patel","Mehta","Desai","Joshi","Gupta","Verma","Sharma","Trivedi","Rana","Mishra","Kapoor","Iyer","Nair","Singh"},MOD(INT((ROW()-2)/20),15)+1)</f>
        <v>Ananya Trivedi</v>
      </c>
      <c r="C168" s="6" t="str" cm="1">
        <f t="array" ref="C168">INDEX({"North","South","East","West","Central"},MOD(ROW()-2,5)+1)</f>
        <v>South</v>
      </c>
      <c r="D168" s="6" t="str" cm="1">
        <f t="array" ref="D168">INDEX({"Electronics","Clothing","Furniture","Books","Office Supplies"},MOD(ROW()-2,5)+1)</f>
        <v>Clothing</v>
      </c>
      <c r="E168" s="6">
        <f t="shared" si="33"/>
        <v>23242</v>
      </c>
      <c r="F168" s="6">
        <f t="shared" si="31"/>
        <v>8</v>
      </c>
      <c r="G168" s="7">
        <f t="shared" si="32"/>
        <v>0.15</v>
      </c>
      <c r="H168" s="8">
        <f t="shared" si="30"/>
        <v>45824</v>
      </c>
      <c r="I168" s="9">
        <f t="shared" si="28"/>
        <v>158045.6</v>
      </c>
      <c r="J168" s="6">
        <f t="shared" si="29"/>
        <v>44252.77</v>
      </c>
      <c r="K168" s="6" t="str" cm="1">
        <f t="array" ref="K168">INDEX({"Amit","Neha","Riya","Karan","Pooja","Rahul","Meera","Vikram"},MOD(ROW()-2,8)+1)</f>
        <v>Meera</v>
      </c>
      <c r="L168" s="6" t="str" cm="1">
        <f t="array" ref="L168">INDEX({"UPI","Credit Card","Debit Card","Cash","Net Banking"},MOD(ROW()-2,5)+1)</f>
        <v>Credit Card</v>
      </c>
      <c r="M168" s="10" t="str" cm="1">
        <f t="array" ref="M168">INDEX({"Retail","Corporate","Education","Small Business"},MOD(ROW()-2,4)+1)</f>
        <v>Education</v>
      </c>
    </row>
    <row r="169" spans="1:13" x14ac:dyDescent="0.3">
      <c r="A169" s="5" t="str">
        <f t="shared" si="26"/>
        <v>CUST0168</v>
      </c>
      <c r="B169" s="6" t="str" cm="1">
        <f t="array" ref="B169">INDEX({"Aarav","Vivaan","Aditya","Arjun","Kabir","Rohan","Ananya","Diya","Ishita","Meera","Riya","Pooja","Neha","Kavya","Aisha","Priya","Rahul","Karan","Vikram","Sahil"},MOD(ROW()-2,20)+1)&amp;" "&amp;INDEX({"Shah","Patel","Mehta","Desai","Joshi","Gupta","Verma","Sharma","Trivedi","Rana","Mishra","Kapoor","Iyer","Nair","Singh"},MOD(INT((ROW()-2)/20),15)+1)</f>
        <v>Diya Trivedi</v>
      </c>
      <c r="C169" s="6" t="str" cm="1">
        <f t="array" ref="C169">INDEX({"North","South","East","West","Central"},MOD(ROW()-2,5)+1)</f>
        <v>East</v>
      </c>
      <c r="D169" s="6" t="str" cm="1">
        <f t="array" ref="D169">INDEX({"Electronics","Clothing","Furniture","Books","Office Supplies"},MOD(ROW()-2,5)+1)</f>
        <v>Furniture</v>
      </c>
      <c r="E169" s="6">
        <f t="shared" si="33"/>
        <v>23379</v>
      </c>
      <c r="F169" s="6">
        <f t="shared" si="31"/>
        <v>4</v>
      </c>
      <c r="G169" s="7">
        <f t="shared" si="32"/>
        <v>0.2</v>
      </c>
      <c r="H169" s="8">
        <f t="shared" si="30"/>
        <v>45825</v>
      </c>
      <c r="I169" s="9">
        <f t="shared" si="28"/>
        <v>74812.800000000003</v>
      </c>
      <c r="J169" s="6">
        <f t="shared" si="29"/>
        <v>22443.84</v>
      </c>
      <c r="K169" s="6" t="str" cm="1">
        <f t="array" ref="K169">INDEX({"Amit","Neha","Riya","Karan","Pooja","Rahul","Meera","Vikram"},MOD(ROW()-2,8)+1)</f>
        <v>Vikram</v>
      </c>
      <c r="L169" s="6" t="str" cm="1">
        <f t="array" ref="L169">INDEX({"UPI","Credit Card","Debit Card","Cash","Net Banking"},MOD(ROW()-2,5)+1)</f>
        <v>Debit Card</v>
      </c>
      <c r="M169" s="10" t="str" cm="1">
        <f t="array" ref="M169">INDEX({"Retail","Corporate","Education","Small Business"},MOD(ROW()-2,4)+1)</f>
        <v>Small Business</v>
      </c>
    </row>
    <row r="170" spans="1:13" x14ac:dyDescent="0.3">
      <c r="A170" s="5" t="str">
        <f t="shared" si="26"/>
        <v>CUST0169</v>
      </c>
      <c r="B170" s="6" t="str" cm="1">
        <f t="array" ref="B170">INDEX({"Aarav","Vivaan","Aditya","Arjun","Kabir","Rohan","Ananya","Diya","Ishita","Meera","Riya","Pooja","Neha","Kavya","Aisha","Priya","Rahul","Karan","Vikram","Sahil"},MOD(ROW()-2,20)+1)&amp;" "&amp;INDEX({"Shah","Patel","Mehta","Desai","Joshi","Gupta","Verma","Sharma","Trivedi","Rana","Mishra","Kapoor","Iyer","Nair","Singh"},MOD(INT((ROW()-2)/20),15)+1)</f>
        <v>Ishita Trivedi</v>
      </c>
      <c r="C170" s="6" t="str" cm="1">
        <f t="array" ref="C170">INDEX({"North","South","East","West","Central"},MOD(ROW()-2,5)+1)</f>
        <v>West</v>
      </c>
      <c r="D170" s="6" t="str" cm="1">
        <f t="array" ref="D170">INDEX({"Electronics","Clothing","Furniture","Books","Office Supplies"},MOD(ROW()-2,5)+1)</f>
        <v>Books</v>
      </c>
      <c r="E170" s="6">
        <f t="shared" si="33"/>
        <v>23516</v>
      </c>
      <c r="F170" s="6">
        <f t="shared" si="31"/>
        <v>11</v>
      </c>
      <c r="G170" s="7">
        <f t="shared" si="32"/>
        <v>0</v>
      </c>
      <c r="H170" s="8">
        <f t="shared" ref="H170:H190" si="34">DATE(2025,1,1)+MOD(ROW()-2,365)</f>
        <v>45826</v>
      </c>
      <c r="I170" s="9">
        <f t="shared" si="28"/>
        <v>258676</v>
      </c>
      <c r="J170" s="6">
        <f t="shared" si="29"/>
        <v>20694.080000000002</v>
      </c>
      <c r="K170" s="6" t="str" cm="1">
        <f t="array" ref="K170">INDEX({"Amit","Neha","Riya","Karan","Pooja","Rahul","Meera","Vikram"},MOD(ROW()-2,8)+1)</f>
        <v>Amit</v>
      </c>
      <c r="L170" s="6" t="str" cm="1">
        <f t="array" ref="L170">INDEX({"UPI","Credit Card","Debit Card","Cash","Net Banking"},MOD(ROW()-2,5)+1)</f>
        <v>Cash</v>
      </c>
      <c r="M170" s="10" t="str" cm="1">
        <f t="array" ref="M170">INDEX({"Retail","Corporate","Education","Small Business"},MOD(ROW()-2,4)+1)</f>
        <v>Retail</v>
      </c>
    </row>
    <row r="171" spans="1:13" x14ac:dyDescent="0.3">
      <c r="A171" s="5" t="str">
        <f t="shared" si="26"/>
        <v>CUST0170</v>
      </c>
      <c r="B171" s="6" t="str" cm="1">
        <f t="array" ref="B171">INDEX({"Aarav","Vivaan","Aditya","Arjun","Kabir","Rohan","Ananya","Diya","Ishita","Meera","Riya","Pooja","Neha","Kavya","Aisha","Priya","Rahul","Karan","Vikram","Sahil"},MOD(ROW()-2,20)+1)&amp;" "&amp;INDEX({"Shah","Patel","Mehta","Desai","Joshi","Gupta","Verma","Sharma","Trivedi","Rana","Mishra","Kapoor","Iyer","Nair","Singh"},MOD(INT((ROW()-2)/20),15)+1)</f>
        <v>Meera Trivedi</v>
      </c>
      <c r="C171" s="6" t="str" cm="1">
        <f t="array" ref="C171">INDEX({"North","South","East","West","Central"},MOD(ROW()-2,5)+1)</f>
        <v>Central</v>
      </c>
      <c r="D171" s="6" t="str" cm="1">
        <f t="array" ref="D171">INDEX({"Electronics","Clothing","Furniture","Books","Office Supplies"},MOD(ROW()-2,5)+1)</f>
        <v>Office Supplies</v>
      </c>
      <c r="E171" s="6">
        <f t="shared" si="33"/>
        <v>23653</v>
      </c>
      <c r="F171" s="6">
        <f t="shared" si="31"/>
        <v>7</v>
      </c>
      <c r="G171" s="7">
        <f t="shared" si="32"/>
        <v>0.02</v>
      </c>
      <c r="H171" s="8">
        <f t="shared" si="34"/>
        <v>45827</v>
      </c>
      <c r="I171" s="9">
        <f t="shared" si="28"/>
        <v>162259.57999999999</v>
      </c>
      <c r="J171" s="6">
        <f t="shared" si="29"/>
        <v>16225.96</v>
      </c>
      <c r="K171" s="6" t="str" cm="1">
        <f t="array" ref="K171">INDEX({"Amit","Neha","Riya","Karan","Pooja","Rahul","Meera","Vikram"},MOD(ROW()-2,8)+1)</f>
        <v>Neha</v>
      </c>
      <c r="L171" s="6" t="str" cm="1">
        <f t="array" ref="L171">INDEX({"UPI","Credit Card","Debit Card","Cash","Net Banking"},MOD(ROW()-2,5)+1)</f>
        <v>Net Banking</v>
      </c>
      <c r="M171" s="10" t="str" cm="1">
        <f t="array" ref="M171">INDEX({"Retail","Corporate","Education","Small Business"},MOD(ROW()-2,4)+1)</f>
        <v>Corporate</v>
      </c>
    </row>
    <row r="172" spans="1:13" x14ac:dyDescent="0.3">
      <c r="A172" s="5" t="str">
        <f t="shared" si="26"/>
        <v>CUST0171</v>
      </c>
      <c r="B172" s="6" t="str" cm="1">
        <f t="array" ref="B172">INDEX({"Aarav","Vivaan","Aditya","Arjun","Kabir","Rohan","Ananya","Diya","Ishita","Meera","Riya","Pooja","Neha","Kavya","Aisha","Priya","Rahul","Karan","Vikram","Sahil"},MOD(ROW()-2,20)+1)&amp;" "&amp;INDEX({"Shah","Patel","Mehta","Desai","Joshi","Gupta","Verma","Sharma","Trivedi","Rana","Mishra","Kapoor","Iyer","Nair","Singh"},MOD(INT((ROW()-2)/20),15)+1)</f>
        <v>Riya Trivedi</v>
      </c>
      <c r="C172" s="6" t="str" cm="1">
        <f t="array" ref="C172">INDEX({"North","South","East","West","Central"},MOD(ROW()-2,5)+1)</f>
        <v>North</v>
      </c>
      <c r="D172" s="6" t="str" cm="1">
        <f t="array" ref="D172">INDEX({"Electronics","Clothing","Furniture","Books","Office Supplies"},MOD(ROW()-2,5)+1)</f>
        <v>Electronics</v>
      </c>
      <c r="E172" s="6">
        <f t="shared" si="33"/>
        <v>23790</v>
      </c>
      <c r="F172" s="6">
        <f t="shared" si="31"/>
        <v>3</v>
      </c>
      <c r="G172" s="7">
        <f t="shared" si="32"/>
        <v>0.05</v>
      </c>
      <c r="H172" s="8">
        <f t="shared" si="34"/>
        <v>45828</v>
      </c>
      <c r="I172" s="9">
        <f t="shared" si="28"/>
        <v>67801.5</v>
      </c>
      <c r="J172" s="6">
        <f t="shared" si="29"/>
        <v>8136.18</v>
      </c>
      <c r="K172" s="6" t="str" cm="1">
        <f t="array" ref="K172">INDEX({"Amit","Neha","Riya","Karan","Pooja","Rahul","Meera","Vikram"},MOD(ROW()-2,8)+1)</f>
        <v>Riya</v>
      </c>
      <c r="L172" s="6" t="str" cm="1">
        <f t="array" ref="L172">INDEX({"UPI","Credit Card","Debit Card","Cash","Net Banking"},MOD(ROW()-2,5)+1)</f>
        <v>UPI</v>
      </c>
      <c r="M172" s="10" t="str" cm="1">
        <f t="array" ref="M172">INDEX({"Retail","Corporate","Education","Small Business"},MOD(ROW()-2,4)+1)</f>
        <v>Education</v>
      </c>
    </row>
    <row r="173" spans="1:13" x14ac:dyDescent="0.3">
      <c r="A173" s="5" t="str">
        <f t="shared" si="26"/>
        <v>CUST0172</v>
      </c>
      <c r="B173" s="6" t="str" cm="1">
        <f t="array" ref="B173">INDEX({"Aarav","Vivaan","Aditya","Arjun","Kabir","Rohan","Ananya","Diya","Ishita","Meera","Riya","Pooja","Neha","Kavya","Aisha","Priya","Rahul","Karan","Vikram","Sahil"},MOD(ROW()-2,20)+1)&amp;" "&amp;INDEX({"Shah","Patel","Mehta","Desai","Joshi","Gupta","Verma","Sharma","Trivedi","Rana","Mishra","Kapoor","Iyer","Nair","Singh"},MOD(INT((ROW()-2)/20),15)+1)</f>
        <v>Pooja Trivedi</v>
      </c>
      <c r="C173" s="6" t="str" cm="1">
        <f t="array" ref="C173">INDEX({"North","South","East","West","Central"},MOD(ROW()-2,5)+1)</f>
        <v>South</v>
      </c>
      <c r="D173" s="6" t="str" cm="1">
        <f t="array" ref="D173">INDEX({"Electronics","Clothing","Furniture","Books","Office Supplies"},MOD(ROW()-2,5)+1)</f>
        <v>Clothing</v>
      </c>
      <c r="E173" s="6">
        <f t="shared" si="33"/>
        <v>23927</v>
      </c>
      <c r="F173" s="6">
        <f t="shared" si="31"/>
        <v>10</v>
      </c>
      <c r="G173" s="7">
        <f t="shared" si="32"/>
        <v>0.08</v>
      </c>
      <c r="H173" s="8">
        <f t="shared" si="34"/>
        <v>45829</v>
      </c>
      <c r="I173" s="9">
        <f t="shared" si="28"/>
        <v>220128.4</v>
      </c>
      <c r="J173" s="6">
        <f t="shared" si="29"/>
        <v>30817.98</v>
      </c>
      <c r="K173" s="6" t="str" cm="1">
        <f t="array" ref="K173">INDEX({"Amit","Neha","Riya","Karan","Pooja","Rahul","Meera","Vikram"},MOD(ROW()-2,8)+1)</f>
        <v>Karan</v>
      </c>
      <c r="L173" s="6" t="str" cm="1">
        <f t="array" ref="L173">INDEX({"UPI","Credit Card","Debit Card","Cash","Net Banking"},MOD(ROW()-2,5)+1)</f>
        <v>Credit Card</v>
      </c>
      <c r="M173" s="10" t="str" cm="1">
        <f t="array" ref="M173">INDEX({"Retail","Corporate","Education","Small Business"},MOD(ROW()-2,4)+1)</f>
        <v>Small Business</v>
      </c>
    </row>
    <row r="174" spans="1:13" x14ac:dyDescent="0.3">
      <c r="A174" s="5" t="str">
        <f t="shared" si="26"/>
        <v>CUST0173</v>
      </c>
      <c r="B174" s="6" t="str" cm="1">
        <f t="array" ref="B174">INDEX({"Aarav","Vivaan","Aditya","Arjun","Kabir","Rohan","Ananya","Diya","Ishita","Meera","Riya","Pooja","Neha","Kavya","Aisha","Priya","Rahul","Karan","Vikram","Sahil"},MOD(ROW()-2,20)+1)&amp;" "&amp;INDEX({"Shah","Patel","Mehta","Desai","Joshi","Gupta","Verma","Sharma","Trivedi","Rana","Mishra","Kapoor","Iyer","Nair","Singh"},MOD(INT((ROW()-2)/20),15)+1)</f>
        <v>Neha Trivedi</v>
      </c>
      <c r="C174" s="6" t="str" cm="1">
        <f t="array" ref="C174">INDEX({"North","South","East","West","Central"},MOD(ROW()-2,5)+1)</f>
        <v>East</v>
      </c>
      <c r="D174" s="6" t="str" cm="1">
        <f t="array" ref="D174">INDEX({"Electronics","Clothing","Furniture","Books","Office Supplies"},MOD(ROW()-2,5)+1)</f>
        <v>Furniture</v>
      </c>
      <c r="E174" s="6">
        <f t="shared" si="33"/>
        <v>24064</v>
      </c>
      <c r="F174" s="6">
        <f t="shared" si="31"/>
        <v>6</v>
      </c>
      <c r="G174" s="7">
        <f t="shared" si="32"/>
        <v>0.1</v>
      </c>
      <c r="H174" s="8">
        <f t="shared" si="34"/>
        <v>45830</v>
      </c>
      <c r="I174" s="9">
        <f t="shared" si="28"/>
        <v>129945.60000000001</v>
      </c>
      <c r="J174" s="6">
        <f t="shared" si="29"/>
        <v>20791.3</v>
      </c>
      <c r="K174" s="6" t="str" cm="1">
        <f t="array" ref="K174">INDEX({"Amit","Neha","Riya","Karan","Pooja","Rahul","Meera","Vikram"},MOD(ROW()-2,8)+1)</f>
        <v>Pooja</v>
      </c>
      <c r="L174" s="6" t="str" cm="1">
        <f t="array" ref="L174">INDEX({"UPI","Credit Card","Debit Card","Cash","Net Banking"},MOD(ROW()-2,5)+1)</f>
        <v>Debit Card</v>
      </c>
      <c r="M174" s="10" t="str" cm="1">
        <f t="array" ref="M174">INDEX({"Retail","Corporate","Education","Small Business"},MOD(ROW()-2,4)+1)</f>
        <v>Retail</v>
      </c>
    </row>
    <row r="175" spans="1:13" x14ac:dyDescent="0.3">
      <c r="A175" s="5" t="str">
        <f t="shared" si="26"/>
        <v>CUST0174</v>
      </c>
      <c r="B175" s="6" t="str" cm="1">
        <f t="array" ref="B175">INDEX({"Aarav","Vivaan","Aditya","Arjun","Kabir","Rohan","Ananya","Diya","Ishita","Meera","Riya","Pooja","Neha","Kavya","Aisha","Priya","Rahul","Karan","Vikram","Sahil"},MOD(ROW()-2,20)+1)&amp;" "&amp;INDEX({"Shah","Patel","Mehta","Desai","Joshi","Gupta","Verma","Sharma","Trivedi","Rana","Mishra","Kapoor","Iyer","Nair","Singh"},MOD(INT((ROW()-2)/20),15)+1)</f>
        <v>Kavya Trivedi</v>
      </c>
      <c r="C175" s="6" t="str" cm="1">
        <f t="array" ref="C175">INDEX({"North","South","East","West","Central"},MOD(ROW()-2,5)+1)</f>
        <v>West</v>
      </c>
      <c r="D175" s="6" t="str" cm="1">
        <f t="array" ref="D175">INDEX({"Electronics","Clothing","Furniture","Books","Office Supplies"},MOD(ROW()-2,5)+1)</f>
        <v>Books</v>
      </c>
      <c r="E175" s="6">
        <f t="shared" si="33"/>
        <v>24201</v>
      </c>
      <c r="F175" s="6">
        <f t="shared" ref="F175:F195" si="35">MOD((ROW()-2)*7,11)+1</f>
        <v>2</v>
      </c>
      <c r="G175" s="7">
        <f t="shared" si="32"/>
        <v>0.12</v>
      </c>
      <c r="H175" s="8">
        <f t="shared" si="34"/>
        <v>45831</v>
      </c>
      <c r="I175" s="9">
        <f t="shared" si="28"/>
        <v>42593.760000000002</v>
      </c>
      <c r="J175" s="6">
        <f t="shared" si="29"/>
        <v>7666.88</v>
      </c>
      <c r="K175" s="6" t="str" cm="1">
        <f t="array" ref="K175">INDEX({"Amit","Neha","Riya","Karan","Pooja","Rahul","Meera","Vikram"},MOD(ROW()-2,8)+1)</f>
        <v>Rahul</v>
      </c>
      <c r="L175" s="6" t="str" cm="1">
        <f t="array" ref="L175">INDEX({"UPI","Credit Card","Debit Card","Cash","Net Banking"},MOD(ROW()-2,5)+1)</f>
        <v>Cash</v>
      </c>
      <c r="M175" s="10" t="str" cm="1">
        <f t="array" ref="M175">INDEX({"Retail","Corporate","Education","Small Business"},MOD(ROW()-2,4)+1)</f>
        <v>Corporate</v>
      </c>
    </row>
    <row r="176" spans="1:13" x14ac:dyDescent="0.3">
      <c r="A176" s="5" t="str">
        <f t="shared" si="26"/>
        <v>CUST0175</v>
      </c>
      <c r="B176" s="6" t="str" cm="1">
        <f t="array" ref="B176">INDEX({"Aarav","Vivaan","Aditya","Arjun","Kabir","Rohan","Ananya","Diya","Ishita","Meera","Riya","Pooja","Neha","Kavya","Aisha","Priya","Rahul","Karan","Vikram","Sahil"},MOD(ROW()-2,20)+1)&amp;" "&amp;INDEX({"Shah","Patel","Mehta","Desai","Joshi","Gupta","Verma","Sharma","Trivedi","Rana","Mishra","Kapoor","Iyer","Nair","Singh"},MOD(INT((ROW()-2)/20),15)+1)</f>
        <v>Aisha Trivedi</v>
      </c>
      <c r="C176" s="6" t="str" cm="1">
        <f t="array" ref="C176">INDEX({"North","South","East","West","Central"},MOD(ROW()-2,5)+1)</f>
        <v>Central</v>
      </c>
      <c r="D176" s="6" t="str" cm="1">
        <f t="array" ref="D176">INDEX({"Electronics","Clothing","Furniture","Books","Office Supplies"},MOD(ROW()-2,5)+1)</f>
        <v>Office Supplies</v>
      </c>
      <c r="E176" s="6">
        <f t="shared" si="33"/>
        <v>24338</v>
      </c>
      <c r="F176" s="6">
        <f t="shared" si="35"/>
        <v>9</v>
      </c>
      <c r="G176" s="7">
        <f t="shared" si="32"/>
        <v>0.15</v>
      </c>
      <c r="H176" s="8">
        <f t="shared" si="34"/>
        <v>45832</v>
      </c>
      <c r="I176" s="9">
        <f t="shared" si="28"/>
        <v>186185.7</v>
      </c>
      <c r="J176" s="6">
        <f t="shared" si="29"/>
        <v>37237.14</v>
      </c>
      <c r="K176" s="6" t="str" cm="1">
        <f t="array" ref="K176">INDEX({"Amit","Neha","Riya","Karan","Pooja","Rahul","Meera","Vikram"},MOD(ROW()-2,8)+1)</f>
        <v>Meera</v>
      </c>
      <c r="L176" s="6" t="str" cm="1">
        <f t="array" ref="L176">INDEX({"UPI","Credit Card","Debit Card","Cash","Net Banking"},MOD(ROW()-2,5)+1)</f>
        <v>Net Banking</v>
      </c>
      <c r="M176" s="10" t="str" cm="1">
        <f t="array" ref="M176">INDEX({"Retail","Corporate","Education","Small Business"},MOD(ROW()-2,4)+1)</f>
        <v>Education</v>
      </c>
    </row>
    <row r="177" spans="1:13" x14ac:dyDescent="0.3">
      <c r="A177" s="5" t="str">
        <f t="shared" si="26"/>
        <v>CUST0176</v>
      </c>
      <c r="B177" s="6" t="str" cm="1">
        <f t="array" ref="B177">INDEX({"Aarav","Vivaan","Aditya","Arjun","Kabir","Rohan","Ananya","Diya","Ishita","Meera","Riya","Pooja","Neha","Kavya","Aisha","Priya","Rahul","Karan","Vikram","Sahil"},MOD(ROW()-2,20)+1)&amp;" "&amp;INDEX({"Shah","Patel","Mehta","Desai","Joshi","Gupta","Verma","Sharma","Trivedi","Rana","Mishra","Kapoor","Iyer","Nair","Singh"},MOD(INT((ROW()-2)/20),15)+1)</f>
        <v>Priya Trivedi</v>
      </c>
      <c r="C177" s="6" t="str" cm="1">
        <f t="array" ref="C177">INDEX({"North","South","East","West","Central"},MOD(ROW()-2,5)+1)</f>
        <v>North</v>
      </c>
      <c r="D177" s="6" t="str" cm="1">
        <f t="array" ref="D177">INDEX({"Electronics","Clothing","Furniture","Books","Office Supplies"},MOD(ROW()-2,5)+1)</f>
        <v>Electronics</v>
      </c>
      <c r="E177" s="6">
        <f t="shared" si="33"/>
        <v>24475</v>
      </c>
      <c r="F177" s="6">
        <f t="shared" si="35"/>
        <v>5</v>
      </c>
      <c r="G177" s="7">
        <f t="shared" si="32"/>
        <v>0.2</v>
      </c>
      <c r="H177" s="8">
        <f t="shared" si="34"/>
        <v>45833</v>
      </c>
      <c r="I177" s="9">
        <f t="shared" si="28"/>
        <v>97900</v>
      </c>
      <c r="J177" s="6">
        <f t="shared" si="29"/>
        <v>21538</v>
      </c>
      <c r="K177" s="6" t="str" cm="1">
        <f t="array" ref="K177">INDEX({"Amit","Neha","Riya","Karan","Pooja","Rahul","Meera","Vikram"},MOD(ROW()-2,8)+1)</f>
        <v>Vikram</v>
      </c>
      <c r="L177" s="6" t="str" cm="1">
        <f t="array" ref="L177">INDEX({"UPI","Credit Card","Debit Card","Cash","Net Banking"},MOD(ROW()-2,5)+1)</f>
        <v>UPI</v>
      </c>
      <c r="M177" s="10" t="str" cm="1">
        <f t="array" ref="M177">INDEX({"Retail","Corporate","Education","Small Business"},MOD(ROW()-2,4)+1)</f>
        <v>Small Business</v>
      </c>
    </row>
    <row r="178" spans="1:13" x14ac:dyDescent="0.3">
      <c r="A178" s="5" t="str">
        <f t="shared" si="26"/>
        <v>CUST0177</v>
      </c>
      <c r="B178" s="6" t="str" cm="1">
        <f t="array" ref="B178">INDEX({"Aarav","Vivaan","Aditya","Arjun","Kabir","Rohan","Ananya","Diya","Ishita","Meera","Riya","Pooja","Neha","Kavya","Aisha","Priya","Rahul","Karan","Vikram","Sahil"},MOD(ROW()-2,20)+1)&amp;" "&amp;INDEX({"Shah","Patel","Mehta","Desai","Joshi","Gupta","Verma","Sharma","Trivedi","Rana","Mishra","Kapoor","Iyer","Nair","Singh"},MOD(INT((ROW()-2)/20),15)+1)</f>
        <v>Rahul Trivedi</v>
      </c>
      <c r="C178" s="6" t="str" cm="1">
        <f t="array" ref="C178">INDEX({"North","South","East","West","Central"},MOD(ROW()-2,5)+1)</f>
        <v>South</v>
      </c>
      <c r="D178" s="6" t="str" cm="1">
        <f t="array" ref="D178">INDEX({"Electronics","Clothing","Furniture","Books","Office Supplies"},MOD(ROW()-2,5)+1)</f>
        <v>Clothing</v>
      </c>
      <c r="E178" s="6">
        <f t="shared" si="33"/>
        <v>24612</v>
      </c>
      <c r="F178" s="6">
        <f t="shared" si="35"/>
        <v>1</v>
      </c>
      <c r="G178" s="7">
        <f t="shared" si="32"/>
        <v>0</v>
      </c>
      <c r="H178" s="8">
        <f t="shared" si="34"/>
        <v>45834</v>
      </c>
      <c r="I178" s="9">
        <f t="shared" si="28"/>
        <v>24612</v>
      </c>
      <c r="J178" s="6">
        <f t="shared" si="29"/>
        <v>5906.88</v>
      </c>
      <c r="K178" s="6" t="str" cm="1">
        <f t="array" ref="K178">INDEX({"Amit","Neha","Riya","Karan","Pooja","Rahul","Meera","Vikram"},MOD(ROW()-2,8)+1)</f>
        <v>Amit</v>
      </c>
      <c r="L178" s="6" t="str" cm="1">
        <f t="array" ref="L178">INDEX({"UPI","Credit Card","Debit Card","Cash","Net Banking"},MOD(ROW()-2,5)+1)</f>
        <v>Credit Card</v>
      </c>
      <c r="M178" s="10" t="str" cm="1">
        <f t="array" ref="M178">INDEX({"Retail","Corporate","Education","Small Business"},MOD(ROW()-2,4)+1)</f>
        <v>Retail</v>
      </c>
    </row>
    <row r="179" spans="1:13" x14ac:dyDescent="0.3">
      <c r="A179" s="5" t="str">
        <f t="shared" si="26"/>
        <v>CUST0178</v>
      </c>
      <c r="B179" s="6" t="str" cm="1">
        <f t="array" ref="B179">INDEX({"Aarav","Vivaan","Aditya","Arjun","Kabir","Rohan","Ananya","Diya","Ishita","Meera","Riya","Pooja","Neha","Kavya","Aisha","Priya","Rahul","Karan","Vikram","Sahil"},MOD(ROW()-2,20)+1)&amp;" "&amp;INDEX({"Shah","Patel","Mehta","Desai","Joshi","Gupta","Verma","Sharma","Trivedi","Rana","Mishra","Kapoor","Iyer","Nair","Singh"},MOD(INT((ROW()-2)/20),15)+1)</f>
        <v>Karan Trivedi</v>
      </c>
      <c r="C179" s="6" t="str" cm="1">
        <f t="array" ref="C179">INDEX({"North","South","East","West","Central"},MOD(ROW()-2,5)+1)</f>
        <v>East</v>
      </c>
      <c r="D179" s="6" t="str" cm="1">
        <f t="array" ref="D179">INDEX({"Electronics","Clothing","Furniture","Books","Office Supplies"},MOD(ROW()-2,5)+1)</f>
        <v>Furniture</v>
      </c>
      <c r="E179" s="6">
        <f t="shared" si="33"/>
        <v>24749</v>
      </c>
      <c r="F179" s="6">
        <f t="shared" si="35"/>
        <v>8</v>
      </c>
      <c r="G179" s="7">
        <f t="shared" si="32"/>
        <v>0.02</v>
      </c>
      <c r="H179" s="8">
        <f t="shared" si="34"/>
        <v>45835</v>
      </c>
      <c r="I179" s="9">
        <f t="shared" si="28"/>
        <v>194032.16</v>
      </c>
      <c r="J179" s="6">
        <f t="shared" si="29"/>
        <v>50448.36</v>
      </c>
      <c r="K179" s="6" t="str" cm="1">
        <f t="array" ref="K179">INDEX({"Amit","Neha","Riya","Karan","Pooja","Rahul","Meera","Vikram"},MOD(ROW()-2,8)+1)</f>
        <v>Neha</v>
      </c>
      <c r="L179" s="6" t="str" cm="1">
        <f t="array" ref="L179">INDEX({"UPI","Credit Card","Debit Card","Cash","Net Banking"},MOD(ROW()-2,5)+1)</f>
        <v>Debit Card</v>
      </c>
      <c r="M179" s="10" t="str" cm="1">
        <f t="array" ref="M179">INDEX({"Retail","Corporate","Education","Small Business"},MOD(ROW()-2,4)+1)</f>
        <v>Corporate</v>
      </c>
    </row>
    <row r="180" spans="1:13" x14ac:dyDescent="0.3">
      <c r="A180" s="5" t="str">
        <f t="shared" si="26"/>
        <v>CUST0179</v>
      </c>
      <c r="B180" s="6" t="str" cm="1">
        <f t="array" ref="B180">INDEX({"Aarav","Vivaan","Aditya","Arjun","Kabir","Rohan","Ananya","Diya","Ishita","Meera","Riya","Pooja","Neha","Kavya","Aisha","Priya","Rahul","Karan","Vikram","Sahil"},MOD(ROW()-2,20)+1)&amp;" "&amp;INDEX({"Shah","Patel","Mehta","Desai","Joshi","Gupta","Verma","Sharma","Trivedi","Rana","Mishra","Kapoor","Iyer","Nair","Singh"},MOD(INT((ROW()-2)/20),15)+1)</f>
        <v>Vikram Trivedi</v>
      </c>
      <c r="C180" s="6" t="str" cm="1">
        <f t="array" ref="C180">INDEX({"North","South","East","West","Central"},MOD(ROW()-2,5)+1)</f>
        <v>West</v>
      </c>
      <c r="D180" s="6" t="str" cm="1">
        <f t="array" ref="D180">INDEX({"Electronics","Clothing","Furniture","Books","Office Supplies"},MOD(ROW()-2,5)+1)</f>
        <v>Books</v>
      </c>
      <c r="E180" s="6">
        <f t="shared" si="33"/>
        <v>24886</v>
      </c>
      <c r="F180" s="6">
        <f t="shared" si="35"/>
        <v>4</v>
      </c>
      <c r="G180" s="7">
        <f t="shared" si="32"/>
        <v>0.05</v>
      </c>
      <c r="H180" s="8">
        <f t="shared" si="34"/>
        <v>45836</v>
      </c>
      <c r="I180" s="9">
        <f t="shared" si="28"/>
        <v>94566.8</v>
      </c>
      <c r="J180" s="6">
        <f t="shared" si="29"/>
        <v>26478.7</v>
      </c>
      <c r="K180" s="6" t="str" cm="1">
        <f t="array" ref="K180">INDEX({"Amit","Neha","Riya","Karan","Pooja","Rahul","Meera","Vikram"},MOD(ROW()-2,8)+1)</f>
        <v>Riya</v>
      </c>
      <c r="L180" s="6" t="str" cm="1">
        <f t="array" ref="L180">INDEX({"UPI","Credit Card","Debit Card","Cash","Net Banking"},MOD(ROW()-2,5)+1)</f>
        <v>Cash</v>
      </c>
      <c r="M180" s="10" t="str" cm="1">
        <f t="array" ref="M180">INDEX({"Retail","Corporate","Education","Small Business"},MOD(ROW()-2,4)+1)</f>
        <v>Education</v>
      </c>
    </row>
    <row r="181" spans="1:13" x14ac:dyDescent="0.3">
      <c r="A181" s="5" t="str">
        <f t="shared" si="26"/>
        <v>CUST0180</v>
      </c>
      <c r="B181" s="6" t="str" cm="1">
        <f t="array" ref="B181">INDEX({"Aarav","Vivaan","Aditya","Arjun","Kabir","Rohan","Ananya","Diya","Ishita","Meera","Riya","Pooja","Neha","Kavya","Aisha","Priya","Rahul","Karan","Vikram","Sahil"},MOD(ROW()-2,20)+1)&amp;" "&amp;INDEX({"Shah","Patel","Mehta","Desai","Joshi","Gupta","Verma","Sharma","Trivedi","Rana","Mishra","Kapoor","Iyer","Nair","Singh"},MOD(INT((ROW()-2)/20),15)+1)</f>
        <v>Sahil Trivedi</v>
      </c>
      <c r="C181" s="6" t="str" cm="1">
        <f t="array" ref="C181">INDEX({"North","South","East","West","Central"},MOD(ROW()-2,5)+1)</f>
        <v>Central</v>
      </c>
      <c r="D181" s="6" t="str" cm="1">
        <f t="array" ref="D181">INDEX({"Electronics","Clothing","Furniture","Books","Office Supplies"},MOD(ROW()-2,5)+1)</f>
        <v>Office Supplies</v>
      </c>
      <c r="E181" s="6">
        <f t="shared" si="33"/>
        <v>25023</v>
      </c>
      <c r="F181" s="6">
        <f t="shared" si="35"/>
        <v>11</v>
      </c>
      <c r="G181" s="7">
        <f t="shared" si="32"/>
        <v>0.08</v>
      </c>
      <c r="H181" s="8">
        <f t="shared" si="34"/>
        <v>45837</v>
      </c>
      <c r="I181" s="9">
        <f t="shared" si="28"/>
        <v>253232.76</v>
      </c>
      <c r="J181" s="6">
        <f t="shared" si="29"/>
        <v>75969.83</v>
      </c>
      <c r="K181" s="6" t="str" cm="1">
        <f t="array" ref="K181">INDEX({"Amit","Neha","Riya","Karan","Pooja","Rahul","Meera","Vikram"},MOD(ROW()-2,8)+1)</f>
        <v>Karan</v>
      </c>
      <c r="L181" s="6" t="str" cm="1">
        <f t="array" ref="L181">INDEX({"UPI","Credit Card","Debit Card","Cash","Net Banking"},MOD(ROW()-2,5)+1)</f>
        <v>Net Banking</v>
      </c>
      <c r="M181" s="10" t="str" cm="1">
        <f t="array" ref="M181">INDEX({"Retail","Corporate","Education","Small Business"},MOD(ROW()-2,4)+1)</f>
        <v>Small Business</v>
      </c>
    </row>
    <row r="182" spans="1:13" x14ac:dyDescent="0.3">
      <c r="A182" s="5" t="str">
        <f t="shared" si="26"/>
        <v>CUST0181</v>
      </c>
      <c r="B182" s="6" t="str" cm="1">
        <f t="array" ref="B182">INDEX({"Aarav","Vivaan","Aditya","Arjun","Kabir","Rohan","Ananya","Diya","Ishita","Meera","Riya","Pooja","Neha","Kavya","Aisha","Priya","Rahul","Karan","Vikram","Sahil"},MOD(ROW()-2,20)+1)&amp;" "&amp;INDEX({"Shah","Patel","Mehta","Desai","Joshi","Gupta","Verma","Sharma","Trivedi","Rana","Mishra","Kapoor","Iyer","Nair","Singh"},MOD(INT((ROW()-2)/20),15)+1)</f>
        <v>Aarav Rana</v>
      </c>
      <c r="C182" s="6" t="str" cm="1">
        <f t="array" ref="C182">INDEX({"North","South","East","West","Central"},MOD(ROW()-2,5)+1)</f>
        <v>North</v>
      </c>
      <c r="D182" s="6" t="str" cm="1">
        <f t="array" ref="D182">INDEX({"Electronics","Clothing","Furniture","Books","Office Supplies"},MOD(ROW()-2,5)+1)</f>
        <v>Electronics</v>
      </c>
      <c r="E182" s="6">
        <f t="shared" si="33"/>
        <v>25160</v>
      </c>
      <c r="F182" s="6">
        <f t="shared" si="35"/>
        <v>7</v>
      </c>
      <c r="G182" s="7">
        <f t="shared" si="32"/>
        <v>0.1</v>
      </c>
      <c r="H182" s="8">
        <f t="shared" si="34"/>
        <v>45838</v>
      </c>
      <c r="I182" s="9">
        <f t="shared" si="28"/>
        <v>158508</v>
      </c>
      <c r="J182" s="6">
        <f t="shared" si="29"/>
        <v>12680.64</v>
      </c>
      <c r="K182" s="6" t="str" cm="1">
        <f t="array" ref="K182">INDEX({"Amit","Neha","Riya","Karan","Pooja","Rahul","Meera","Vikram"},MOD(ROW()-2,8)+1)</f>
        <v>Pooja</v>
      </c>
      <c r="L182" s="6" t="str" cm="1">
        <f t="array" ref="L182">INDEX({"UPI","Credit Card","Debit Card","Cash","Net Banking"},MOD(ROW()-2,5)+1)</f>
        <v>UPI</v>
      </c>
      <c r="M182" s="10" t="str" cm="1">
        <f t="array" ref="M182">INDEX({"Retail","Corporate","Education","Small Business"},MOD(ROW()-2,4)+1)</f>
        <v>Retail</v>
      </c>
    </row>
    <row r="183" spans="1:13" x14ac:dyDescent="0.3">
      <c r="A183" s="5" t="str">
        <f t="shared" si="26"/>
        <v>CUST0182</v>
      </c>
      <c r="B183" s="6" t="str" cm="1">
        <f t="array" ref="B183">INDEX({"Aarav","Vivaan","Aditya","Arjun","Kabir","Rohan","Ananya","Diya","Ishita","Meera","Riya","Pooja","Neha","Kavya","Aisha","Priya","Rahul","Karan","Vikram","Sahil"},MOD(ROW()-2,20)+1)&amp;" "&amp;INDEX({"Shah","Patel","Mehta","Desai","Joshi","Gupta","Verma","Sharma","Trivedi","Rana","Mishra","Kapoor","Iyer","Nair","Singh"},MOD(INT((ROW()-2)/20),15)+1)</f>
        <v>Vivaan Rana</v>
      </c>
      <c r="C183" s="6" t="str" cm="1">
        <f t="array" ref="C183">INDEX({"North","South","East","West","Central"},MOD(ROW()-2,5)+1)</f>
        <v>South</v>
      </c>
      <c r="D183" s="6" t="str" cm="1">
        <f t="array" ref="D183">INDEX({"Electronics","Clothing","Furniture","Books","Office Supplies"},MOD(ROW()-2,5)+1)</f>
        <v>Clothing</v>
      </c>
      <c r="E183" s="6">
        <f t="shared" si="33"/>
        <v>25297</v>
      </c>
      <c r="F183" s="6">
        <f t="shared" si="35"/>
        <v>3</v>
      </c>
      <c r="G183" s="7">
        <f t="shared" si="32"/>
        <v>0.12</v>
      </c>
      <c r="H183" s="8">
        <f t="shared" si="34"/>
        <v>45839</v>
      </c>
      <c r="I183" s="9">
        <f t="shared" si="28"/>
        <v>66784.08</v>
      </c>
      <c r="J183" s="6">
        <f t="shared" si="29"/>
        <v>6678.41</v>
      </c>
      <c r="K183" s="6" t="str" cm="1">
        <f t="array" ref="K183">INDEX({"Amit","Neha","Riya","Karan","Pooja","Rahul","Meera","Vikram"},MOD(ROW()-2,8)+1)</f>
        <v>Rahul</v>
      </c>
      <c r="L183" s="6" t="str" cm="1">
        <f t="array" ref="L183">INDEX({"UPI","Credit Card","Debit Card","Cash","Net Banking"},MOD(ROW()-2,5)+1)</f>
        <v>Credit Card</v>
      </c>
      <c r="M183" s="10" t="str" cm="1">
        <f t="array" ref="M183">INDEX({"Retail","Corporate","Education","Small Business"},MOD(ROW()-2,4)+1)</f>
        <v>Corporate</v>
      </c>
    </row>
    <row r="184" spans="1:13" x14ac:dyDescent="0.3">
      <c r="A184" s="5" t="str">
        <f t="shared" si="26"/>
        <v>CUST0183</v>
      </c>
      <c r="B184" s="6" t="str" cm="1">
        <f t="array" ref="B184">INDEX({"Aarav","Vivaan","Aditya","Arjun","Kabir","Rohan","Ananya","Diya","Ishita","Meera","Riya","Pooja","Neha","Kavya","Aisha","Priya","Rahul","Karan","Vikram","Sahil"},MOD(ROW()-2,20)+1)&amp;" "&amp;INDEX({"Shah","Patel","Mehta","Desai","Joshi","Gupta","Verma","Sharma","Trivedi","Rana","Mishra","Kapoor","Iyer","Nair","Singh"},MOD(INT((ROW()-2)/20),15)+1)</f>
        <v>Aditya Rana</v>
      </c>
      <c r="C184" s="6" t="str" cm="1">
        <f t="array" ref="C184">INDEX({"North","South","East","West","Central"},MOD(ROW()-2,5)+1)</f>
        <v>East</v>
      </c>
      <c r="D184" s="6" t="str" cm="1">
        <f t="array" ref="D184">INDEX({"Electronics","Clothing","Furniture","Books","Office Supplies"},MOD(ROW()-2,5)+1)</f>
        <v>Furniture</v>
      </c>
      <c r="E184" s="6">
        <f t="shared" si="33"/>
        <v>25434</v>
      </c>
      <c r="F184" s="6">
        <f t="shared" si="35"/>
        <v>10</v>
      </c>
      <c r="G184" s="7">
        <f t="shared" si="32"/>
        <v>0.15</v>
      </c>
      <c r="H184" s="8">
        <f t="shared" si="34"/>
        <v>45840</v>
      </c>
      <c r="I184" s="9">
        <f t="shared" si="28"/>
        <v>216189</v>
      </c>
      <c r="J184" s="6">
        <f t="shared" si="29"/>
        <v>25942.68</v>
      </c>
      <c r="K184" s="6" t="str" cm="1">
        <f t="array" ref="K184">INDEX({"Amit","Neha","Riya","Karan","Pooja","Rahul","Meera","Vikram"},MOD(ROW()-2,8)+1)</f>
        <v>Meera</v>
      </c>
      <c r="L184" s="6" t="str" cm="1">
        <f t="array" ref="L184">INDEX({"UPI","Credit Card","Debit Card","Cash","Net Banking"},MOD(ROW()-2,5)+1)</f>
        <v>Debit Card</v>
      </c>
      <c r="M184" s="10" t="str" cm="1">
        <f t="array" ref="M184">INDEX({"Retail","Corporate","Education","Small Business"},MOD(ROW()-2,4)+1)</f>
        <v>Education</v>
      </c>
    </row>
    <row r="185" spans="1:13" x14ac:dyDescent="0.3">
      <c r="A185" s="5" t="str">
        <f t="shared" si="26"/>
        <v>CUST0184</v>
      </c>
      <c r="B185" s="6" t="str" cm="1">
        <f t="array" ref="B185">INDEX({"Aarav","Vivaan","Aditya","Arjun","Kabir","Rohan","Ananya","Diya","Ishita","Meera","Riya","Pooja","Neha","Kavya","Aisha","Priya","Rahul","Karan","Vikram","Sahil"},MOD(ROW()-2,20)+1)&amp;" "&amp;INDEX({"Shah","Patel","Mehta","Desai","Joshi","Gupta","Verma","Sharma","Trivedi","Rana","Mishra","Kapoor","Iyer","Nair","Singh"},MOD(INT((ROW()-2)/20),15)+1)</f>
        <v>Arjun Rana</v>
      </c>
      <c r="C185" s="6" t="str" cm="1">
        <f t="array" ref="C185">INDEX({"North","South","East","West","Central"},MOD(ROW()-2,5)+1)</f>
        <v>West</v>
      </c>
      <c r="D185" s="6" t="str" cm="1">
        <f t="array" ref="D185">INDEX({"Electronics","Clothing","Furniture","Books","Office Supplies"},MOD(ROW()-2,5)+1)</f>
        <v>Books</v>
      </c>
      <c r="E185" s="6">
        <f t="shared" si="33"/>
        <v>25571</v>
      </c>
      <c r="F185" s="6">
        <f t="shared" si="35"/>
        <v>6</v>
      </c>
      <c r="G185" s="7">
        <f t="shared" si="32"/>
        <v>0.2</v>
      </c>
      <c r="H185" s="8">
        <f t="shared" si="34"/>
        <v>45841</v>
      </c>
      <c r="I185" s="9">
        <f t="shared" si="28"/>
        <v>122740.8</v>
      </c>
      <c r="J185" s="6">
        <f t="shared" si="29"/>
        <v>17183.71</v>
      </c>
      <c r="K185" s="6" t="str" cm="1">
        <f t="array" ref="K185">INDEX({"Amit","Neha","Riya","Karan","Pooja","Rahul","Meera","Vikram"},MOD(ROW()-2,8)+1)</f>
        <v>Vikram</v>
      </c>
      <c r="L185" s="6" t="str" cm="1">
        <f t="array" ref="L185">INDEX({"UPI","Credit Card","Debit Card","Cash","Net Banking"},MOD(ROW()-2,5)+1)</f>
        <v>Cash</v>
      </c>
      <c r="M185" s="10" t="str" cm="1">
        <f t="array" ref="M185">INDEX({"Retail","Corporate","Education","Small Business"},MOD(ROW()-2,4)+1)</f>
        <v>Small Business</v>
      </c>
    </row>
    <row r="186" spans="1:13" x14ac:dyDescent="0.3">
      <c r="A186" s="5" t="str">
        <f t="shared" si="26"/>
        <v>CUST0185</v>
      </c>
      <c r="B186" s="6" t="str" cm="1">
        <f t="array" ref="B186">INDEX({"Aarav","Vivaan","Aditya","Arjun","Kabir","Rohan","Ananya","Diya","Ishita","Meera","Riya","Pooja","Neha","Kavya","Aisha","Priya","Rahul","Karan","Vikram","Sahil"},MOD(ROW()-2,20)+1)&amp;" "&amp;INDEX({"Shah","Patel","Mehta","Desai","Joshi","Gupta","Verma","Sharma","Trivedi","Rana","Mishra","Kapoor","Iyer","Nair","Singh"},MOD(INT((ROW()-2)/20),15)+1)</f>
        <v>Kabir Rana</v>
      </c>
      <c r="C186" s="6" t="str" cm="1">
        <f t="array" ref="C186">INDEX({"North","South","East","West","Central"},MOD(ROW()-2,5)+1)</f>
        <v>Central</v>
      </c>
      <c r="D186" s="6" t="str" cm="1">
        <f t="array" ref="D186">INDEX({"Electronics","Clothing","Furniture","Books","Office Supplies"},MOD(ROW()-2,5)+1)</f>
        <v>Office Supplies</v>
      </c>
      <c r="E186" s="6">
        <f t="shared" si="33"/>
        <v>25708</v>
      </c>
      <c r="F186" s="6">
        <f t="shared" si="35"/>
        <v>2</v>
      </c>
      <c r="G186" s="7">
        <f t="shared" si="32"/>
        <v>0</v>
      </c>
      <c r="H186" s="8">
        <f t="shared" si="34"/>
        <v>45842</v>
      </c>
      <c r="I186" s="9">
        <f t="shared" si="28"/>
        <v>51416</v>
      </c>
      <c r="J186" s="6">
        <f t="shared" si="29"/>
        <v>8226.56</v>
      </c>
      <c r="K186" s="6" t="str" cm="1">
        <f t="array" ref="K186">INDEX({"Amit","Neha","Riya","Karan","Pooja","Rahul","Meera","Vikram"},MOD(ROW()-2,8)+1)</f>
        <v>Amit</v>
      </c>
      <c r="L186" s="6" t="str" cm="1">
        <f t="array" ref="L186">INDEX({"UPI","Credit Card","Debit Card","Cash","Net Banking"},MOD(ROW()-2,5)+1)</f>
        <v>Net Banking</v>
      </c>
      <c r="M186" s="10" t="str" cm="1">
        <f t="array" ref="M186">INDEX({"Retail","Corporate","Education","Small Business"},MOD(ROW()-2,4)+1)</f>
        <v>Retail</v>
      </c>
    </row>
    <row r="187" spans="1:13" x14ac:dyDescent="0.3">
      <c r="A187" s="5" t="str">
        <f t="shared" si="26"/>
        <v>CUST0186</v>
      </c>
      <c r="B187" s="6" t="str" cm="1">
        <f t="array" ref="B187">INDEX({"Aarav","Vivaan","Aditya","Arjun","Kabir","Rohan","Ananya","Diya","Ishita","Meera","Riya","Pooja","Neha","Kavya","Aisha","Priya","Rahul","Karan","Vikram","Sahil"},MOD(ROW()-2,20)+1)&amp;" "&amp;INDEX({"Shah","Patel","Mehta","Desai","Joshi","Gupta","Verma","Sharma","Trivedi","Rana","Mishra","Kapoor","Iyer","Nair","Singh"},MOD(INT((ROW()-2)/20),15)+1)</f>
        <v>Rohan Rana</v>
      </c>
      <c r="C187" s="6" t="str" cm="1">
        <f t="array" ref="C187">INDEX({"North","South","East","West","Central"},MOD(ROW()-2,5)+1)</f>
        <v>North</v>
      </c>
      <c r="D187" s="6" t="str" cm="1">
        <f t="array" ref="D187">INDEX({"Electronics","Clothing","Furniture","Books","Office Supplies"},MOD(ROW()-2,5)+1)</f>
        <v>Electronics</v>
      </c>
      <c r="E187" s="6">
        <f t="shared" si="33"/>
        <v>25845</v>
      </c>
      <c r="F187" s="6">
        <f t="shared" si="35"/>
        <v>9</v>
      </c>
      <c r="G187" s="7">
        <f t="shared" si="32"/>
        <v>0.02</v>
      </c>
      <c r="H187" s="8">
        <f t="shared" si="34"/>
        <v>45843</v>
      </c>
      <c r="I187" s="9">
        <f t="shared" si="28"/>
        <v>227952.9</v>
      </c>
      <c r="J187" s="6">
        <f t="shared" si="29"/>
        <v>41031.519999999997</v>
      </c>
      <c r="K187" s="6" t="str" cm="1">
        <f t="array" ref="K187">INDEX({"Amit","Neha","Riya","Karan","Pooja","Rahul","Meera","Vikram"},MOD(ROW()-2,8)+1)</f>
        <v>Neha</v>
      </c>
      <c r="L187" s="6" t="str" cm="1">
        <f t="array" ref="L187">INDEX({"UPI","Credit Card","Debit Card","Cash","Net Banking"},MOD(ROW()-2,5)+1)</f>
        <v>UPI</v>
      </c>
      <c r="M187" s="10" t="str" cm="1">
        <f t="array" ref="M187">INDEX({"Retail","Corporate","Education","Small Business"},MOD(ROW()-2,4)+1)</f>
        <v>Corporate</v>
      </c>
    </row>
    <row r="188" spans="1:13" x14ac:dyDescent="0.3">
      <c r="A188" s="5" t="str">
        <f t="shared" si="26"/>
        <v>CUST0187</v>
      </c>
      <c r="B188" s="6" t="str" cm="1">
        <f t="array" ref="B188">INDEX({"Aarav","Vivaan","Aditya","Arjun","Kabir","Rohan","Ananya","Diya","Ishita","Meera","Riya","Pooja","Neha","Kavya","Aisha","Priya","Rahul","Karan","Vikram","Sahil"},MOD(ROW()-2,20)+1)&amp;" "&amp;INDEX({"Shah","Patel","Mehta","Desai","Joshi","Gupta","Verma","Sharma","Trivedi","Rana","Mishra","Kapoor","Iyer","Nair","Singh"},MOD(INT((ROW()-2)/20),15)+1)</f>
        <v>Ananya Rana</v>
      </c>
      <c r="C188" s="6" t="str" cm="1">
        <f t="array" ref="C188">INDEX({"North","South","East","West","Central"},MOD(ROW()-2,5)+1)</f>
        <v>South</v>
      </c>
      <c r="D188" s="6" t="str" cm="1">
        <f t="array" ref="D188">INDEX({"Electronics","Clothing","Furniture","Books","Office Supplies"},MOD(ROW()-2,5)+1)</f>
        <v>Clothing</v>
      </c>
      <c r="E188" s="6">
        <f t="shared" si="33"/>
        <v>25982</v>
      </c>
      <c r="F188" s="6">
        <f t="shared" si="35"/>
        <v>5</v>
      </c>
      <c r="G188" s="7">
        <f t="shared" si="32"/>
        <v>0.05</v>
      </c>
      <c r="H188" s="8">
        <f t="shared" si="34"/>
        <v>45844</v>
      </c>
      <c r="I188" s="9">
        <f t="shared" si="28"/>
        <v>123414.5</v>
      </c>
      <c r="J188" s="6">
        <f t="shared" si="29"/>
        <v>24682.9</v>
      </c>
      <c r="K188" s="6" t="str" cm="1">
        <f t="array" ref="K188">INDEX({"Amit","Neha","Riya","Karan","Pooja","Rahul","Meera","Vikram"},MOD(ROW()-2,8)+1)</f>
        <v>Riya</v>
      </c>
      <c r="L188" s="6" t="str" cm="1">
        <f t="array" ref="L188">INDEX({"UPI","Credit Card","Debit Card","Cash","Net Banking"},MOD(ROW()-2,5)+1)</f>
        <v>Credit Card</v>
      </c>
      <c r="M188" s="10" t="str" cm="1">
        <f t="array" ref="M188">INDEX({"Retail","Corporate","Education","Small Business"},MOD(ROW()-2,4)+1)</f>
        <v>Education</v>
      </c>
    </row>
    <row r="189" spans="1:13" x14ac:dyDescent="0.3">
      <c r="A189" s="5" t="str">
        <f t="shared" si="26"/>
        <v>CUST0188</v>
      </c>
      <c r="B189" s="6" t="str" cm="1">
        <f t="array" ref="B189">INDEX({"Aarav","Vivaan","Aditya","Arjun","Kabir","Rohan","Ananya","Diya","Ishita","Meera","Riya","Pooja","Neha","Kavya","Aisha","Priya","Rahul","Karan","Vikram","Sahil"},MOD(ROW()-2,20)+1)&amp;" "&amp;INDEX({"Shah","Patel","Mehta","Desai","Joshi","Gupta","Verma","Sharma","Trivedi","Rana","Mishra","Kapoor","Iyer","Nair","Singh"},MOD(INT((ROW()-2)/20),15)+1)</f>
        <v>Diya Rana</v>
      </c>
      <c r="C189" s="6" t="str" cm="1">
        <f t="array" ref="C189">INDEX({"North","South","East","West","Central"},MOD(ROW()-2,5)+1)</f>
        <v>East</v>
      </c>
      <c r="D189" s="6" t="str" cm="1">
        <f t="array" ref="D189">INDEX({"Electronics","Clothing","Furniture","Books","Office Supplies"},MOD(ROW()-2,5)+1)</f>
        <v>Furniture</v>
      </c>
      <c r="E189" s="6">
        <f t="shared" si="33"/>
        <v>26119</v>
      </c>
      <c r="F189" s="6">
        <f t="shared" si="35"/>
        <v>1</v>
      </c>
      <c r="G189" s="7">
        <f t="shared" si="32"/>
        <v>0.08</v>
      </c>
      <c r="H189" s="8">
        <f t="shared" si="34"/>
        <v>45845</v>
      </c>
      <c r="I189" s="9">
        <f t="shared" si="28"/>
        <v>24029.48</v>
      </c>
      <c r="J189" s="6">
        <f t="shared" si="29"/>
        <v>5286.49</v>
      </c>
      <c r="K189" s="6" t="str" cm="1">
        <f t="array" ref="K189">INDEX({"Amit","Neha","Riya","Karan","Pooja","Rahul","Meera","Vikram"},MOD(ROW()-2,8)+1)</f>
        <v>Karan</v>
      </c>
      <c r="L189" s="6" t="str" cm="1">
        <f t="array" ref="L189">INDEX({"UPI","Credit Card","Debit Card","Cash","Net Banking"},MOD(ROW()-2,5)+1)</f>
        <v>Debit Card</v>
      </c>
      <c r="M189" s="10" t="str" cm="1">
        <f t="array" ref="M189">INDEX({"Retail","Corporate","Education","Small Business"},MOD(ROW()-2,4)+1)</f>
        <v>Small Business</v>
      </c>
    </row>
    <row r="190" spans="1:13" x14ac:dyDescent="0.3">
      <c r="A190" s="5" t="str">
        <f t="shared" si="26"/>
        <v>CUST0189</v>
      </c>
      <c r="B190" s="6" t="s">
        <v>4</v>
      </c>
      <c r="C190" s="6" t="str" cm="1">
        <f t="array" ref="C190">INDEX({"North","South","East","West","Central"},MOD(ROW()-2,5)+1)</f>
        <v>West</v>
      </c>
      <c r="D190" s="6" t="str" cm="1">
        <f t="array" ref="D190">INDEX({"Electronics","Clothing","Furniture","Books","Office Supplies"},MOD(ROW()-2,5)+1)</f>
        <v>Books</v>
      </c>
      <c r="E190" s="6">
        <f t="shared" si="33"/>
        <v>26256</v>
      </c>
      <c r="F190" s="6">
        <f t="shared" si="35"/>
        <v>8</v>
      </c>
      <c r="G190" s="7">
        <f t="shared" si="32"/>
        <v>0.1</v>
      </c>
      <c r="H190" s="8">
        <f t="shared" si="34"/>
        <v>45846</v>
      </c>
      <c r="I190" s="9">
        <f t="shared" si="28"/>
        <v>189043.20000000001</v>
      </c>
      <c r="J190" s="6">
        <f t="shared" si="29"/>
        <v>45370.37</v>
      </c>
      <c r="K190" s="6" t="str" cm="1">
        <f t="array" ref="K190">INDEX({"Amit","Neha","Riya","Karan","Pooja","Rahul","Meera","Vikram"},MOD(ROW()-2,8)+1)</f>
        <v>Pooja</v>
      </c>
      <c r="L190" s="6" t="str" cm="1">
        <f t="array" ref="L190">INDEX({"UPI","Credit Card","Debit Card","Cash","Net Banking"},MOD(ROW()-2,5)+1)</f>
        <v>Cash</v>
      </c>
      <c r="M190" s="10" t="str" cm="1">
        <f t="array" ref="M190">INDEX({"Retail","Corporate","Education","Small Business"},MOD(ROW()-2,4)+1)</f>
        <v>Retail</v>
      </c>
    </row>
    <row r="191" spans="1:13" x14ac:dyDescent="0.3">
      <c r="A191" s="5" t="str">
        <f t="shared" si="26"/>
        <v>CUST0190</v>
      </c>
      <c r="B191" s="6" t="str" cm="1">
        <f t="array" ref="B191">INDEX({"Aarav","Vivaan","Aditya","Arjun","Kabir","Rohan","Ananya","Diya","Ishita","Meera","Riya","Pooja","Neha","Kavya","Aisha","Priya","Rahul","Karan","Vikram","Sahil"},MOD(ROW()-2,20)+1)&amp;" "&amp;INDEX({"Shah","Patel","Mehta","Desai","Joshi","Gupta","Verma","Sharma","Trivedi","Rana","Mishra","Kapoor","Iyer","Nair","Singh"},MOD(INT((ROW()-2)/20),15)+1)</f>
        <v>Meera Rana</v>
      </c>
      <c r="C191" s="6" t="str" cm="1">
        <f t="array" ref="C191">INDEX({"North","South","East","West","Central"},MOD(ROW()-2,5)+1)</f>
        <v>Central</v>
      </c>
      <c r="D191" s="6" t="str" cm="1">
        <f t="array" ref="D191">INDEX({"Electronics","Clothing","Furniture","Books","Office Supplies"},MOD(ROW()-2,5)+1)</f>
        <v>Office Supplies</v>
      </c>
      <c r="E191" s="6">
        <f t="shared" si="33"/>
        <v>26393</v>
      </c>
      <c r="F191" s="6">
        <f t="shared" si="35"/>
        <v>4</v>
      </c>
      <c r="G191" s="7">
        <f t="shared" si="32"/>
        <v>0.12</v>
      </c>
      <c r="H191" s="8">
        <v>45877</v>
      </c>
      <c r="I191" s="9">
        <f t="shared" si="28"/>
        <v>92903.360000000001</v>
      </c>
      <c r="J191" s="6">
        <f t="shared" si="29"/>
        <v>24154.87</v>
      </c>
      <c r="K191" s="6" t="str" cm="1">
        <f t="array" ref="K191">INDEX({"Amit","Neha","Riya","Karan","Pooja","Rahul","Meera","Vikram"},MOD(ROW()-2,8)+1)</f>
        <v>Rahul</v>
      </c>
      <c r="L191" s="6" t="str" cm="1">
        <f t="array" ref="L191">INDEX({"UPI","Credit Card","Debit Card","Cash","Net Banking"},MOD(ROW()-2,5)+1)</f>
        <v>Net Banking</v>
      </c>
      <c r="M191" s="10" t="str" cm="1">
        <f t="array" ref="M191">INDEX({"Retail","Corporate","Education","Small Business"},MOD(ROW()-2,4)+1)</f>
        <v>Corporate</v>
      </c>
    </row>
    <row r="192" spans="1:13" x14ac:dyDescent="0.3">
      <c r="A192" s="5" t="str">
        <f t="shared" si="26"/>
        <v>CUST0191</v>
      </c>
      <c r="B192" s="6" t="str" cm="1">
        <f t="array" ref="B192">INDEX({"Aarav","Vivaan","Aditya","Arjun","Kabir","Rohan","Ananya","Diya","Ishita","Meera","Riya","Pooja","Neha","Kavya","Aisha","Priya","Rahul","Karan","Vikram","Sahil"},MOD(ROW()-2,20)+1)&amp;" "&amp;INDEX({"Shah","Patel","Mehta","Desai","Joshi","Gupta","Verma","Sharma","Trivedi","Rana","Mishra","Kapoor","Iyer","Nair","Singh"},MOD(INT((ROW()-2)/20),15)+1)</f>
        <v>Riya Rana</v>
      </c>
      <c r="C192" s="6" t="str" cm="1">
        <f t="array" ref="C192">INDEX({"North","South","East","West","Central"},MOD(ROW()-2,5)+1)</f>
        <v>North</v>
      </c>
      <c r="D192" s="6" t="str" cm="1">
        <f t="array" ref="D192">INDEX({"Electronics","Clothing","Furniture","Books","Office Supplies"},MOD(ROW()-2,5)+1)</f>
        <v>Electronics</v>
      </c>
      <c r="E192" s="6">
        <f t="shared" si="33"/>
        <v>26530</v>
      </c>
      <c r="F192" s="6">
        <f t="shared" si="35"/>
        <v>11</v>
      </c>
      <c r="G192" s="7">
        <f t="shared" si="32"/>
        <v>0.15</v>
      </c>
      <c r="H192" s="8">
        <f t="shared" ref="H192:H224" si="36">DATE(2025,1,1)+MOD(ROW()-2,365)</f>
        <v>45848</v>
      </c>
      <c r="I192" s="9">
        <f t="shared" si="28"/>
        <v>248055.5</v>
      </c>
      <c r="J192" s="6">
        <f t="shared" si="29"/>
        <v>69455.539999999994</v>
      </c>
      <c r="K192" s="6" t="str" cm="1">
        <f t="array" ref="K192">INDEX({"Amit","Neha","Riya","Karan","Pooja","Rahul","Meera","Vikram"},MOD(ROW()-2,8)+1)</f>
        <v>Meera</v>
      </c>
      <c r="L192" s="6" t="str" cm="1">
        <f t="array" ref="L192">INDEX({"UPI","Credit Card","Debit Card","Cash","Net Banking"},MOD(ROW()-2,5)+1)</f>
        <v>UPI</v>
      </c>
      <c r="M192" s="10" t="str" cm="1">
        <f t="array" ref="M192">INDEX({"Retail","Corporate","Education","Small Business"},MOD(ROW()-2,4)+1)</f>
        <v>Education</v>
      </c>
    </row>
    <row r="193" spans="1:13" x14ac:dyDescent="0.3">
      <c r="A193" s="5" t="str">
        <f t="shared" si="26"/>
        <v>CUST0192</v>
      </c>
      <c r="B193" s="6" t="str" cm="1">
        <f t="array" ref="B193">INDEX({"Aarav","Vivaan","Aditya","Arjun","Kabir","Rohan","Ananya","Diya","Ishita","Meera","Riya","Pooja","Neha","Kavya","Aisha","Priya","Rahul","Karan","Vikram","Sahil"},MOD(ROW()-2,20)+1)&amp;" "&amp;INDEX({"Shah","Patel","Mehta","Desai","Joshi","Gupta","Verma","Sharma","Trivedi","Rana","Mishra","Kapoor","Iyer","Nair","Singh"},MOD(INT((ROW()-2)/20),15)+1)</f>
        <v>Pooja Rana</v>
      </c>
      <c r="C193" s="6" t="str" cm="1">
        <f t="array" ref="C193">INDEX({"North","South","East","West","Central"},MOD(ROW()-2,5)+1)</f>
        <v>South</v>
      </c>
      <c r="D193" s="6" t="str" cm="1">
        <f t="array" ref="D193">INDEX({"Electronics","Clothing","Furniture","Books","Office Supplies"},MOD(ROW()-2,5)+1)</f>
        <v>Clothing</v>
      </c>
      <c r="E193" s="6">
        <f t="shared" si="33"/>
        <v>26667</v>
      </c>
      <c r="F193" s="6">
        <f t="shared" si="35"/>
        <v>7</v>
      </c>
      <c r="G193" s="7">
        <v>0.12</v>
      </c>
      <c r="H193" s="8">
        <f t="shared" si="36"/>
        <v>45849</v>
      </c>
      <c r="I193" s="9">
        <f t="shared" si="28"/>
        <v>164268.72</v>
      </c>
      <c r="J193" s="6">
        <f t="shared" si="29"/>
        <v>49280.62</v>
      </c>
      <c r="K193" s="6" t="str" cm="1">
        <f t="array" ref="K193">INDEX({"Amit","Neha","Riya","Karan","Pooja","Rahul","Meera","Vikram"},MOD(ROW()-2,8)+1)</f>
        <v>Vikram</v>
      </c>
      <c r="L193" s="6" t="str" cm="1">
        <f t="array" ref="L193">INDEX({"UPI","Credit Card","Debit Card","Cash","Net Banking"},MOD(ROW()-2,5)+1)</f>
        <v>Credit Card</v>
      </c>
      <c r="M193" s="10" t="str" cm="1">
        <f t="array" ref="M193">INDEX({"Retail","Corporate","Education","Small Business"},MOD(ROW()-2,4)+1)</f>
        <v>Small Business</v>
      </c>
    </row>
    <row r="194" spans="1:13" x14ac:dyDescent="0.3">
      <c r="A194" s="5" t="str">
        <f t="shared" ref="A194:A224" si="37">"CUST"&amp;TEXT(ROW()-1,"0000")</f>
        <v>CUST0193</v>
      </c>
      <c r="B194" s="6" t="str" cm="1">
        <f t="array" ref="B194">INDEX({"Aarav","Vivaan","Aditya","Arjun","Kabir","Rohan","Ananya","Diya","Ishita","Meera","Riya","Pooja","Neha","Kavya","Aisha","Priya","Rahul","Karan","Vikram","Sahil"},MOD(ROW()-2,20)+1)&amp;" "&amp;INDEX({"Shah","Patel","Mehta","Desai","Joshi","Gupta","Verma","Sharma","Trivedi","Rana","Mishra","Kapoor","Iyer","Nair","Singh"},MOD(INT((ROW()-2)/20),15)+1)</f>
        <v>Neha Rana</v>
      </c>
      <c r="C194" s="6" t="str" cm="1">
        <f t="array" ref="C194">INDEX({"North","South","East","West","Central"},MOD(ROW()-2,5)+1)</f>
        <v>East</v>
      </c>
      <c r="D194" s="6" t="str" cm="1">
        <f t="array" ref="D194">INDEX({"Electronics","Clothing","Furniture","Books","Office Supplies"},MOD(ROW()-2,5)+1)</f>
        <v>Furniture</v>
      </c>
      <c r="E194" s="6">
        <v>30914</v>
      </c>
      <c r="F194" s="6">
        <f t="shared" si="35"/>
        <v>3</v>
      </c>
      <c r="G194" s="7">
        <f t="shared" ref="G194:G224" si="38">CHOOSE(MOD(ROW()-2,8)+1,0,0.02,0.05,0.08,0.1,0.12,0.15,0.2)</f>
        <v>0</v>
      </c>
      <c r="H194" s="8">
        <f t="shared" si="36"/>
        <v>45850</v>
      </c>
      <c r="I194" s="9">
        <f t="shared" ref="I194:I224" si="39">ROUND(E194*F194*(1-G194),2)</f>
        <v>92742</v>
      </c>
      <c r="J194" s="6">
        <f t="shared" ref="J194:J257" si="40">ROUND(I194*(0.08+MOD(ROW()-2,12)*0.02),2)</f>
        <v>7419.36</v>
      </c>
      <c r="K194" s="6" t="str" cm="1">
        <f t="array" ref="K194">INDEX({"Amit","Neha","Riya","Karan","Pooja","Rahul","Meera","Vikram"},MOD(ROW()-2,8)+1)</f>
        <v>Amit</v>
      </c>
      <c r="L194" s="6" t="str" cm="1">
        <f t="array" ref="L194">INDEX({"UPI","Credit Card","Debit Card","Cash","Net Banking"},MOD(ROW()-2,5)+1)</f>
        <v>Debit Card</v>
      </c>
      <c r="M194" s="10" t="str" cm="1">
        <f t="array" ref="M194">INDEX({"Retail","Corporate","Education","Small Business"},MOD(ROW()-2,4)+1)</f>
        <v>Retail</v>
      </c>
    </row>
    <row r="195" spans="1:13" x14ac:dyDescent="0.3">
      <c r="A195" s="5" t="str">
        <f t="shared" si="37"/>
        <v>CUST0194</v>
      </c>
      <c r="B195" s="6" t="str" cm="1">
        <f t="array" ref="B195">INDEX({"Aarav","Vivaan","Aditya","Arjun","Kabir","Rohan","Ananya","Diya","Ishita","Meera","Riya","Pooja","Neha","Kavya","Aisha","Priya","Rahul","Karan","Vikram","Sahil"},MOD(ROW()-2,20)+1)&amp;" "&amp;INDEX({"Shah","Patel","Mehta","Desai","Joshi","Gupta","Verma","Sharma","Trivedi","Rana","Mishra","Kapoor","Iyer","Nair","Singh"},MOD(INT((ROW()-2)/20),15)+1)</f>
        <v>Kavya Rana</v>
      </c>
      <c r="C195" s="6" t="str" cm="1">
        <f t="array" ref="C195">INDEX({"North","South","East","West","Central"},MOD(ROW()-2,5)+1)</f>
        <v>West</v>
      </c>
      <c r="D195" s="6" t="str" cm="1">
        <f t="array" ref="D195">INDEX({"Electronics","Clothing","Furniture","Books","Office Supplies"},MOD(ROW()-2,5)+1)</f>
        <v>Books</v>
      </c>
      <c r="E195" s="6">
        <f t="shared" ref="E195:E224" si="41">ROUND(500+MOD((ROW()-2)*137,44500),2)</f>
        <v>26941</v>
      </c>
      <c r="F195" s="6">
        <f t="shared" si="35"/>
        <v>10</v>
      </c>
      <c r="G195" s="7">
        <f t="shared" si="38"/>
        <v>0.02</v>
      </c>
      <c r="H195" s="8">
        <f t="shared" si="36"/>
        <v>45851</v>
      </c>
      <c r="I195" s="9">
        <f t="shared" si="39"/>
        <v>264021.8</v>
      </c>
      <c r="J195" s="6">
        <f t="shared" si="40"/>
        <v>26402.18</v>
      </c>
      <c r="K195" s="6" t="str" cm="1">
        <f t="array" ref="K195">INDEX({"Amit","Neha","Riya","Karan","Pooja","Rahul","Meera","Vikram"},MOD(ROW()-2,8)+1)</f>
        <v>Neha</v>
      </c>
      <c r="L195" s="6" t="str" cm="1">
        <f t="array" ref="L195">INDEX({"UPI","Credit Card","Debit Card","Cash","Net Banking"},MOD(ROW()-2,5)+1)</f>
        <v>Cash</v>
      </c>
      <c r="M195" s="10" t="str" cm="1">
        <f t="array" ref="M195">INDEX({"Retail","Corporate","Education","Small Business"},MOD(ROW()-2,4)+1)</f>
        <v>Corporate</v>
      </c>
    </row>
    <row r="196" spans="1:13" x14ac:dyDescent="0.3">
      <c r="A196" s="5" t="str">
        <f t="shared" si="37"/>
        <v>CUST0195</v>
      </c>
      <c r="B196" s="6" t="str" cm="1">
        <f t="array" ref="B196">INDEX({"Aarav","Vivaan","Aditya","Arjun","Kabir","Rohan","Ananya","Diya","Ishita","Meera","Riya","Pooja","Neha","Kavya","Aisha","Priya","Rahul","Karan","Vikram","Sahil"},MOD(ROW()-2,20)+1)&amp;" "&amp;INDEX({"Shah","Patel","Mehta","Desai","Joshi","Gupta","Verma","Sharma","Trivedi","Rana","Mishra","Kapoor","Iyer","Nair","Singh"},MOD(INT((ROW()-2)/20),15)+1)</f>
        <v>Aisha Rana</v>
      </c>
      <c r="C196" s="6" t="str" cm="1">
        <f t="array" ref="C196">INDEX({"North","South","East","West","Central"},MOD(ROW()-2,5)+1)</f>
        <v>Central</v>
      </c>
      <c r="D196" s="6" t="str" cm="1">
        <f t="array" ref="D196">INDEX({"Electronics","Clothing","Furniture","Books","Office Supplies"},MOD(ROW()-2,5)+1)</f>
        <v>Office Supplies</v>
      </c>
      <c r="E196" s="6">
        <f t="shared" si="41"/>
        <v>27078</v>
      </c>
      <c r="F196" s="6">
        <v>7</v>
      </c>
      <c r="G196" s="7">
        <f t="shared" si="38"/>
        <v>0.05</v>
      </c>
      <c r="H196" s="8">
        <f t="shared" si="36"/>
        <v>45852</v>
      </c>
      <c r="I196" s="9">
        <f t="shared" si="39"/>
        <v>180068.7</v>
      </c>
      <c r="J196" s="6">
        <f t="shared" si="40"/>
        <v>21608.240000000002</v>
      </c>
      <c r="K196" s="6" t="str" cm="1">
        <f t="array" ref="K196">INDEX({"Amit","Neha","Riya","Karan","Pooja","Rahul","Meera","Vikram"},MOD(ROW()-2,8)+1)</f>
        <v>Riya</v>
      </c>
      <c r="L196" s="6" t="str" cm="1">
        <f t="array" ref="L196">INDEX({"UPI","Credit Card","Debit Card","Cash","Net Banking"},MOD(ROW()-2,5)+1)</f>
        <v>Net Banking</v>
      </c>
      <c r="M196" s="10" t="str" cm="1">
        <f t="array" ref="M196">INDEX({"Retail","Corporate","Education","Small Business"},MOD(ROW()-2,4)+1)</f>
        <v>Education</v>
      </c>
    </row>
    <row r="197" spans="1:13" x14ac:dyDescent="0.3">
      <c r="A197" s="5" t="str">
        <f t="shared" si="37"/>
        <v>CUST0196</v>
      </c>
      <c r="B197" s="6" t="str" cm="1">
        <f t="array" ref="B197">INDEX({"Aarav","Vivaan","Aditya","Arjun","Kabir","Rohan","Ananya","Diya","Ishita","Meera","Riya","Pooja","Neha","Kavya","Aisha","Priya","Rahul","Karan","Vikram","Sahil"},MOD(ROW()-2,20)+1)&amp;" "&amp;INDEX({"Shah","Patel","Mehta","Desai","Joshi","Gupta","Verma","Sharma","Trivedi","Rana","Mishra","Kapoor","Iyer","Nair","Singh"},MOD(INT((ROW()-2)/20),15)+1)</f>
        <v>Priya Rana</v>
      </c>
      <c r="C197" s="6" t="str" cm="1">
        <f t="array" ref="C197">INDEX({"North","South","East","West","Central"},MOD(ROW()-2,5)+1)</f>
        <v>North</v>
      </c>
      <c r="D197" s="6" t="str" cm="1">
        <f t="array" ref="D197">INDEX({"Electronics","Clothing","Furniture","Books","Office Supplies"},MOD(ROW()-2,5)+1)</f>
        <v>Electronics</v>
      </c>
      <c r="E197" s="6">
        <f t="shared" si="41"/>
        <v>27215</v>
      </c>
      <c r="F197" s="6">
        <f t="shared" ref="F197:F224" si="42">MOD((ROW()-2)*7,11)+1</f>
        <v>2</v>
      </c>
      <c r="G197" s="7">
        <f t="shared" si="38"/>
        <v>0.08</v>
      </c>
      <c r="H197" s="8">
        <f t="shared" si="36"/>
        <v>45853</v>
      </c>
      <c r="I197" s="9">
        <f t="shared" si="39"/>
        <v>50075.6</v>
      </c>
      <c r="J197" s="6">
        <f t="shared" si="40"/>
        <v>7010.58</v>
      </c>
      <c r="K197" s="6" t="str" cm="1">
        <f t="array" ref="K197">INDEX({"Amit","Neha","Riya","Karan","Pooja","Rahul","Meera","Vikram"},MOD(ROW()-2,8)+1)</f>
        <v>Karan</v>
      </c>
      <c r="L197" s="6" t="str" cm="1">
        <f t="array" ref="L197">INDEX({"UPI","Credit Card","Debit Card","Cash","Net Banking"},MOD(ROW()-2,5)+1)</f>
        <v>UPI</v>
      </c>
      <c r="M197" s="10" t="str" cm="1">
        <f t="array" ref="M197">INDEX({"Retail","Corporate","Education","Small Business"},MOD(ROW()-2,4)+1)</f>
        <v>Small Business</v>
      </c>
    </row>
    <row r="198" spans="1:13" x14ac:dyDescent="0.3">
      <c r="A198" s="5" t="str">
        <f t="shared" si="37"/>
        <v>CUST0197</v>
      </c>
      <c r="B198" s="6" t="str" cm="1">
        <f t="array" ref="B198">INDEX({"Aarav","Vivaan","Aditya","Arjun","Kabir","Rohan","Ananya","Diya","Ishita","Meera","Riya","Pooja","Neha","Kavya","Aisha","Priya","Rahul","Karan","Vikram","Sahil"},MOD(ROW()-2,20)+1)&amp;" "&amp;INDEX({"Shah","Patel","Mehta","Desai","Joshi","Gupta","Verma","Sharma","Trivedi","Rana","Mishra","Kapoor","Iyer","Nair","Singh"},MOD(INT((ROW()-2)/20),15)+1)</f>
        <v>Rahul Rana</v>
      </c>
      <c r="C198" s="6" t="str" cm="1">
        <f t="array" ref="C198">INDEX({"North","South","East","West","Central"},MOD(ROW()-2,5)+1)</f>
        <v>South</v>
      </c>
      <c r="D198" s="6" t="str" cm="1">
        <f t="array" ref="D198">INDEX({"Electronics","Clothing","Furniture","Books","Office Supplies"},MOD(ROW()-2,5)+1)</f>
        <v>Clothing</v>
      </c>
      <c r="E198" s="6">
        <f t="shared" si="41"/>
        <v>27352</v>
      </c>
      <c r="F198" s="6">
        <f t="shared" si="42"/>
        <v>9</v>
      </c>
      <c r="G198" s="7">
        <f t="shared" si="38"/>
        <v>0.1</v>
      </c>
      <c r="H198" s="8">
        <f t="shared" si="36"/>
        <v>45854</v>
      </c>
      <c r="I198" s="9">
        <f t="shared" si="39"/>
        <v>221551.2</v>
      </c>
      <c r="J198" s="6">
        <f t="shared" si="40"/>
        <v>35448.19</v>
      </c>
      <c r="K198" s="6" t="str" cm="1">
        <f t="array" ref="K198">INDEX({"Amit","Neha","Riya","Karan","Pooja","Rahul","Meera","Vikram"},MOD(ROW()-2,8)+1)</f>
        <v>Pooja</v>
      </c>
      <c r="L198" s="6" t="str" cm="1">
        <f t="array" ref="L198">INDEX({"UPI","Credit Card","Debit Card","Cash","Net Banking"},MOD(ROW()-2,5)+1)</f>
        <v>Credit Card</v>
      </c>
      <c r="M198" s="10" t="str" cm="1">
        <f t="array" ref="M198">INDEX({"Retail","Corporate","Education","Small Business"},MOD(ROW()-2,4)+1)</f>
        <v>Retail</v>
      </c>
    </row>
    <row r="199" spans="1:13" x14ac:dyDescent="0.3">
      <c r="A199" s="5" t="str">
        <f t="shared" si="37"/>
        <v>CUST0198</v>
      </c>
      <c r="B199" s="6" t="str" cm="1">
        <f t="array" ref="B199">INDEX({"Aarav","Vivaan","Aditya","Arjun","Kabir","Rohan","Ananya","Diya","Ishita","Meera","Riya","Pooja","Neha","Kavya","Aisha","Priya","Rahul","Karan","Vikram","Sahil"},MOD(ROW()-2,20)+1)&amp;" "&amp;INDEX({"Shah","Patel","Mehta","Desai","Joshi","Gupta","Verma","Sharma","Trivedi","Rana","Mishra","Kapoor","Iyer","Nair","Singh"},MOD(INT((ROW()-2)/20),15)+1)</f>
        <v>Karan Rana</v>
      </c>
      <c r="C199" s="6" t="str" cm="1">
        <f t="array" ref="C199">INDEX({"North","South","East","West","Central"},MOD(ROW()-2,5)+1)</f>
        <v>East</v>
      </c>
      <c r="D199" s="6" t="str" cm="1">
        <f t="array" ref="D199">INDEX({"Electronics","Clothing","Furniture","Books","Office Supplies"},MOD(ROW()-2,5)+1)</f>
        <v>Furniture</v>
      </c>
      <c r="E199" s="6">
        <f t="shared" si="41"/>
        <v>27489</v>
      </c>
      <c r="F199" s="6">
        <f t="shared" si="42"/>
        <v>5</v>
      </c>
      <c r="G199" s="7">
        <f t="shared" si="38"/>
        <v>0.12</v>
      </c>
      <c r="H199" s="8">
        <f t="shared" si="36"/>
        <v>45855</v>
      </c>
      <c r="I199" s="9">
        <f t="shared" si="39"/>
        <v>120951.6</v>
      </c>
      <c r="J199" s="6">
        <f t="shared" si="40"/>
        <v>21771.29</v>
      </c>
      <c r="K199" s="6" t="str" cm="1">
        <f t="array" ref="K199">INDEX({"Amit","Neha","Riya","Karan","Pooja","Rahul","Meera","Vikram"},MOD(ROW()-2,8)+1)</f>
        <v>Rahul</v>
      </c>
      <c r="L199" s="6" t="str" cm="1">
        <f t="array" ref="L199">INDEX({"UPI","Credit Card","Debit Card","Cash","Net Banking"},MOD(ROW()-2,5)+1)</f>
        <v>Debit Card</v>
      </c>
      <c r="M199" s="10" t="str" cm="1">
        <f t="array" ref="M199">INDEX({"Retail","Corporate","Education","Small Business"},MOD(ROW()-2,4)+1)</f>
        <v>Corporate</v>
      </c>
    </row>
    <row r="200" spans="1:13" x14ac:dyDescent="0.3">
      <c r="A200" s="5" t="str">
        <f t="shared" si="37"/>
        <v>CUST0199</v>
      </c>
      <c r="B200" s="6" t="str" cm="1">
        <f t="array" ref="B200">INDEX({"Aarav","Vivaan","Aditya","Arjun","Kabir","Rohan","Ananya","Diya","Ishita","Meera","Riya","Pooja","Neha","Kavya","Aisha","Priya","Rahul","Karan","Vikram","Sahil"},MOD(ROW()-2,20)+1)&amp;" "&amp;INDEX({"Shah","Patel","Mehta","Desai","Joshi","Gupta","Verma","Sharma","Trivedi","Rana","Mishra","Kapoor","Iyer","Nair","Singh"},MOD(INT((ROW()-2)/20),15)+1)</f>
        <v>Vikram Rana</v>
      </c>
      <c r="C200" s="6" t="str" cm="1">
        <f t="array" ref="C200">INDEX({"North","South","East","West","Central"},MOD(ROW()-2,5)+1)</f>
        <v>West</v>
      </c>
      <c r="D200" s="6" t="str" cm="1">
        <f t="array" ref="D200">INDEX({"Electronics","Clothing","Furniture","Books","Office Supplies"},MOD(ROW()-2,5)+1)</f>
        <v>Books</v>
      </c>
      <c r="E200" s="6">
        <f t="shared" si="41"/>
        <v>27626</v>
      </c>
      <c r="F200" s="6">
        <f t="shared" si="42"/>
        <v>1</v>
      </c>
      <c r="G200" s="7">
        <f t="shared" si="38"/>
        <v>0.15</v>
      </c>
      <c r="H200" s="8">
        <f t="shared" si="36"/>
        <v>45856</v>
      </c>
      <c r="I200" s="9">
        <f t="shared" si="39"/>
        <v>23482.1</v>
      </c>
      <c r="J200" s="6">
        <f t="shared" si="40"/>
        <v>4696.42</v>
      </c>
      <c r="K200" s="6" t="str" cm="1">
        <f t="array" ref="K200">INDEX({"Amit","Neha","Riya","Karan","Pooja","Rahul","Meera","Vikram"},MOD(ROW()-2,8)+1)</f>
        <v>Meera</v>
      </c>
      <c r="L200" s="6" t="str" cm="1">
        <f t="array" ref="L200">INDEX({"UPI","Credit Card","Debit Card","Cash","Net Banking"},MOD(ROW()-2,5)+1)</f>
        <v>Cash</v>
      </c>
      <c r="M200" s="10" t="str" cm="1">
        <f t="array" ref="M200">INDEX({"Retail","Corporate","Education","Small Business"},MOD(ROW()-2,4)+1)</f>
        <v>Education</v>
      </c>
    </row>
    <row r="201" spans="1:13" x14ac:dyDescent="0.3">
      <c r="A201" s="5" t="str">
        <f t="shared" si="37"/>
        <v>CUST0200</v>
      </c>
      <c r="B201" s="6" t="str" cm="1">
        <f t="array" ref="B201">INDEX({"Aarav","Vivaan","Aditya","Arjun","Kabir","Rohan","Ananya","Diya","Ishita","Meera","Riya","Pooja","Neha","Kavya","Aisha","Priya","Rahul","Karan","Vikram","Sahil"},MOD(ROW()-2,20)+1)&amp;" "&amp;INDEX({"Shah","Patel","Mehta","Desai","Joshi","Gupta","Verma","Sharma","Trivedi","Rana","Mishra","Kapoor","Iyer","Nair","Singh"},MOD(INT((ROW()-2)/20),15)+1)</f>
        <v>Sahil Rana</v>
      </c>
      <c r="C201" s="6" t="str" cm="1">
        <f t="array" ref="C201">INDEX({"North","South","East","West","Central"},MOD(ROW()-2,5)+1)</f>
        <v>Central</v>
      </c>
      <c r="D201" s="6" t="str" cm="1">
        <f t="array" ref="D201">INDEX({"Electronics","Clothing","Furniture","Books","Office Supplies"},MOD(ROW()-2,5)+1)</f>
        <v>Office Supplies</v>
      </c>
      <c r="E201" s="6">
        <f t="shared" si="41"/>
        <v>27763</v>
      </c>
      <c r="F201" s="6">
        <f t="shared" si="42"/>
        <v>8</v>
      </c>
      <c r="G201" s="7">
        <f t="shared" si="38"/>
        <v>0.2</v>
      </c>
      <c r="H201" s="8">
        <f t="shared" si="36"/>
        <v>45857</v>
      </c>
      <c r="I201" s="9">
        <f t="shared" si="39"/>
        <v>177683.20000000001</v>
      </c>
      <c r="J201" s="6">
        <f t="shared" si="40"/>
        <v>39090.300000000003</v>
      </c>
      <c r="K201" s="6" t="str" cm="1">
        <f t="array" ref="K201">INDEX({"Amit","Neha","Riya","Karan","Pooja","Rahul","Meera","Vikram"},MOD(ROW()-2,8)+1)</f>
        <v>Vikram</v>
      </c>
      <c r="L201" s="6" t="str" cm="1">
        <f t="array" ref="L201">INDEX({"UPI","Credit Card","Debit Card","Cash","Net Banking"},MOD(ROW()-2,5)+1)</f>
        <v>Net Banking</v>
      </c>
      <c r="M201" s="10" t="str" cm="1">
        <f t="array" ref="M201">INDEX({"Retail","Corporate","Education","Small Business"},MOD(ROW()-2,4)+1)</f>
        <v>Small Business</v>
      </c>
    </row>
    <row r="202" spans="1:13" x14ac:dyDescent="0.3">
      <c r="A202" s="5" t="str">
        <f t="shared" si="37"/>
        <v>CUST0201</v>
      </c>
      <c r="B202" s="6" t="str" cm="1">
        <f t="array" ref="B202">INDEX({"Aarav","Vivaan","Aditya","Arjun","Kabir","Rohan","Ananya","Diya","Ishita","Meera","Riya","Pooja","Neha","Kavya","Aisha","Priya","Rahul","Karan","Vikram","Sahil"},MOD(ROW()-2,20)+1)&amp;" "&amp;INDEX({"Shah","Patel","Mehta","Desai","Joshi","Gupta","Verma","Sharma","Trivedi","Rana","Mishra","Kapoor","Iyer","Nair","Singh"},MOD(INT((ROW()-2)/20),15)+1)</f>
        <v>Aarav Mishra</v>
      </c>
      <c r="C202" s="6" t="str" cm="1">
        <f t="array" ref="C202">INDEX({"North","South","East","West","Central"},MOD(ROW()-2,5)+1)</f>
        <v>North</v>
      </c>
      <c r="D202" s="6" t="str" cm="1">
        <f t="array" ref="D202">INDEX({"Electronics","Clothing","Furniture","Books","Office Supplies"},MOD(ROW()-2,5)+1)</f>
        <v>Electronics</v>
      </c>
      <c r="E202" s="6">
        <f t="shared" si="41"/>
        <v>27900</v>
      </c>
      <c r="F202" s="6">
        <f t="shared" si="42"/>
        <v>4</v>
      </c>
      <c r="G202" s="7">
        <f t="shared" si="38"/>
        <v>0</v>
      </c>
      <c r="H202" s="8">
        <f t="shared" si="36"/>
        <v>45858</v>
      </c>
      <c r="I202" s="9">
        <f t="shared" si="39"/>
        <v>111600</v>
      </c>
      <c r="J202" s="6">
        <f t="shared" si="40"/>
        <v>26784</v>
      </c>
      <c r="K202" s="6" t="str" cm="1">
        <f t="array" ref="K202">INDEX({"Amit","Neha","Riya","Karan","Pooja","Rahul","Meera","Vikram"},MOD(ROW()-2,8)+1)</f>
        <v>Amit</v>
      </c>
      <c r="L202" s="6" t="str" cm="1">
        <f t="array" ref="L202">INDEX({"UPI","Credit Card","Debit Card","Cash","Net Banking"},MOD(ROW()-2,5)+1)</f>
        <v>UPI</v>
      </c>
      <c r="M202" s="10" t="str" cm="1">
        <f t="array" ref="M202">INDEX({"Retail","Corporate","Education","Small Business"},MOD(ROW()-2,4)+1)</f>
        <v>Retail</v>
      </c>
    </row>
    <row r="203" spans="1:13" x14ac:dyDescent="0.3">
      <c r="A203" s="5" t="str">
        <f t="shared" si="37"/>
        <v>CUST0202</v>
      </c>
      <c r="B203" s="6" t="str" cm="1">
        <f t="array" ref="B203">INDEX({"Aarav","Vivaan","Aditya","Arjun","Kabir","Rohan","Ananya","Diya","Ishita","Meera","Riya","Pooja","Neha","Kavya","Aisha","Priya","Rahul","Karan","Vikram","Sahil"},MOD(ROW()-2,20)+1)&amp;" "&amp;INDEX({"Shah","Patel","Mehta","Desai","Joshi","Gupta","Verma","Sharma","Trivedi","Rana","Mishra","Kapoor","Iyer","Nair","Singh"},MOD(INT((ROW()-2)/20),15)+1)</f>
        <v>Vivaan Mishra</v>
      </c>
      <c r="C203" s="6" t="str" cm="1">
        <f t="array" ref="C203">INDEX({"North","South","East","West","Central"},MOD(ROW()-2,5)+1)</f>
        <v>South</v>
      </c>
      <c r="D203" s="6" t="str" cm="1">
        <f t="array" ref="D203">INDEX({"Electronics","Clothing","Furniture","Books","Office Supplies"},MOD(ROW()-2,5)+1)</f>
        <v>Clothing</v>
      </c>
      <c r="E203" s="6">
        <f t="shared" si="41"/>
        <v>28037</v>
      </c>
      <c r="F203" s="6">
        <f t="shared" si="42"/>
        <v>11</v>
      </c>
      <c r="G203" s="7">
        <f t="shared" si="38"/>
        <v>0.02</v>
      </c>
      <c r="H203" s="8">
        <f t="shared" si="36"/>
        <v>45859</v>
      </c>
      <c r="I203" s="9">
        <f t="shared" si="39"/>
        <v>302238.86</v>
      </c>
      <c r="J203" s="6">
        <f t="shared" si="40"/>
        <v>78582.100000000006</v>
      </c>
      <c r="K203" s="6" t="str" cm="1">
        <f t="array" ref="K203">INDEX({"Amit","Neha","Riya","Karan","Pooja","Rahul","Meera","Vikram"},MOD(ROW()-2,8)+1)</f>
        <v>Neha</v>
      </c>
      <c r="L203" s="6" t="str" cm="1">
        <f t="array" ref="L203">INDEX({"UPI","Credit Card","Debit Card","Cash","Net Banking"},MOD(ROW()-2,5)+1)</f>
        <v>Credit Card</v>
      </c>
      <c r="M203" s="10" t="str" cm="1">
        <f t="array" ref="M203">INDEX({"Retail","Corporate","Education","Small Business"},MOD(ROW()-2,4)+1)</f>
        <v>Corporate</v>
      </c>
    </row>
    <row r="204" spans="1:13" x14ac:dyDescent="0.3">
      <c r="A204" s="5" t="str">
        <f t="shared" si="37"/>
        <v>CUST0203</v>
      </c>
      <c r="B204" s="6" t="str" cm="1">
        <f t="array" ref="B204">INDEX({"Aarav","Vivaan","Aditya","Arjun","Kabir","Rohan","Ananya","Diya","Ishita","Meera","Riya","Pooja","Neha","Kavya","Aisha","Priya","Rahul","Karan","Vikram","Sahil"},MOD(ROW()-2,20)+1)&amp;" "&amp;INDEX({"Shah","Patel","Mehta","Desai","Joshi","Gupta","Verma","Sharma","Trivedi","Rana","Mishra","Kapoor","Iyer","Nair","Singh"},MOD(INT((ROW()-2)/20),15)+1)</f>
        <v>Aditya Mishra</v>
      </c>
      <c r="C204" s="6" t="str" cm="1">
        <f t="array" ref="C204">INDEX({"North","South","East","West","Central"},MOD(ROW()-2,5)+1)</f>
        <v>East</v>
      </c>
      <c r="D204" s="6" t="str" cm="1">
        <f t="array" ref="D204">INDEX({"Electronics","Clothing","Furniture","Books","Office Supplies"},MOD(ROW()-2,5)+1)</f>
        <v>Furniture</v>
      </c>
      <c r="E204" s="6">
        <f t="shared" si="41"/>
        <v>28174</v>
      </c>
      <c r="F204" s="6">
        <f t="shared" si="42"/>
        <v>7</v>
      </c>
      <c r="G204" s="7">
        <f t="shared" si="38"/>
        <v>0.05</v>
      </c>
      <c r="H204" s="8">
        <f t="shared" si="36"/>
        <v>45860</v>
      </c>
      <c r="I204" s="9">
        <f t="shared" si="39"/>
        <v>187357.1</v>
      </c>
      <c r="J204" s="6">
        <f t="shared" si="40"/>
        <v>52459.99</v>
      </c>
      <c r="K204" s="6" t="str" cm="1">
        <f t="array" ref="K204">INDEX({"Amit","Neha","Riya","Karan","Pooja","Rahul","Meera","Vikram"},MOD(ROW()-2,8)+1)</f>
        <v>Riya</v>
      </c>
      <c r="L204" s="6" t="str" cm="1">
        <f t="array" ref="L204">INDEX({"UPI","Credit Card","Debit Card","Cash","Net Banking"},MOD(ROW()-2,5)+1)</f>
        <v>Debit Card</v>
      </c>
      <c r="M204" s="10" t="str" cm="1">
        <f t="array" ref="M204">INDEX({"Retail","Corporate","Education","Small Business"},MOD(ROW()-2,4)+1)</f>
        <v>Education</v>
      </c>
    </row>
    <row r="205" spans="1:13" x14ac:dyDescent="0.3">
      <c r="A205" s="5" t="str">
        <f t="shared" si="37"/>
        <v>CUST0204</v>
      </c>
      <c r="B205" s="6" t="str" cm="1">
        <f t="array" ref="B205">INDEX({"Aarav","Vivaan","Aditya","Arjun","Kabir","Rohan","Ananya","Diya","Ishita","Meera","Riya","Pooja","Neha","Kavya","Aisha","Priya","Rahul","Karan","Vikram","Sahil"},MOD(ROW()-2,20)+1)&amp;" "&amp;INDEX({"Shah","Patel","Mehta","Desai","Joshi","Gupta","Verma","Sharma","Trivedi","Rana","Mishra","Kapoor","Iyer","Nair","Singh"},MOD(INT((ROW()-2)/20),15)+1)</f>
        <v>Arjun Mishra</v>
      </c>
      <c r="C205" s="6" t="str" cm="1">
        <f t="array" ref="C205">INDEX({"North","South","East","West","Central"},MOD(ROW()-2,5)+1)</f>
        <v>West</v>
      </c>
      <c r="D205" s="6" t="str" cm="1">
        <f t="array" ref="D205">INDEX({"Electronics","Clothing","Furniture","Books","Office Supplies"},MOD(ROW()-2,5)+1)</f>
        <v>Books</v>
      </c>
      <c r="E205" s="6">
        <f t="shared" si="41"/>
        <v>28311</v>
      </c>
      <c r="F205" s="6">
        <f t="shared" si="42"/>
        <v>3</v>
      </c>
      <c r="G205" s="7">
        <f t="shared" si="38"/>
        <v>0.08</v>
      </c>
      <c r="H205" s="8">
        <f t="shared" si="36"/>
        <v>45861</v>
      </c>
      <c r="I205" s="9">
        <f t="shared" si="39"/>
        <v>78138.36</v>
      </c>
      <c r="J205" s="6">
        <f t="shared" si="40"/>
        <v>23441.51</v>
      </c>
      <c r="K205" s="6" t="str" cm="1">
        <f t="array" ref="K205">INDEX({"Amit","Neha","Riya","Karan","Pooja","Rahul","Meera","Vikram"},MOD(ROW()-2,8)+1)</f>
        <v>Karan</v>
      </c>
      <c r="L205" s="6" t="str" cm="1">
        <f t="array" ref="L205">INDEX({"UPI","Credit Card","Debit Card","Cash","Net Banking"},MOD(ROW()-2,5)+1)</f>
        <v>Cash</v>
      </c>
      <c r="M205" s="10" t="str" cm="1">
        <f t="array" ref="M205">INDEX({"Retail","Corporate","Education","Small Business"},MOD(ROW()-2,4)+1)</f>
        <v>Small Business</v>
      </c>
    </row>
    <row r="206" spans="1:13" x14ac:dyDescent="0.3">
      <c r="A206" s="5" t="str">
        <f t="shared" si="37"/>
        <v>CUST0205</v>
      </c>
      <c r="B206" s="6" t="str" cm="1">
        <f t="array" ref="B206">INDEX({"Aarav","Vivaan","Aditya","Arjun","Kabir","Rohan","Ananya","Diya","Ishita","Meera","Riya","Pooja","Neha","Kavya","Aisha","Priya","Rahul","Karan","Vikram","Sahil"},MOD(ROW()-2,20)+1)&amp;" "&amp;INDEX({"Shah","Patel","Mehta","Desai","Joshi","Gupta","Verma","Sharma","Trivedi","Rana","Mishra","Kapoor","Iyer","Nair","Singh"},MOD(INT((ROW()-2)/20),15)+1)</f>
        <v>Kabir Mishra</v>
      </c>
      <c r="C206" s="6" t="str" cm="1">
        <f t="array" ref="C206">INDEX({"North","South","East","West","Central"},MOD(ROW()-2,5)+1)</f>
        <v>Central</v>
      </c>
      <c r="D206" s="6" t="str" cm="1">
        <f t="array" ref="D206">INDEX({"Electronics","Clothing","Furniture","Books","Office Supplies"},MOD(ROW()-2,5)+1)</f>
        <v>Office Supplies</v>
      </c>
      <c r="E206" s="6">
        <f t="shared" si="41"/>
        <v>28448</v>
      </c>
      <c r="F206" s="6">
        <f t="shared" si="42"/>
        <v>10</v>
      </c>
      <c r="G206" s="7">
        <f t="shared" si="38"/>
        <v>0.1</v>
      </c>
      <c r="H206" s="8">
        <f t="shared" si="36"/>
        <v>45862</v>
      </c>
      <c r="I206" s="9">
        <f t="shared" si="39"/>
        <v>256032</v>
      </c>
      <c r="J206" s="6">
        <f t="shared" si="40"/>
        <v>20482.560000000001</v>
      </c>
      <c r="K206" s="6" t="str" cm="1">
        <f t="array" ref="K206">INDEX({"Amit","Neha","Riya","Karan","Pooja","Rahul","Meera","Vikram"},MOD(ROW()-2,8)+1)</f>
        <v>Pooja</v>
      </c>
      <c r="L206" s="6" t="str" cm="1">
        <f t="array" ref="L206">INDEX({"UPI","Credit Card","Debit Card","Cash","Net Banking"},MOD(ROW()-2,5)+1)</f>
        <v>Net Banking</v>
      </c>
      <c r="M206" s="10" t="str" cm="1">
        <f t="array" ref="M206">INDEX({"Retail","Corporate","Education","Small Business"},MOD(ROW()-2,4)+1)</f>
        <v>Retail</v>
      </c>
    </row>
    <row r="207" spans="1:13" x14ac:dyDescent="0.3">
      <c r="A207" s="5" t="str">
        <f t="shared" si="37"/>
        <v>CUST0206</v>
      </c>
      <c r="B207" s="6" t="str" cm="1">
        <f t="array" ref="B207">INDEX({"Aarav","Vivaan","Aditya","Arjun","Kabir","Rohan","Ananya","Diya","Ishita","Meera","Riya","Pooja","Neha","Kavya","Aisha","Priya","Rahul","Karan","Vikram","Sahil"},MOD(ROW()-2,20)+1)&amp;" "&amp;INDEX({"Shah","Patel","Mehta","Desai","Joshi","Gupta","Verma","Sharma","Trivedi","Rana","Mishra","Kapoor","Iyer","Nair","Singh"},MOD(INT((ROW()-2)/20),15)+1)</f>
        <v>Rohan Mishra</v>
      </c>
      <c r="C207" s="6" t="str" cm="1">
        <f t="array" ref="C207">INDEX({"North","South","East","West","Central"},MOD(ROW()-2,5)+1)</f>
        <v>North</v>
      </c>
      <c r="D207" s="6" t="str" cm="1">
        <f t="array" ref="D207">INDEX({"Electronics","Clothing","Furniture","Books","Office Supplies"},MOD(ROW()-2,5)+1)</f>
        <v>Electronics</v>
      </c>
      <c r="E207" s="6">
        <f t="shared" si="41"/>
        <v>28585</v>
      </c>
      <c r="F207" s="6">
        <f t="shared" si="42"/>
        <v>6</v>
      </c>
      <c r="G207" s="7">
        <f t="shared" si="38"/>
        <v>0.12</v>
      </c>
      <c r="H207" s="8">
        <f t="shared" si="36"/>
        <v>45863</v>
      </c>
      <c r="I207" s="9">
        <f t="shared" si="39"/>
        <v>150928.79999999999</v>
      </c>
      <c r="J207" s="6">
        <f t="shared" si="40"/>
        <v>15092.88</v>
      </c>
      <c r="K207" s="6" t="str" cm="1">
        <f t="array" ref="K207">INDEX({"Amit","Neha","Riya","Karan","Pooja","Rahul","Meera","Vikram"},MOD(ROW()-2,8)+1)</f>
        <v>Rahul</v>
      </c>
      <c r="L207" s="6" t="str" cm="1">
        <f t="array" ref="L207">INDEX({"UPI","Credit Card","Debit Card","Cash","Net Banking"},MOD(ROW()-2,5)+1)</f>
        <v>UPI</v>
      </c>
      <c r="M207" s="10" t="str" cm="1">
        <f t="array" ref="M207">INDEX({"Retail","Corporate","Education","Small Business"},MOD(ROW()-2,4)+1)</f>
        <v>Corporate</v>
      </c>
    </row>
    <row r="208" spans="1:13" x14ac:dyDescent="0.3">
      <c r="A208" s="5" t="str">
        <f t="shared" si="37"/>
        <v>CUST0207</v>
      </c>
      <c r="B208" s="6" t="str" cm="1">
        <f t="array" ref="B208">INDEX({"Aarav","Vivaan","Aditya","Arjun","Kabir","Rohan","Ananya","Diya","Ishita","Meera","Riya","Pooja","Neha","Kavya","Aisha","Priya","Rahul","Karan","Vikram","Sahil"},MOD(ROW()-2,20)+1)&amp;" "&amp;INDEX({"Shah","Patel","Mehta","Desai","Joshi","Gupta","Verma","Sharma","Trivedi","Rana","Mishra","Kapoor","Iyer","Nair","Singh"},MOD(INT((ROW()-2)/20),15)+1)</f>
        <v>Ananya Mishra</v>
      </c>
      <c r="C208" s="6" t="str" cm="1">
        <f t="array" ref="C208">INDEX({"North","South","East","West","Central"},MOD(ROW()-2,5)+1)</f>
        <v>South</v>
      </c>
      <c r="D208" s="6" t="str" cm="1">
        <f t="array" ref="D208">INDEX({"Electronics","Clothing","Furniture","Books","Office Supplies"},MOD(ROW()-2,5)+1)</f>
        <v>Clothing</v>
      </c>
      <c r="E208" s="6">
        <f t="shared" si="41"/>
        <v>28722</v>
      </c>
      <c r="F208" s="6">
        <f t="shared" si="42"/>
        <v>2</v>
      </c>
      <c r="G208" s="7">
        <f t="shared" si="38"/>
        <v>0.15</v>
      </c>
      <c r="H208" s="8">
        <f t="shared" si="36"/>
        <v>45864</v>
      </c>
      <c r="I208" s="9">
        <f t="shared" si="39"/>
        <v>48827.4</v>
      </c>
      <c r="J208" s="6">
        <f t="shared" si="40"/>
        <v>5859.29</v>
      </c>
      <c r="K208" s="6" t="str" cm="1">
        <f t="array" ref="K208">INDEX({"Amit","Neha","Riya","Karan","Pooja","Rahul","Meera","Vikram"},MOD(ROW()-2,8)+1)</f>
        <v>Meera</v>
      </c>
      <c r="L208" s="6" t="str" cm="1">
        <f t="array" ref="L208">INDEX({"UPI","Credit Card","Debit Card","Cash","Net Banking"},MOD(ROW()-2,5)+1)</f>
        <v>Credit Card</v>
      </c>
      <c r="M208" s="10" t="str" cm="1">
        <f t="array" ref="M208">INDEX({"Retail","Corporate","Education","Small Business"},MOD(ROW()-2,4)+1)</f>
        <v>Education</v>
      </c>
    </row>
    <row r="209" spans="1:13" x14ac:dyDescent="0.3">
      <c r="A209" s="5" t="str">
        <f t="shared" si="37"/>
        <v>CUST0208</v>
      </c>
      <c r="B209" s="6" t="str" cm="1">
        <f t="array" ref="B209">INDEX({"Aarav","Vivaan","Aditya","Arjun","Kabir","Rohan","Ananya","Diya","Ishita","Meera","Riya","Pooja","Neha","Kavya","Aisha","Priya","Rahul","Karan","Vikram","Sahil"},MOD(ROW()-2,20)+1)&amp;" "&amp;INDEX({"Shah","Patel","Mehta","Desai","Joshi","Gupta","Verma","Sharma","Trivedi","Rana","Mishra","Kapoor","Iyer","Nair","Singh"},MOD(INT((ROW()-2)/20),15)+1)</f>
        <v>Diya Mishra</v>
      </c>
      <c r="C209" s="6" t="str" cm="1">
        <f t="array" ref="C209">INDEX({"North","South","East","West","Central"},MOD(ROW()-2,5)+1)</f>
        <v>East</v>
      </c>
      <c r="D209" s="6" t="str" cm="1">
        <f t="array" ref="D209">INDEX({"Electronics","Clothing","Furniture","Books","Office Supplies"},MOD(ROW()-2,5)+1)</f>
        <v>Furniture</v>
      </c>
      <c r="E209" s="6">
        <f t="shared" si="41"/>
        <v>28859</v>
      </c>
      <c r="F209" s="6">
        <f t="shared" si="42"/>
        <v>9</v>
      </c>
      <c r="G209" s="7">
        <f t="shared" si="38"/>
        <v>0.2</v>
      </c>
      <c r="H209" s="8">
        <f t="shared" si="36"/>
        <v>45865</v>
      </c>
      <c r="I209" s="9">
        <f t="shared" si="39"/>
        <v>207784.8</v>
      </c>
      <c r="J209" s="6">
        <f t="shared" si="40"/>
        <v>29089.87</v>
      </c>
      <c r="K209" s="6" t="str" cm="1">
        <f t="array" ref="K209">INDEX({"Amit","Neha","Riya","Karan","Pooja","Rahul","Meera","Vikram"},MOD(ROW()-2,8)+1)</f>
        <v>Vikram</v>
      </c>
      <c r="L209" s="6" t="str" cm="1">
        <f t="array" ref="L209">INDEX({"UPI","Credit Card","Debit Card","Cash","Net Banking"},MOD(ROW()-2,5)+1)</f>
        <v>Debit Card</v>
      </c>
      <c r="M209" s="10" t="str" cm="1">
        <f t="array" ref="M209">INDEX({"Retail","Corporate","Education","Small Business"},MOD(ROW()-2,4)+1)</f>
        <v>Small Business</v>
      </c>
    </row>
    <row r="210" spans="1:13" x14ac:dyDescent="0.3">
      <c r="A210" s="5" t="str">
        <f t="shared" si="37"/>
        <v>CUST0209</v>
      </c>
      <c r="B210" s="6" t="str" cm="1">
        <f t="array" ref="B210">INDEX({"Aarav","Vivaan","Aditya","Arjun","Kabir","Rohan","Ananya","Diya","Ishita","Meera","Riya","Pooja","Neha","Kavya","Aisha","Priya","Rahul","Karan","Vikram","Sahil"},MOD(ROW()-2,20)+1)&amp;" "&amp;INDEX({"Shah","Patel","Mehta","Desai","Joshi","Gupta","Verma","Sharma","Trivedi","Rana","Mishra","Kapoor","Iyer","Nair","Singh"},MOD(INT((ROW()-2)/20),15)+1)</f>
        <v>Ishita Mishra</v>
      </c>
      <c r="C210" s="6" t="str" cm="1">
        <f t="array" ref="C210">INDEX({"North","South","East","West","Central"},MOD(ROW()-2,5)+1)</f>
        <v>West</v>
      </c>
      <c r="D210" s="6" t="str" cm="1">
        <f t="array" ref="D210">INDEX({"Electronics","Clothing","Furniture","Books","Office Supplies"},MOD(ROW()-2,5)+1)</f>
        <v>Books</v>
      </c>
      <c r="E210" s="6">
        <f t="shared" si="41"/>
        <v>28996</v>
      </c>
      <c r="F210" s="6">
        <f t="shared" si="42"/>
        <v>5</v>
      </c>
      <c r="G210" s="7">
        <f t="shared" si="38"/>
        <v>0</v>
      </c>
      <c r="H210" s="8">
        <f t="shared" si="36"/>
        <v>45866</v>
      </c>
      <c r="I210" s="9">
        <f t="shared" si="39"/>
        <v>144980</v>
      </c>
      <c r="J210" s="6">
        <f t="shared" si="40"/>
        <v>23196.799999999999</v>
      </c>
      <c r="K210" s="6" t="str" cm="1">
        <f t="array" ref="K210">INDEX({"Amit","Neha","Riya","Karan","Pooja","Rahul","Meera","Vikram"},MOD(ROW()-2,8)+1)</f>
        <v>Amit</v>
      </c>
      <c r="L210" s="6" t="str" cm="1">
        <f t="array" ref="L210">INDEX({"UPI","Credit Card","Debit Card","Cash","Net Banking"},MOD(ROW()-2,5)+1)</f>
        <v>Cash</v>
      </c>
      <c r="M210" s="10" t="str" cm="1">
        <f t="array" ref="M210">INDEX({"Retail","Corporate","Education","Small Business"},MOD(ROW()-2,4)+1)</f>
        <v>Retail</v>
      </c>
    </row>
    <row r="211" spans="1:13" x14ac:dyDescent="0.3">
      <c r="A211" s="5" t="str">
        <f t="shared" si="37"/>
        <v>CUST0210</v>
      </c>
      <c r="B211" s="6" t="str" cm="1">
        <f t="array" ref="B211">INDEX({"Aarav","Vivaan","Aditya","Arjun","Kabir","Rohan","Ananya","Diya","Ishita","Meera","Riya","Pooja","Neha","Kavya","Aisha","Priya","Rahul","Karan","Vikram","Sahil"},MOD(ROW()-2,20)+1)&amp;" "&amp;INDEX({"Shah","Patel","Mehta","Desai","Joshi","Gupta","Verma","Sharma","Trivedi","Rana","Mishra","Kapoor","Iyer","Nair","Singh"},MOD(INT((ROW()-2)/20),15)+1)</f>
        <v>Meera Mishra</v>
      </c>
      <c r="C211" s="6" t="str" cm="1">
        <f t="array" ref="C211">INDEX({"North","South","East","West","Central"},MOD(ROW()-2,5)+1)</f>
        <v>Central</v>
      </c>
      <c r="D211" s="6" t="str" cm="1">
        <f t="array" ref="D211">INDEX({"Electronics","Clothing","Furniture","Books","Office Supplies"},MOD(ROW()-2,5)+1)</f>
        <v>Office Supplies</v>
      </c>
      <c r="E211" s="6">
        <f t="shared" si="41"/>
        <v>29133</v>
      </c>
      <c r="F211" s="6">
        <f t="shared" si="42"/>
        <v>1</v>
      </c>
      <c r="G211" s="7">
        <f t="shared" si="38"/>
        <v>0.02</v>
      </c>
      <c r="H211" s="8">
        <f t="shared" si="36"/>
        <v>45867</v>
      </c>
      <c r="I211" s="9">
        <f t="shared" si="39"/>
        <v>28550.34</v>
      </c>
      <c r="J211" s="6">
        <f t="shared" si="40"/>
        <v>5139.0600000000004</v>
      </c>
      <c r="K211" s="6" t="str" cm="1">
        <f t="array" ref="K211">INDEX({"Amit","Neha","Riya","Karan","Pooja","Rahul","Meera","Vikram"},MOD(ROW()-2,8)+1)</f>
        <v>Neha</v>
      </c>
      <c r="L211" s="6" t="str" cm="1">
        <f t="array" ref="L211">INDEX({"UPI","Credit Card","Debit Card","Cash","Net Banking"},MOD(ROW()-2,5)+1)</f>
        <v>Net Banking</v>
      </c>
      <c r="M211" s="10" t="str" cm="1">
        <f t="array" ref="M211">INDEX({"Retail","Corporate","Education","Small Business"},MOD(ROW()-2,4)+1)</f>
        <v>Corporate</v>
      </c>
    </row>
    <row r="212" spans="1:13" x14ac:dyDescent="0.3">
      <c r="A212" s="5" t="str">
        <f t="shared" si="37"/>
        <v>CUST0211</v>
      </c>
      <c r="B212" s="6" t="str" cm="1">
        <f t="array" ref="B212">INDEX({"Aarav","Vivaan","Aditya","Arjun","Kabir","Rohan","Ananya","Diya","Ishita","Meera","Riya","Pooja","Neha","Kavya","Aisha","Priya","Rahul","Karan","Vikram","Sahil"},MOD(ROW()-2,20)+1)&amp;" "&amp;INDEX({"Shah","Patel","Mehta","Desai","Joshi","Gupta","Verma","Sharma","Trivedi","Rana","Mishra","Kapoor","Iyer","Nair","Singh"},MOD(INT((ROW()-2)/20),15)+1)</f>
        <v>Riya Mishra</v>
      </c>
      <c r="C212" s="6" t="str" cm="1">
        <f t="array" ref="C212">INDEX({"North","South","East","West","Central"},MOD(ROW()-2,5)+1)</f>
        <v>North</v>
      </c>
      <c r="D212" s="6" t="str" cm="1">
        <f t="array" ref="D212">INDEX({"Electronics","Clothing","Furniture","Books","Office Supplies"},MOD(ROW()-2,5)+1)</f>
        <v>Electronics</v>
      </c>
      <c r="E212" s="6">
        <f t="shared" si="41"/>
        <v>29270</v>
      </c>
      <c r="F212" s="6">
        <f t="shared" si="42"/>
        <v>8</v>
      </c>
      <c r="G212" s="7">
        <f t="shared" si="38"/>
        <v>0.05</v>
      </c>
      <c r="H212" s="8">
        <f t="shared" si="36"/>
        <v>45868</v>
      </c>
      <c r="I212" s="9">
        <f t="shared" si="39"/>
        <v>222452</v>
      </c>
      <c r="J212" s="6">
        <f t="shared" si="40"/>
        <v>44490.400000000001</v>
      </c>
      <c r="K212" s="6" t="str" cm="1">
        <f t="array" ref="K212">INDEX({"Amit","Neha","Riya","Karan","Pooja","Rahul","Meera","Vikram"},MOD(ROW()-2,8)+1)</f>
        <v>Riya</v>
      </c>
      <c r="L212" s="6" t="str" cm="1">
        <f t="array" ref="L212">INDEX({"UPI","Credit Card","Debit Card","Cash","Net Banking"},MOD(ROW()-2,5)+1)</f>
        <v>UPI</v>
      </c>
      <c r="M212" s="10" t="str" cm="1">
        <f t="array" ref="M212">INDEX({"Retail","Corporate","Education","Small Business"},MOD(ROW()-2,4)+1)</f>
        <v>Education</v>
      </c>
    </row>
    <row r="213" spans="1:13" x14ac:dyDescent="0.3">
      <c r="A213" s="5" t="str">
        <f t="shared" si="37"/>
        <v>CUST0212</v>
      </c>
      <c r="B213" s="6" t="str" cm="1">
        <f t="array" ref="B213">INDEX({"Aarav","Vivaan","Aditya","Arjun","Kabir","Rohan","Ananya","Diya","Ishita","Meera","Riya","Pooja","Neha","Kavya","Aisha","Priya","Rahul","Karan","Vikram","Sahil"},MOD(ROW()-2,20)+1)&amp;" "&amp;INDEX({"Shah","Patel","Mehta","Desai","Joshi","Gupta","Verma","Sharma","Trivedi","Rana","Mishra","Kapoor","Iyer","Nair","Singh"},MOD(INT((ROW()-2)/20),15)+1)</f>
        <v>Pooja Mishra</v>
      </c>
      <c r="C213" s="6" t="str" cm="1">
        <f t="array" ref="C213">INDEX({"North","South","East","West","Central"},MOD(ROW()-2,5)+1)</f>
        <v>South</v>
      </c>
      <c r="D213" s="6" t="str" cm="1">
        <f t="array" ref="D213">INDEX({"Electronics","Clothing","Furniture","Books","Office Supplies"},MOD(ROW()-2,5)+1)</f>
        <v>Clothing</v>
      </c>
      <c r="E213" s="6">
        <f t="shared" si="41"/>
        <v>29407</v>
      </c>
      <c r="F213" s="6">
        <f t="shared" si="42"/>
        <v>4</v>
      </c>
      <c r="G213" s="7">
        <f t="shared" si="38"/>
        <v>0.08</v>
      </c>
      <c r="H213" s="8">
        <f t="shared" si="36"/>
        <v>45869</v>
      </c>
      <c r="I213" s="9">
        <f t="shared" si="39"/>
        <v>108217.76</v>
      </c>
      <c r="J213" s="6">
        <f t="shared" si="40"/>
        <v>23807.91</v>
      </c>
      <c r="K213" s="6" t="str" cm="1">
        <f t="array" ref="K213">INDEX({"Amit","Neha","Riya","Karan","Pooja","Rahul","Meera","Vikram"},MOD(ROW()-2,8)+1)</f>
        <v>Karan</v>
      </c>
      <c r="L213" s="6" t="str" cm="1">
        <f t="array" ref="L213">INDEX({"UPI","Credit Card","Debit Card","Cash","Net Banking"},MOD(ROW()-2,5)+1)</f>
        <v>Credit Card</v>
      </c>
      <c r="M213" s="10" t="str" cm="1">
        <f t="array" ref="M213">INDEX({"Retail","Corporate","Education","Small Business"},MOD(ROW()-2,4)+1)</f>
        <v>Small Business</v>
      </c>
    </row>
    <row r="214" spans="1:13" x14ac:dyDescent="0.3">
      <c r="A214" s="5" t="str">
        <f t="shared" si="37"/>
        <v>CUST0213</v>
      </c>
      <c r="B214" s="6" t="str" cm="1">
        <f t="array" ref="B214">INDEX({"Aarav","Vivaan","Aditya","Arjun","Kabir","Rohan","Ananya","Diya","Ishita","Meera","Riya","Pooja","Neha","Kavya","Aisha","Priya","Rahul","Karan","Vikram","Sahil"},MOD(ROW()-2,20)+1)&amp;" "&amp;INDEX({"Shah","Patel","Mehta","Desai","Joshi","Gupta","Verma","Sharma","Trivedi","Rana","Mishra","Kapoor","Iyer","Nair","Singh"},MOD(INT((ROW()-2)/20),15)+1)</f>
        <v>Neha Mishra</v>
      </c>
      <c r="C214" s="6" t="str" cm="1">
        <f t="array" ref="C214">INDEX({"North","South","East","West","Central"},MOD(ROW()-2,5)+1)</f>
        <v>East</v>
      </c>
      <c r="D214" s="6" t="str" cm="1">
        <f t="array" ref="D214">INDEX({"Electronics","Clothing","Furniture","Books","Office Supplies"},MOD(ROW()-2,5)+1)</f>
        <v>Furniture</v>
      </c>
      <c r="E214" s="6">
        <f t="shared" si="41"/>
        <v>29544</v>
      </c>
      <c r="F214" s="6">
        <f t="shared" si="42"/>
        <v>11</v>
      </c>
      <c r="G214" s="7">
        <f t="shared" si="38"/>
        <v>0.1</v>
      </c>
      <c r="H214" s="8">
        <f t="shared" si="36"/>
        <v>45870</v>
      </c>
      <c r="I214" s="9">
        <f t="shared" si="39"/>
        <v>292485.59999999998</v>
      </c>
      <c r="J214" s="6">
        <f t="shared" si="40"/>
        <v>70196.539999999994</v>
      </c>
      <c r="K214" s="6" t="str" cm="1">
        <f t="array" ref="K214">INDEX({"Amit","Neha","Riya","Karan","Pooja","Rahul","Meera","Vikram"},MOD(ROW()-2,8)+1)</f>
        <v>Pooja</v>
      </c>
      <c r="L214" s="6" t="str" cm="1">
        <f t="array" ref="L214">INDEX({"UPI","Credit Card","Debit Card","Cash","Net Banking"},MOD(ROW()-2,5)+1)</f>
        <v>Debit Card</v>
      </c>
      <c r="M214" s="10" t="str" cm="1">
        <f t="array" ref="M214">INDEX({"Retail","Corporate","Education","Small Business"},MOD(ROW()-2,4)+1)</f>
        <v>Retail</v>
      </c>
    </row>
    <row r="215" spans="1:13" x14ac:dyDescent="0.3">
      <c r="A215" s="5" t="str">
        <f t="shared" si="37"/>
        <v>CUST0214</v>
      </c>
      <c r="B215" s="6" t="str" cm="1">
        <f t="array" ref="B215">INDEX({"Aarav","Vivaan","Aditya","Arjun","Kabir","Rohan","Ananya","Diya","Ishita","Meera","Riya","Pooja","Neha","Kavya","Aisha","Priya","Rahul","Karan","Vikram","Sahil"},MOD(ROW()-2,20)+1)&amp;" "&amp;INDEX({"Shah","Patel","Mehta","Desai","Joshi","Gupta","Verma","Sharma","Trivedi","Rana","Mishra","Kapoor","Iyer","Nair","Singh"},MOD(INT((ROW()-2)/20),15)+1)</f>
        <v>Kavya Mishra</v>
      </c>
      <c r="C215" s="6" t="str" cm="1">
        <f t="array" ref="C215">INDEX({"North","South","East","West","Central"},MOD(ROW()-2,5)+1)</f>
        <v>West</v>
      </c>
      <c r="D215" s="6" t="str" cm="1">
        <f t="array" ref="D215">INDEX({"Electronics","Clothing","Furniture","Books","Office Supplies"},MOD(ROW()-2,5)+1)</f>
        <v>Books</v>
      </c>
      <c r="E215" s="6">
        <f t="shared" si="41"/>
        <v>29681</v>
      </c>
      <c r="F215" s="6">
        <f t="shared" si="42"/>
        <v>7</v>
      </c>
      <c r="G215" s="7">
        <f t="shared" si="38"/>
        <v>0.12</v>
      </c>
      <c r="H215" s="8">
        <f t="shared" si="36"/>
        <v>45871</v>
      </c>
      <c r="I215" s="9">
        <f t="shared" si="39"/>
        <v>182834.96</v>
      </c>
      <c r="J215" s="6">
        <f t="shared" si="40"/>
        <v>47537.09</v>
      </c>
      <c r="K215" s="6" t="str" cm="1">
        <f t="array" ref="K215">INDEX({"Amit","Neha","Riya","Karan","Pooja","Rahul","Meera","Vikram"},MOD(ROW()-2,8)+1)</f>
        <v>Rahul</v>
      </c>
      <c r="L215" s="6" t="str" cm="1">
        <f t="array" ref="L215">INDEX({"UPI","Credit Card","Debit Card","Cash","Net Banking"},MOD(ROW()-2,5)+1)</f>
        <v>Cash</v>
      </c>
      <c r="M215" s="10" t="str" cm="1">
        <f t="array" ref="M215">INDEX({"Retail","Corporate","Education","Small Business"},MOD(ROW()-2,4)+1)</f>
        <v>Corporate</v>
      </c>
    </row>
    <row r="216" spans="1:13" x14ac:dyDescent="0.3">
      <c r="A216" s="5" t="str">
        <f t="shared" si="37"/>
        <v>CUST0215</v>
      </c>
      <c r="B216" s="6" t="str" cm="1">
        <f t="array" ref="B216">INDEX({"Aarav","Vivaan","Aditya","Arjun","Kabir","Rohan","Ananya","Diya","Ishita","Meera","Riya","Pooja","Neha","Kavya","Aisha","Priya","Rahul","Karan","Vikram","Sahil"},MOD(ROW()-2,20)+1)&amp;" "&amp;INDEX({"Shah","Patel","Mehta","Desai","Joshi","Gupta","Verma","Sharma","Trivedi","Rana","Mishra","Kapoor","Iyer","Nair","Singh"},MOD(INT((ROW()-2)/20),15)+1)</f>
        <v>Aisha Mishra</v>
      </c>
      <c r="C216" s="6" t="str" cm="1">
        <f t="array" ref="C216">INDEX({"North","South","East","West","Central"},MOD(ROW()-2,5)+1)</f>
        <v>Central</v>
      </c>
      <c r="D216" s="6" t="str" cm="1">
        <f t="array" ref="D216">INDEX({"Electronics","Clothing","Furniture","Books","Office Supplies"},MOD(ROW()-2,5)+1)</f>
        <v>Office Supplies</v>
      </c>
      <c r="E216" s="6">
        <f t="shared" si="41"/>
        <v>29818</v>
      </c>
      <c r="F216" s="6">
        <f t="shared" si="42"/>
        <v>3</v>
      </c>
      <c r="G216" s="7">
        <f t="shared" si="38"/>
        <v>0.15</v>
      </c>
      <c r="H216" s="8">
        <f t="shared" si="36"/>
        <v>45872</v>
      </c>
      <c r="I216" s="9">
        <f t="shared" si="39"/>
        <v>76035.899999999994</v>
      </c>
      <c r="J216" s="6">
        <f t="shared" si="40"/>
        <v>21290.05</v>
      </c>
      <c r="K216" s="6" t="str" cm="1">
        <f t="array" ref="K216">INDEX({"Amit","Neha","Riya","Karan","Pooja","Rahul","Meera","Vikram"},MOD(ROW()-2,8)+1)</f>
        <v>Meera</v>
      </c>
      <c r="L216" s="6" t="str" cm="1">
        <f t="array" ref="L216">INDEX({"UPI","Credit Card","Debit Card","Cash","Net Banking"},MOD(ROW()-2,5)+1)</f>
        <v>Net Banking</v>
      </c>
      <c r="M216" s="10" t="str" cm="1">
        <f t="array" ref="M216">INDEX({"Retail","Corporate","Education","Small Business"},MOD(ROW()-2,4)+1)</f>
        <v>Education</v>
      </c>
    </row>
    <row r="217" spans="1:13" x14ac:dyDescent="0.3">
      <c r="A217" s="5" t="str">
        <f t="shared" si="37"/>
        <v>CUST0216</v>
      </c>
      <c r="B217" s="6" t="str" cm="1">
        <f t="array" ref="B217">INDEX({"Aarav","Vivaan","Aditya","Arjun","Kabir","Rohan","Ananya","Diya","Ishita","Meera","Riya","Pooja","Neha","Kavya","Aisha","Priya","Rahul","Karan","Vikram","Sahil"},MOD(ROW()-2,20)+1)&amp;" "&amp;INDEX({"Shah","Patel","Mehta","Desai","Joshi","Gupta","Verma","Sharma","Trivedi","Rana","Mishra","Kapoor","Iyer","Nair","Singh"},MOD(INT((ROW()-2)/20),15)+1)</f>
        <v>Priya Mishra</v>
      </c>
      <c r="C217" s="6" t="str" cm="1">
        <f t="array" ref="C217">INDEX({"North","South","East","West","Central"},MOD(ROW()-2,5)+1)</f>
        <v>North</v>
      </c>
      <c r="D217" s="6" t="str" cm="1">
        <f t="array" ref="D217">INDEX({"Electronics","Clothing","Furniture","Books","Office Supplies"},MOD(ROW()-2,5)+1)</f>
        <v>Electronics</v>
      </c>
      <c r="E217" s="6">
        <f t="shared" si="41"/>
        <v>29955</v>
      </c>
      <c r="F217" s="6">
        <f t="shared" si="42"/>
        <v>10</v>
      </c>
      <c r="G217" s="7">
        <f t="shared" si="38"/>
        <v>0.2</v>
      </c>
      <c r="H217" s="8">
        <f t="shared" si="36"/>
        <v>45873</v>
      </c>
      <c r="I217" s="9">
        <f t="shared" si="39"/>
        <v>239640</v>
      </c>
      <c r="J217" s="6">
        <f t="shared" si="40"/>
        <v>71892</v>
      </c>
      <c r="K217" s="6" t="str" cm="1">
        <f t="array" ref="K217">INDEX({"Amit","Neha","Riya","Karan","Pooja","Rahul","Meera","Vikram"},MOD(ROW()-2,8)+1)</f>
        <v>Vikram</v>
      </c>
      <c r="L217" s="6" t="str" cm="1">
        <f t="array" ref="L217">INDEX({"UPI","Credit Card","Debit Card","Cash","Net Banking"},MOD(ROW()-2,5)+1)</f>
        <v>UPI</v>
      </c>
      <c r="M217" s="10" t="str" cm="1">
        <f t="array" ref="M217">INDEX({"Retail","Corporate","Education","Small Business"},MOD(ROW()-2,4)+1)</f>
        <v>Small Business</v>
      </c>
    </row>
    <row r="218" spans="1:13" x14ac:dyDescent="0.3">
      <c r="A218" s="5" t="str">
        <f t="shared" si="37"/>
        <v>CUST0217</v>
      </c>
      <c r="B218" s="6" t="str" cm="1">
        <f t="array" ref="B218">INDEX({"Aarav","Vivaan","Aditya","Arjun","Kabir","Rohan","Ananya","Diya","Ishita","Meera","Riya","Pooja","Neha","Kavya","Aisha","Priya","Rahul","Karan","Vikram","Sahil"},MOD(ROW()-2,20)+1)&amp;" "&amp;INDEX({"Shah","Patel","Mehta","Desai","Joshi","Gupta","Verma","Sharma","Trivedi","Rana","Mishra","Kapoor","Iyer","Nair","Singh"},MOD(INT((ROW()-2)/20),15)+1)</f>
        <v>Rahul Mishra</v>
      </c>
      <c r="C218" s="6" t="str" cm="1">
        <f t="array" ref="C218">INDEX({"North","South","East","West","Central"},MOD(ROW()-2,5)+1)</f>
        <v>South</v>
      </c>
      <c r="D218" s="6" t="str" cm="1">
        <f t="array" ref="D218">INDEX({"Electronics","Clothing","Furniture","Books","Office Supplies"},MOD(ROW()-2,5)+1)</f>
        <v>Clothing</v>
      </c>
      <c r="E218" s="6">
        <f t="shared" si="41"/>
        <v>30092</v>
      </c>
      <c r="F218" s="6">
        <f t="shared" si="42"/>
        <v>6</v>
      </c>
      <c r="G218" s="7">
        <f t="shared" si="38"/>
        <v>0</v>
      </c>
      <c r="H218" s="8">
        <f t="shared" si="36"/>
        <v>45874</v>
      </c>
      <c r="I218" s="9">
        <f t="shared" si="39"/>
        <v>180552</v>
      </c>
      <c r="J218" s="6">
        <f t="shared" si="40"/>
        <v>14444.16</v>
      </c>
      <c r="K218" s="6" t="str" cm="1">
        <f t="array" ref="K218">INDEX({"Amit","Neha","Riya","Karan","Pooja","Rahul","Meera","Vikram"},MOD(ROW()-2,8)+1)</f>
        <v>Amit</v>
      </c>
      <c r="L218" s="6" t="str" cm="1">
        <f t="array" ref="L218">INDEX({"UPI","Credit Card","Debit Card","Cash","Net Banking"},MOD(ROW()-2,5)+1)</f>
        <v>Credit Card</v>
      </c>
      <c r="M218" s="10" t="str" cm="1">
        <f t="array" ref="M218">INDEX({"Retail","Corporate","Education","Small Business"},MOD(ROW()-2,4)+1)</f>
        <v>Retail</v>
      </c>
    </row>
    <row r="219" spans="1:13" x14ac:dyDescent="0.3">
      <c r="A219" s="5" t="str">
        <f t="shared" si="37"/>
        <v>CUST0218</v>
      </c>
      <c r="B219" s="6" t="str" cm="1">
        <f t="array" ref="B219">INDEX({"Aarav","Vivaan","Aditya","Arjun","Kabir","Rohan","Ananya","Diya","Ishita","Meera","Riya","Pooja","Neha","Kavya","Aisha","Priya","Rahul","Karan","Vikram","Sahil"},MOD(ROW()-2,20)+1)&amp;" "&amp;INDEX({"Shah","Patel","Mehta","Desai","Joshi","Gupta","Verma","Sharma","Trivedi","Rana","Mishra","Kapoor","Iyer","Nair","Singh"},MOD(INT((ROW()-2)/20),15)+1)</f>
        <v>Karan Mishra</v>
      </c>
      <c r="C219" s="6" t="str" cm="1">
        <f t="array" ref="C219">INDEX({"North","South","East","West","Central"},MOD(ROW()-2,5)+1)</f>
        <v>East</v>
      </c>
      <c r="D219" s="6" t="str" cm="1">
        <f t="array" ref="D219">INDEX({"Electronics","Clothing","Furniture","Books","Office Supplies"},MOD(ROW()-2,5)+1)</f>
        <v>Furniture</v>
      </c>
      <c r="E219" s="6">
        <f t="shared" si="41"/>
        <v>30229</v>
      </c>
      <c r="F219" s="6">
        <f t="shared" si="42"/>
        <v>2</v>
      </c>
      <c r="G219" s="7">
        <f t="shared" si="38"/>
        <v>0.02</v>
      </c>
      <c r="H219" s="8">
        <f t="shared" si="36"/>
        <v>45875</v>
      </c>
      <c r="I219" s="9">
        <f t="shared" si="39"/>
        <v>59248.84</v>
      </c>
      <c r="J219" s="6">
        <f t="shared" si="40"/>
        <v>5924.88</v>
      </c>
      <c r="K219" s="6" t="str" cm="1">
        <f t="array" ref="K219">INDEX({"Amit","Neha","Riya","Karan","Pooja","Rahul","Meera","Vikram"},MOD(ROW()-2,8)+1)</f>
        <v>Neha</v>
      </c>
      <c r="L219" s="6" t="str" cm="1">
        <f t="array" ref="L219">INDEX({"UPI","Credit Card","Debit Card","Cash","Net Banking"},MOD(ROW()-2,5)+1)</f>
        <v>Debit Card</v>
      </c>
      <c r="M219" s="10" t="str" cm="1">
        <f t="array" ref="M219">INDEX({"Retail","Corporate","Education","Small Business"},MOD(ROW()-2,4)+1)</f>
        <v>Corporate</v>
      </c>
    </row>
    <row r="220" spans="1:13" x14ac:dyDescent="0.3">
      <c r="A220" s="5" t="str">
        <f t="shared" si="37"/>
        <v>CUST0219</v>
      </c>
      <c r="B220" s="6" t="str" cm="1">
        <f t="array" ref="B220">INDEX({"Aarav","Vivaan","Aditya","Arjun","Kabir","Rohan","Ananya","Diya","Ishita","Meera","Riya","Pooja","Neha","Kavya","Aisha","Priya","Rahul","Karan","Vikram","Sahil"},MOD(ROW()-2,20)+1)&amp;" "&amp;INDEX({"Shah","Patel","Mehta","Desai","Joshi","Gupta","Verma","Sharma","Trivedi","Rana","Mishra","Kapoor","Iyer","Nair","Singh"},MOD(INT((ROW()-2)/20),15)+1)</f>
        <v>Vikram Mishra</v>
      </c>
      <c r="C220" s="6" t="str" cm="1">
        <f t="array" ref="C220">INDEX({"North","South","East","West","Central"},MOD(ROW()-2,5)+1)</f>
        <v>West</v>
      </c>
      <c r="D220" s="6" t="str" cm="1">
        <f t="array" ref="D220">INDEX({"Electronics","Clothing","Furniture","Books","Office Supplies"},MOD(ROW()-2,5)+1)</f>
        <v>Books</v>
      </c>
      <c r="E220" s="6">
        <f t="shared" si="41"/>
        <v>30366</v>
      </c>
      <c r="F220" s="6">
        <f t="shared" si="42"/>
        <v>9</v>
      </c>
      <c r="G220" s="7">
        <f t="shared" si="38"/>
        <v>0.05</v>
      </c>
      <c r="H220" s="8">
        <f t="shared" si="36"/>
        <v>45876</v>
      </c>
      <c r="I220" s="9">
        <f t="shared" si="39"/>
        <v>259629.3</v>
      </c>
      <c r="J220" s="6">
        <f t="shared" si="40"/>
        <v>31155.52</v>
      </c>
      <c r="K220" s="6" t="str" cm="1">
        <f t="array" ref="K220">INDEX({"Amit","Neha","Riya","Karan","Pooja","Rahul","Meera","Vikram"},MOD(ROW()-2,8)+1)</f>
        <v>Riya</v>
      </c>
      <c r="L220" s="6" t="str" cm="1">
        <f t="array" ref="L220">INDEX({"UPI","Credit Card","Debit Card","Cash","Net Banking"},MOD(ROW()-2,5)+1)</f>
        <v>Cash</v>
      </c>
      <c r="M220" s="10" t="str" cm="1">
        <f t="array" ref="M220">INDEX({"Retail","Corporate","Education","Small Business"},MOD(ROW()-2,4)+1)</f>
        <v>Education</v>
      </c>
    </row>
    <row r="221" spans="1:13" x14ac:dyDescent="0.3">
      <c r="A221" s="5" t="str">
        <f t="shared" si="37"/>
        <v>CUST0220</v>
      </c>
      <c r="B221" s="6" t="str" cm="1">
        <f t="array" ref="B221">INDEX({"Aarav","Vivaan","Aditya","Arjun","Kabir","Rohan","Ananya","Diya","Ishita","Meera","Riya","Pooja","Neha","Kavya","Aisha","Priya","Rahul","Karan","Vikram","Sahil"},MOD(ROW()-2,20)+1)&amp;" "&amp;INDEX({"Shah","Patel","Mehta","Desai","Joshi","Gupta","Verma","Sharma","Trivedi","Rana","Mishra","Kapoor","Iyer","Nair","Singh"},MOD(INT((ROW()-2)/20),15)+1)</f>
        <v>Sahil Mishra</v>
      </c>
      <c r="C221" s="6" t="str" cm="1">
        <f t="array" ref="C221">INDEX({"North","South","East","West","Central"},MOD(ROW()-2,5)+1)</f>
        <v>Central</v>
      </c>
      <c r="D221" s="6" t="str" cm="1">
        <f t="array" ref="D221">INDEX({"Electronics","Clothing","Furniture","Books","Office Supplies"},MOD(ROW()-2,5)+1)</f>
        <v>Office Supplies</v>
      </c>
      <c r="E221" s="6">
        <f t="shared" si="41"/>
        <v>30503</v>
      </c>
      <c r="F221" s="6">
        <f t="shared" si="42"/>
        <v>5</v>
      </c>
      <c r="G221" s="7">
        <f t="shared" si="38"/>
        <v>0.08</v>
      </c>
      <c r="H221" s="8">
        <f t="shared" si="36"/>
        <v>45877</v>
      </c>
      <c r="I221" s="9">
        <f t="shared" si="39"/>
        <v>140313.79999999999</v>
      </c>
      <c r="J221" s="6">
        <f t="shared" si="40"/>
        <v>19643.93</v>
      </c>
      <c r="K221" s="6" t="str" cm="1">
        <f t="array" ref="K221">INDEX({"Amit","Neha","Riya","Karan","Pooja","Rahul","Meera","Vikram"},MOD(ROW()-2,8)+1)</f>
        <v>Karan</v>
      </c>
      <c r="L221" s="6" t="str" cm="1">
        <f t="array" ref="L221">INDEX({"UPI","Credit Card","Debit Card","Cash","Net Banking"},MOD(ROW()-2,5)+1)</f>
        <v>Net Banking</v>
      </c>
      <c r="M221" s="10" t="str" cm="1">
        <f t="array" ref="M221">INDEX({"Retail","Corporate","Education","Small Business"},MOD(ROW()-2,4)+1)</f>
        <v>Small Business</v>
      </c>
    </row>
    <row r="222" spans="1:13" x14ac:dyDescent="0.3">
      <c r="A222" s="5" t="str">
        <f t="shared" si="37"/>
        <v>CUST0221</v>
      </c>
      <c r="B222" s="6" t="str" cm="1">
        <f t="array" ref="B222">INDEX({"Aarav","Vivaan","Aditya","Arjun","Kabir","Rohan","Ananya","Diya","Ishita","Meera","Riya","Pooja","Neha","Kavya","Aisha","Priya","Rahul","Karan","Vikram","Sahil"},MOD(ROW()-2,20)+1)&amp;" "&amp;INDEX({"Shah","Patel","Mehta","Desai","Joshi","Gupta","Verma","Sharma","Trivedi","Rana","Mishra","Kapoor","Iyer","Nair","Singh"},MOD(INT((ROW()-2)/20),15)+1)</f>
        <v>Aarav Kapoor</v>
      </c>
      <c r="C222" s="6" t="str" cm="1">
        <f t="array" ref="C222">INDEX({"North","South","East","West","Central"},MOD(ROW()-2,5)+1)</f>
        <v>North</v>
      </c>
      <c r="D222" s="6" t="str" cm="1">
        <f t="array" ref="D222">INDEX({"Electronics","Clothing","Furniture","Books","Office Supplies"},MOD(ROW()-2,5)+1)</f>
        <v>Electronics</v>
      </c>
      <c r="E222" s="6">
        <f t="shared" si="41"/>
        <v>30640</v>
      </c>
      <c r="F222" s="6">
        <f t="shared" si="42"/>
        <v>1</v>
      </c>
      <c r="G222" s="7">
        <f t="shared" si="38"/>
        <v>0.1</v>
      </c>
      <c r="H222" s="8">
        <f t="shared" si="36"/>
        <v>45878</v>
      </c>
      <c r="I222" s="9">
        <f t="shared" si="39"/>
        <v>27576</v>
      </c>
      <c r="J222" s="6">
        <f t="shared" si="40"/>
        <v>4412.16</v>
      </c>
      <c r="K222" s="6" t="str" cm="1">
        <f t="array" ref="K222">INDEX({"Amit","Neha","Riya","Karan","Pooja","Rahul","Meera","Vikram"},MOD(ROW()-2,8)+1)</f>
        <v>Pooja</v>
      </c>
      <c r="L222" s="6" t="str" cm="1">
        <f t="array" ref="L222">INDEX({"UPI","Credit Card","Debit Card","Cash","Net Banking"},MOD(ROW()-2,5)+1)</f>
        <v>UPI</v>
      </c>
      <c r="M222" s="10" t="str" cm="1">
        <f t="array" ref="M222">INDEX({"Retail","Corporate","Education","Small Business"},MOD(ROW()-2,4)+1)</f>
        <v>Retail</v>
      </c>
    </row>
    <row r="223" spans="1:13" x14ac:dyDescent="0.3">
      <c r="A223" s="5" t="str">
        <f t="shared" si="37"/>
        <v>CUST0222</v>
      </c>
      <c r="B223" s="6" t="str" cm="1">
        <f t="array" ref="B223">INDEX({"Aarav","Vivaan","Aditya","Arjun","Kabir","Rohan","Ananya","Diya","Ishita","Meera","Riya","Pooja","Neha","Kavya","Aisha","Priya","Rahul","Karan","Vikram","Sahil"},MOD(ROW()-2,20)+1)&amp;" "&amp;INDEX({"Shah","Patel","Mehta","Desai","Joshi","Gupta","Verma","Sharma","Trivedi","Rana","Mishra","Kapoor","Iyer","Nair","Singh"},MOD(INT((ROW()-2)/20),15)+1)</f>
        <v>Vivaan Kapoor</v>
      </c>
      <c r="C223" s="6" t="str" cm="1">
        <f t="array" ref="C223">INDEX({"North","South","East","West","Central"},MOD(ROW()-2,5)+1)</f>
        <v>South</v>
      </c>
      <c r="D223" s="6" t="str" cm="1">
        <f t="array" ref="D223">INDEX({"Electronics","Clothing","Furniture","Books","Office Supplies"},MOD(ROW()-2,5)+1)</f>
        <v>Clothing</v>
      </c>
      <c r="E223" s="6">
        <f t="shared" si="41"/>
        <v>30777</v>
      </c>
      <c r="F223" s="6">
        <f t="shared" si="42"/>
        <v>8</v>
      </c>
      <c r="G223" s="7">
        <f t="shared" si="38"/>
        <v>0.12</v>
      </c>
      <c r="H223" s="8">
        <f t="shared" si="36"/>
        <v>45879</v>
      </c>
      <c r="I223" s="9">
        <f t="shared" si="39"/>
        <v>216670.07999999999</v>
      </c>
      <c r="J223" s="6">
        <f t="shared" si="40"/>
        <v>39000.61</v>
      </c>
      <c r="K223" s="6" t="str" cm="1">
        <f t="array" ref="K223">INDEX({"Amit","Neha","Riya","Karan","Pooja","Rahul","Meera","Vikram"},MOD(ROW()-2,8)+1)</f>
        <v>Rahul</v>
      </c>
      <c r="L223" s="6" t="str" cm="1">
        <f t="array" ref="L223">INDEX({"UPI","Credit Card","Debit Card","Cash","Net Banking"},MOD(ROW()-2,5)+1)</f>
        <v>Credit Card</v>
      </c>
      <c r="M223" s="10" t="str" cm="1">
        <f t="array" ref="M223">INDEX({"Retail","Corporate","Education","Small Business"},MOD(ROW()-2,4)+1)</f>
        <v>Corporate</v>
      </c>
    </row>
    <row r="224" spans="1:13" x14ac:dyDescent="0.3">
      <c r="A224" s="5" t="str">
        <f t="shared" si="37"/>
        <v>CUST0223</v>
      </c>
      <c r="B224" s="6" t="str" cm="1">
        <f t="array" ref="B224">INDEX({"Aarav","Vivaan","Aditya","Arjun","Kabir","Rohan","Ananya","Diya","Ishita","Meera","Riya","Pooja","Neha","Kavya","Aisha","Priya","Rahul","Karan","Vikram","Sahil"},MOD(ROW()-2,20)+1)&amp;" "&amp;INDEX({"Shah","Patel","Mehta","Desai","Joshi","Gupta","Verma","Sharma","Trivedi","Rana","Mishra","Kapoor","Iyer","Nair","Singh"},MOD(INT((ROW()-2)/20),15)+1)</f>
        <v>Aditya Kapoor</v>
      </c>
      <c r="C224" s="6" t="str" cm="1">
        <f t="array" ref="C224">INDEX({"North","South","East","West","Central"},MOD(ROW()-2,5)+1)</f>
        <v>East</v>
      </c>
      <c r="D224" s="6" t="str" cm="1">
        <f t="array" ref="D224">INDEX({"Electronics","Clothing","Furniture","Books","Office Supplies"},MOD(ROW()-2,5)+1)</f>
        <v>Furniture</v>
      </c>
      <c r="E224" s="6">
        <f t="shared" si="41"/>
        <v>30914</v>
      </c>
      <c r="F224" s="6">
        <f t="shared" si="42"/>
        <v>4</v>
      </c>
      <c r="G224" s="7">
        <f t="shared" si="38"/>
        <v>0.15</v>
      </c>
      <c r="H224" s="8">
        <f t="shared" si="36"/>
        <v>45880</v>
      </c>
      <c r="I224" s="9">
        <f t="shared" si="39"/>
        <v>105107.6</v>
      </c>
      <c r="J224" s="6">
        <f t="shared" si="40"/>
        <v>21021.52</v>
      </c>
      <c r="K224" s="6" t="str" cm="1">
        <f t="array" ref="K224">INDEX({"Amit","Neha","Riya","Karan","Pooja","Rahul","Meera","Vikram"},MOD(ROW()-2,8)+1)</f>
        <v>Meera</v>
      </c>
      <c r="L224" s="6" t="str" cm="1">
        <f t="array" ref="L224">INDEX({"UPI","Credit Card","Debit Card","Cash","Net Banking"},MOD(ROW()-2,5)+1)</f>
        <v>Debit Card</v>
      </c>
      <c r="M224" s="10" t="str" cm="1">
        <f t="array" ref="M224">INDEX({"Retail","Corporate","Education","Small Business"},MOD(ROW()-2,4)+1)</f>
        <v>Education</v>
      </c>
    </row>
    <row r="225" spans="1:13" x14ac:dyDescent="0.3">
      <c r="A225" s="5" t="str">
        <f t="shared" ref="A225:M225" si="43">A20</f>
        <v>CUST0019</v>
      </c>
      <c r="B225" s="5" t="str">
        <f t="shared" si="43"/>
        <v>Vikram Shah</v>
      </c>
      <c r="C225" s="5" t="str">
        <f t="shared" si="43"/>
        <v>West</v>
      </c>
      <c r="D225" s="5" t="str">
        <f t="shared" si="43"/>
        <v>Books</v>
      </c>
      <c r="E225" s="5">
        <f t="shared" si="43"/>
        <v>2966</v>
      </c>
      <c r="F225" s="5">
        <f t="shared" si="43"/>
        <v>6</v>
      </c>
      <c r="G225" s="5">
        <f t="shared" si="43"/>
        <v>0.05</v>
      </c>
      <c r="H225" s="43">
        <f t="shared" si="43"/>
        <v>45676</v>
      </c>
      <c r="I225" s="5">
        <f t="shared" si="43"/>
        <v>16906.2</v>
      </c>
      <c r="J225" s="5">
        <f t="shared" si="43"/>
        <v>3381.24</v>
      </c>
      <c r="K225" s="5" t="str">
        <f t="shared" si="43"/>
        <v>Riya</v>
      </c>
      <c r="L225" s="5" t="str">
        <f t="shared" si="43"/>
        <v>Cash</v>
      </c>
      <c r="M225" s="5" t="str">
        <f t="shared" si="43"/>
        <v>Education</v>
      </c>
    </row>
    <row r="226" spans="1:13" x14ac:dyDescent="0.3">
      <c r="A226" s="5" t="str">
        <f t="shared" ref="A226:M226" si="44">A45</f>
        <v>CUST0044</v>
      </c>
      <c r="B226" s="5" t="str">
        <f t="shared" si="44"/>
        <v>Arjun Mehta</v>
      </c>
      <c r="C226" s="5" t="str">
        <f t="shared" si="44"/>
        <v>West</v>
      </c>
      <c r="D226" s="5" t="str">
        <f t="shared" si="44"/>
        <v>Books</v>
      </c>
      <c r="E226" s="5">
        <f t="shared" si="44"/>
        <v>6391</v>
      </c>
      <c r="F226" s="5">
        <f t="shared" si="44"/>
        <v>5</v>
      </c>
      <c r="G226" s="5">
        <f t="shared" si="44"/>
        <v>0.08</v>
      </c>
      <c r="H226" s="43">
        <f t="shared" si="44"/>
        <v>45701</v>
      </c>
      <c r="I226" s="5">
        <f t="shared" si="44"/>
        <v>29398.6</v>
      </c>
      <c r="J226" s="5">
        <f t="shared" si="44"/>
        <v>6467.69</v>
      </c>
      <c r="K226" s="5" t="str">
        <f t="shared" si="44"/>
        <v>Karan</v>
      </c>
      <c r="L226" s="5" t="str">
        <f t="shared" si="44"/>
        <v>Cash</v>
      </c>
      <c r="M226" s="5" t="str">
        <f t="shared" si="44"/>
        <v>Small Business</v>
      </c>
    </row>
    <row r="227" spans="1:13" x14ac:dyDescent="0.3">
      <c r="A227" s="5" t="str">
        <f t="shared" ref="A227:M227" si="45">A80</f>
        <v>CUST0079</v>
      </c>
      <c r="B227" s="5" t="str">
        <f t="shared" si="45"/>
        <v>Vikram Desai</v>
      </c>
      <c r="C227" s="5" t="str">
        <f t="shared" si="45"/>
        <v>West</v>
      </c>
      <c r="D227" s="5" t="str">
        <f t="shared" si="45"/>
        <v>Books</v>
      </c>
      <c r="E227" s="5">
        <f t="shared" si="45"/>
        <v>11186</v>
      </c>
      <c r="F227" s="5">
        <f t="shared" si="45"/>
        <v>8</v>
      </c>
      <c r="G227" s="5">
        <f t="shared" si="45"/>
        <v>0.15</v>
      </c>
      <c r="H227" s="43">
        <f t="shared" si="45"/>
        <v>45736</v>
      </c>
      <c r="I227" s="5">
        <f t="shared" si="45"/>
        <v>76064.800000000003</v>
      </c>
      <c r="J227" s="5">
        <f t="shared" si="45"/>
        <v>15212.96</v>
      </c>
      <c r="K227" s="5" t="str">
        <f t="shared" si="45"/>
        <v>Meera</v>
      </c>
      <c r="L227" s="5" t="str">
        <f t="shared" si="45"/>
        <v>Cash</v>
      </c>
      <c r="M227" s="5" t="str">
        <f t="shared" si="45"/>
        <v>Education</v>
      </c>
    </row>
    <row r="228" spans="1:13" x14ac:dyDescent="0.3">
      <c r="A228" s="5" t="str">
        <f t="shared" ref="A228:M228" si="46">A120</f>
        <v>CUST0119</v>
      </c>
      <c r="B228" s="5" t="str">
        <f t="shared" si="46"/>
        <v>Vikram Gupta</v>
      </c>
      <c r="C228" s="5" t="str">
        <f t="shared" si="46"/>
        <v>West</v>
      </c>
      <c r="D228" s="5" t="str">
        <f t="shared" si="46"/>
        <v>Books</v>
      </c>
      <c r="E228" s="5">
        <f t="shared" si="46"/>
        <v>16666</v>
      </c>
      <c r="F228" s="5">
        <f t="shared" si="46"/>
        <v>2</v>
      </c>
      <c r="G228" s="5">
        <f t="shared" si="46"/>
        <v>0.15</v>
      </c>
      <c r="H228" s="43">
        <f t="shared" si="46"/>
        <v>45776</v>
      </c>
      <c r="I228" s="5">
        <f t="shared" si="46"/>
        <v>28332.2</v>
      </c>
      <c r="J228" s="5">
        <f t="shared" si="46"/>
        <v>7933.02</v>
      </c>
      <c r="K228" s="5" t="str">
        <f t="shared" si="46"/>
        <v>Meera</v>
      </c>
      <c r="L228" s="5" t="str">
        <f t="shared" si="46"/>
        <v>Cash</v>
      </c>
      <c r="M228" s="5" t="str">
        <f t="shared" si="46"/>
        <v>Education</v>
      </c>
    </row>
    <row r="229" spans="1:13" x14ac:dyDescent="0.3">
      <c r="A229" s="5" t="str">
        <f t="shared" ref="A229:M229" si="47">A160</f>
        <v>CUST0159</v>
      </c>
      <c r="B229" s="5" t="str">
        <f t="shared" si="47"/>
        <v>Vikram Sharma</v>
      </c>
      <c r="C229" s="5" t="str">
        <f t="shared" si="47"/>
        <v>West</v>
      </c>
      <c r="D229" s="5" t="str">
        <f t="shared" si="47"/>
        <v>Books</v>
      </c>
      <c r="E229" s="5">
        <f t="shared" si="47"/>
        <v>22146</v>
      </c>
      <c r="F229" s="5">
        <f t="shared" si="47"/>
        <v>7</v>
      </c>
      <c r="G229" s="5">
        <f t="shared" si="47"/>
        <v>0.15</v>
      </c>
      <c r="H229" s="43">
        <f t="shared" si="47"/>
        <v>45816</v>
      </c>
      <c r="I229" s="5">
        <f t="shared" si="47"/>
        <v>131768.70000000001</v>
      </c>
      <c r="J229" s="5">
        <f t="shared" si="47"/>
        <v>15812.24</v>
      </c>
      <c r="K229" s="5" t="str">
        <f t="shared" si="47"/>
        <v>Meera</v>
      </c>
      <c r="L229" s="5" t="str">
        <f t="shared" si="47"/>
        <v>Cash</v>
      </c>
      <c r="M229" s="5" t="str">
        <f t="shared" si="47"/>
        <v>Education</v>
      </c>
    </row>
    <row r="230" spans="1:13" x14ac:dyDescent="0.3">
      <c r="A230" s="5"/>
      <c r="B230" s="6"/>
      <c r="C230" s="6"/>
      <c r="D230" s="6"/>
      <c r="E230" s="6"/>
      <c r="F230" s="6"/>
      <c r="G230" s="7"/>
      <c r="H230" s="8"/>
      <c r="I230" s="9"/>
      <c r="J230" s="6"/>
      <c r="K230" s="6"/>
      <c r="L230" s="6"/>
      <c r="M230" s="10"/>
    </row>
    <row r="259" spans="1:9" x14ac:dyDescent="0.3">
      <c r="G259" s="1"/>
      <c r="H259" s="2"/>
      <c r="I259" s="3"/>
    </row>
    <row r="260" spans="1:9" x14ac:dyDescent="0.3">
      <c r="A260" s="2"/>
      <c r="B260" s="3"/>
    </row>
    <row r="261" spans="1:9" x14ac:dyDescent="0.3">
      <c r="A261" s="2"/>
      <c r="B261" s="3"/>
    </row>
    <row r="262" spans="1:9" x14ac:dyDescent="0.3">
      <c r="A262" s="2"/>
      <c r="B262" s="3"/>
    </row>
    <row r="263" spans="1:9" x14ac:dyDescent="0.3">
      <c r="A263" s="2"/>
      <c r="B263" s="3"/>
    </row>
    <row r="264" spans="1:9" x14ac:dyDescent="0.3">
      <c r="A264" s="2"/>
      <c r="B264" s="3"/>
    </row>
    <row r="265" spans="1:9" x14ac:dyDescent="0.3">
      <c r="G265" s="1"/>
      <c r="H265" s="2"/>
      <c r="I265" s="3"/>
    </row>
    <row r="271" spans="1:9" x14ac:dyDescent="0.3">
      <c r="G271" s="1"/>
      <c r="H271" s="2"/>
      <c r="I271" s="3"/>
    </row>
    <row r="272" spans="1:9" x14ac:dyDescent="0.3">
      <c r="G272" s="1"/>
      <c r="H272" s="2"/>
      <c r="I272" s="3"/>
    </row>
    <row r="273" spans="7:9" x14ac:dyDescent="0.3">
      <c r="G273" s="1"/>
      <c r="H273" s="2"/>
      <c r="I273" s="3"/>
    </row>
    <row r="274" spans="7:9" x14ac:dyDescent="0.3">
      <c r="G274" s="1"/>
      <c r="H274" s="2"/>
      <c r="I274" s="3"/>
    </row>
    <row r="275" spans="7:9" x14ac:dyDescent="0.3">
      <c r="G275" s="1"/>
      <c r="H275" s="2"/>
      <c r="I275" s="3"/>
    </row>
    <row r="276" spans="7:9" x14ac:dyDescent="0.3">
      <c r="G276" s="1"/>
      <c r="H276" s="2"/>
      <c r="I276" s="3"/>
    </row>
    <row r="277" spans="7:9" x14ac:dyDescent="0.3">
      <c r="G277" s="1"/>
      <c r="H277" s="2"/>
      <c r="I277" s="3"/>
    </row>
    <row r="278" spans="7:9" x14ac:dyDescent="0.3">
      <c r="G278" s="1"/>
      <c r="H278" s="2"/>
      <c r="I278" s="3"/>
    </row>
    <row r="279" spans="7:9" x14ac:dyDescent="0.3">
      <c r="G279" s="1"/>
      <c r="H279" s="2"/>
      <c r="I279" s="3"/>
    </row>
    <row r="280" spans="7:9" x14ac:dyDescent="0.3">
      <c r="G280" s="1"/>
      <c r="H280" s="2"/>
      <c r="I280" s="3"/>
    </row>
    <row r="281" spans="7:9" x14ac:dyDescent="0.3">
      <c r="G281" s="1"/>
      <c r="H281" s="2"/>
      <c r="I281" s="3"/>
    </row>
    <row r="282" spans="7:9" x14ac:dyDescent="0.3">
      <c r="G282" s="1"/>
      <c r="H282" s="2"/>
      <c r="I282" s="3"/>
    </row>
    <row r="283" spans="7:9" x14ac:dyDescent="0.3">
      <c r="G283" s="1"/>
      <c r="H283" s="2"/>
      <c r="I283" s="3"/>
    </row>
    <row r="284" spans="7:9" x14ac:dyDescent="0.3">
      <c r="G284" s="1"/>
      <c r="H284" s="2"/>
      <c r="I284" s="3"/>
    </row>
    <row r="285" spans="7:9" x14ac:dyDescent="0.3">
      <c r="G285" s="1"/>
      <c r="H285" s="2"/>
      <c r="I285" s="3"/>
    </row>
    <row r="286" spans="7:9" x14ac:dyDescent="0.3">
      <c r="G286" s="1"/>
      <c r="H286" s="2"/>
      <c r="I286" s="3"/>
    </row>
    <row r="287" spans="7:9" x14ac:dyDescent="0.3">
      <c r="G287" s="1"/>
      <c r="H287" s="2"/>
      <c r="I287"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DEF9-73AC-4437-94CF-8A3CBC4559DD}">
  <dimension ref="A1:V48"/>
  <sheetViews>
    <sheetView tabSelected="1" zoomScale="80" zoomScaleNormal="85" workbookViewId="0">
      <selection activeCell="I39" sqref="I39"/>
    </sheetView>
  </sheetViews>
  <sheetFormatPr defaultRowHeight="14.4" x14ac:dyDescent="0.3"/>
  <cols>
    <col min="1" max="1" width="24.21875" customWidth="1"/>
    <col min="4" max="4" width="19.88671875" customWidth="1"/>
    <col min="7" max="7" width="20" customWidth="1"/>
    <col min="8" max="8" width="0.5546875" hidden="1" customWidth="1"/>
    <col min="9" max="9" width="23.5546875" customWidth="1"/>
    <col min="10" max="10" width="21.33203125" customWidth="1"/>
    <col min="13" max="13" width="2.6640625" customWidth="1"/>
    <col min="14" max="14" width="23" customWidth="1"/>
    <col min="19" max="19" width="0.44140625" customWidth="1"/>
    <col min="20" max="20" width="24.88671875" customWidth="1"/>
  </cols>
  <sheetData>
    <row r="1" spans="1:22" ht="94.2" thickBot="1" x14ac:dyDescent="1.8">
      <c r="A1" s="73" t="s">
        <v>76</v>
      </c>
      <c r="B1" s="74"/>
      <c r="C1" s="74"/>
      <c r="D1" s="74"/>
      <c r="E1" s="74"/>
      <c r="F1" s="74"/>
      <c r="G1" s="74"/>
      <c r="H1" s="74"/>
      <c r="I1" s="74"/>
      <c r="J1" s="74"/>
      <c r="K1" s="74"/>
      <c r="L1" s="74"/>
      <c r="M1" s="74"/>
      <c r="N1" s="74"/>
      <c r="O1" s="74"/>
      <c r="P1" s="74"/>
      <c r="Q1" s="74"/>
      <c r="R1" s="74"/>
      <c r="S1" s="74"/>
      <c r="T1" s="74"/>
      <c r="U1" s="74"/>
      <c r="V1" s="75"/>
    </row>
    <row r="2" spans="1:22" ht="15" thickBot="1" x14ac:dyDescent="0.35">
      <c r="A2" s="83"/>
      <c r="B2" s="84"/>
      <c r="C2" s="84"/>
      <c r="D2" s="84"/>
      <c r="E2" s="84"/>
      <c r="F2" s="84"/>
      <c r="G2" s="84"/>
      <c r="H2" s="84"/>
      <c r="I2" s="84"/>
      <c r="J2" s="84"/>
      <c r="K2" s="84"/>
      <c r="L2" s="84"/>
      <c r="M2" s="84"/>
      <c r="N2" s="84"/>
      <c r="O2" s="84"/>
      <c r="P2" s="84"/>
      <c r="Q2" s="84"/>
      <c r="R2" s="84"/>
      <c r="S2" s="84"/>
      <c r="T2" s="84"/>
      <c r="U2" s="84"/>
      <c r="V2" s="85"/>
    </row>
    <row r="3" spans="1:22" ht="24" thickBot="1" x14ac:dyDescent="0.5">
      <c r="A3" s="86"/>
      <c r="B3" s="87"/>
      <c r="C3" s="87"/>
      <c r="D3" s="39" t="s">
        <v>70</v>
      </c>
      <c r="E3" s="87"/>
      <c r="F3" s="87"/>
      <c r="G3" s="82"/>
      <c r="H3" s="87"/>
      <c r="I3" s="39" t="s">
        <v>73</v>
      </c>
      <c r="J3" s="82"/>
      <c r="K3" s="82"/>
      <c r="L3" s="82"/>
      <c r="M3" s="82"/>
      <c r="N3" s="39" t="s">
        <v>77</v>
      </c>
      <c r="O3" s="82"/>
      <c r="P3" s="82"/>
      <c r="Q3" s="82"/>
      <c r="R3" s="82"/>
      <c r="S3" s="82"/>
      <c r="T3" s="37" t="s">
        <v>78</v>
      </c>
      <c r="U3" s="82"/>
      <c r="V3" s="88"/>
    </row>
    <row r="4" spans="1:22" ht="24" thickBot="1" x14ac:dyDescent="0.5">
      <c r="A4" s="86"/>
      <c r="B4" s="87"/>
      <c r="C4" s="87"/>
      <c r="D4" s="40">
        <f>SUM(DataSet!I2:I229)</f>
        <v>19453783.319999997</v>
      </c>
      <c r="E4" s="87"/>
      <c r="F4" s="87"/>
      <c r="G4" s="82"/>
      <c r="H4" s="87"/>
      <c r="I4" s="40">
        <f>SUM(DataSet!J2:J229)</f>
        <v>3655425.9000000022</v>
      </c>
      <c r="J4" s="82"/>
      <c r="K4" s="82"/>
      <c r="L4" s="82"/>
      <c r="M4" s="82"/>
      <c r="N4" s="40">
        <f>SUM(DataSet!F2:F229)</f>
        <v>1365</v>
      </c>
      <c r="O4" s="82"/>
      <c r="P4" s="82"/>
      <c r="Q4" s="82"/>
      <c r="R4" s="82"/>
      <c r="S4" s="82"/>
      <c r="T4" s="38">
        <f>COUNTA(DataSet!A2:A229)</f>
        <v>228</v>
      </c>
      <c r="U4" s="82"/>
      <c r="V4" s="88"/>
    </row>
    <row r="5" spans="1:22" x14ac:dyDescent="0.3">
      <c r="A5" s="86"/>
      <c r="B5" s="82"/>
      <c r="C5" s="82"/>
      <c r="D5" s="82"/>
      <c r="E5" s="82"/>
      <c r="F5" s="82"/>
      <c r="G5" s="82"/>
      <c r="H5" s="82"/>
      <c r="I5" s="82"/>
      <c r="J5" s="82"/>
      <c r="K5" s="82"/>
      <c r="L5" s="82"/>
      <c r="M5" s="82"/>
      <c r="N5" s="82"/>
      <c r="O5" s="82"/>
      <c r="P5" s="82"/>
      <c r="Q5" s="82"/>
      <c r="R5" s="82"/>
      <c r="S5" s="82"/>
      <c r="T5" s="82"/>
      <c r="U5" s="82"/>
      <c r="V5" s="88"/>
    </row>
    <row r="6" spans="1:22" x14ac:dyDescent="0.3">
      <c r="A6" s="86"/>
      <c r="B6" s="82"/>
      <c r="C6" s="82"/>
      <c r="D6" s="82"/>
      <c r="E6" s="82"/>
      <c r="F6" s="82"/>
      <c r="G6" s="82"/>
      <c r="H6" s="82"/>
      <c r="I6" s="82"/>
      <c r="J6" s="82"/>
      <c r="K6" s="82"/>
      <c r="L6" s="82"/>
      <c r="M6" s="82"/>
      <c r="N6" s="82"/>
      <c r="O6" s="82"/>
      <c r="P6" s="82"/>
      <c r="Q6" s="82"/>
      <c r="R6" s="82"/>
      <c r="S6" s="82"/>
      <c r="T6" s="82"/>
      <c r="U6" s="82"/>
      <c r="V6" s="88"/>
    </row>
    <row r="7" spans="1:22" x14ac:dyDescent="0.3">
      <c r="A7" s="86"/>
      <c r="B7" s="82"/>
      <c r="C7" s="82"/>
      <c r="D7" s="82"/>
      <c r="E7" s="82"/>
      <c r="F7" s="82"/>
      <c r="G7" s="82"/>
      <c r="H7" s="82"/>
      <c r="I7" s="82"/>
      <c r="J7" s="82"/>
      <c r="K7" s="82"/>
      <c r="L7" s="82"/>
      <c r="M7" s="82"/>
      <c r="N7" s="82"/>
      <c r="O7" s="82"/>
      <c r="P7" s="82"/>
      <c r="Q7" s="82"/>
      <c r="R7" s="82"/>
      <c r="S7" s="82"/>
      <c r="T7" s="82"/>
      <c r="U7" s="82"/>
      <c r="V7" s="88"/>
    </row>
    <row r="8" spans="1:22" x14ac:dyDescent="0.3">
      <c r="A8" s="86"/>
      <c r="B8" s="82"/>
      <c r="C8" s="82"/>
      <c r="D8" s="82"/>
      <c r="E8" s="82"/>
      <c r="F8" s="82"/>
      <c r="G8" s="82"/>
      <c r="H8" s="82"/>
      <c r="I8" s="82"/>
      <c r="J8" s="82"/>
      <c r="K8" s="82"/>
      <c r="L8" s="82"/>
      <c r="M8" s="82"/>
      <c r="N8" s="82"/>
      <c r="O8" s="82"/>
      <c r="P8" s="82"/>
      <c r="Q8" s="82"/>
      <c r="R8" s="82"/>
      <c r="S8" s="82"/>
      <c r="T8" s="82"/>
      <c r="U8" s="82"/>
      <c r="V8" s="88"/>
    </row>
    <row r="9" spans="1:22" x14ac:dyDescent="0.3">
      <c r="A9" s="86"/>
      <c r="B9" s="82"/>
      <c r="C9" s="82"/>
      <c r="D9" s="82"/>
      <c r="E9" s="82"/>
      <c r="F9" s="82"/>
      <c r="G9" s="82"/>
      <c r="H9" s="82"/>
      <c r="I9" s="82"/>
      <c r="J9" s="82"/>
      <c r="K9" s="82"/>
      <c r="L9" s="82"/>
      <c r="M9" s="82"/>
      <c r="N9" s="82"/>
      <c r="O9" s="82"/>
      <c r="P9" s="82"/>
      <c r="Q9" s="82"/>
      <c r="R9" s="82"/>
      <c r="S9" s="82"/>
      <c r="T9" s="82"/>
      <c r="U9" s="82"/>
      <c r="V9" s="88"/>
    </row>
    <row r="10" spans="1:22" x14ac:dyDescent="0.3">
      <c r="A10" s="86"/>
      <c r="B10" s="82"/>
      <c r="C10" s="82"/>
      <c r="D10" s="82"/>
      <c r="E10" s="82"/>
      <c r="F10" s="82"/>
      <c r="G10" s="82"/>
      <c r="H10" s="82"/>
      <c r="I10" s="82"/>
      <c r="J10" s="82"/>
      <c r="K10" s="82"/>
      <c r="L10" s="82"/>
      <c r="M10" s="82"/>
      <c r="N10" s="82"/>
      <c r="O10" s="82"/>
      <c r="P10" s="82"/>
      <c r="Q10" s="82"/>
      <c r="R10" s="82"/>
      <c r="S10" s="82"/>
      <c r="T10" s="82"/>
      <c r="U10" s="82"/>
      <c r="V10" s="88"/>
    </row>
    <row r="11" spans="1:22" x14ac:dyDescent="0.3">
      <c r="A11" s="86"/>
      <c r="B11" s="82"/>
      <c r="C11" s="82"/>
      <c r="D11" s="82"/>
      <c r="E11" s="82"/>
      <c r="F11" s="82"/>
      <c r="G11" s="82"/>
      <c r="H11" s="82"/>
      <c r="I11" s="82"/>
      <c r="J11" s="82"/>
      <c r="K11" s="82"/>
      <c r="L11" s="82"/>
      <c r="M11" s="82"/>
      <c r="N11" s="82"/>
      <c r="O11" s="82"/>
      <c r="P11" s="82"/>
      <c r="Q11" s="82"/>
      <c r="R11" s="82"/>
      <c r="S11" s="82"/>
      <c r="T11" s="82"/>
      <c r="U11" s="82"/>
      <c r="V11" s="88"/>
    </row>
    <row r="12" spans="1:22" x14ac:dyDescent="0.3">
      <c r="A12" s="86"/>
      <c r="B12" s="82"/>
      <c r="C12" s="82"/>
      <c r="D12" s="82"/>
      <c r="E12" s="82"/>
      <c r="F12" s="82"/>
      <c r="G12" s="82"/>
      <c r="H12" s="82"/>
      <c r="I12" s="82"/>
      <c r="J12" s="82"/>
      <c r="K12" s="82"/>
      <c r="L12" s="82"/>
      <c r="M12" s="82"/>
      <c r="N12" s="82"/>
      <c r="O12" s="82"/>
      <c r="P12" s="82"/>
      <c r="Q12" s="82"/>
      <c r="R12" s="82"/>
      <c r="S12" s="82"/>
      <c r="T12" s="82"/>
      <c r="U12" s="82"/>
      <c r="V12" s="88"/>
    </row>
    <row r="13" spans="1:22" x14ac:dyDescent="0.3">
      <c r="A13" s="86"/>
      <c r="B13" s="82"/>
      <c r="C13" s="82"/>
      <c r="D13" s="82"/>
      <c r="E13" s="82"/>
      <c r="F13" s="82"/>
      <c r="G13" s="82"/>
      <c r="H13" s="82"/>
      <c r="I13" s="82"/>
      <c r="J13" s="82"/>
      <c r="K13" s="82"/>
      <c r="L13" s="82"/>
      <c r="M13" s="82"/>
      <c r="N13" s="82"/>
      <c r="O13" s="82"/>
      <c r="P13" s="82"/>
      <c r="Q13" s="82"/>
      <c r="R13" s="82"/>
      <c r="S13" s="82"/>
      <c r="T13" s="82"/>
      <c r="U13" s="82"/>
      <c r="V13" s="88"/>
    </row>
    <row r="14" spans="1:22" x14ac:dyDescent="0.3">
      <c r="A14" s="86"/>
      <c r="B14" s="82"/>
      <c r="C14" s="82"/>
      <c r="D14" s="82"/>
      <c r="E14" s="82"/>
      <c r="F14" s="82"/>
      <c r="G14" s="82"/>
      <c r="H14" s="82"/>
      <c r="I14" s="82"/>
      <c r="J14" s="82"/>
      <c r="K14" s="82"/>
      <c r="L14" s="82"/>
      <c r="M14" s="82"/>
      <c r="N14" s="82"/>
      <c r="O14" s="82"/>
      <c r="P14" s="82"/>
      <c r="Q14" s="82"/>
      <c r="R14" s="82"/>
      <c r="S14" s="82"/>
      <c r="T14" s="82"/>
      <c r="U14" s="82"/>
      <c r="V14" s="88"/>
    </row>
    <row r="15" spans="1:22" x14ac:dyDescent="0.3">
      <c r="A15" s="86"/>
      <c r="B15" s="82"/>
      <c r="C15" s="82"/>
      <c r="D15" s="82"/>
      <c r="E15" s="82"/>
      <c r="F15" s="82"/>
      <c r="G15" s="82"/>
      <c r="H15" s="82"/>
      <c r="I15" s="82"/>
      <c r="J15" s="82"/>
      <c r="K15" s="82"/>
      <c r="L15" s="82"/>
      <c r="M15" s="82"/>
      <c r="N15" s="82"/>
      <c r="O15" s="82"/>
      <c r="P15" s="82"/>
      <c r="Q15" s="82"/>
      <c r="R15" s="82"/>
      <c r="S15" s="82"/>
      <c r="T15" s="82"/>
      <c r="U15" s="82"/>
      <c r="V15" s="88"/>
    </row>
    <row r="16" spans="1:22" x14ac:dyDescent="0.3">
      <c r="A16" s="86"/>
      <c r="B16" s="82"/>
      <c r="C16" s="82"/>
      <c r="D16" s="82"/>
      <c r="E16" s="82"/>
      <c r="F16" s="82"/>
      <c r="G16" s="82"/>
      <c r="H16" s="82"/>
      <c r="I16" s="82"/>
      <c r="J16" s="82"/>
      <c r="K16" s="82"/>
      <c r="L16" s="82"/>
      <c r="M16" s="82"/>
      <c r="N16" s="82"/>
      <c r="O16" s="82"/>
      <c r="P16" s="82"/>
      <c r="Q16" s="82"/>
      <c r="R16" s="82"/>
      <c r="S16" s="82"/>
      <c r="T16" s="82"/>
      <c r="U16" s="82"/>
      <c r="V16" s="88"/>
    </row>
    <row r="17" spans="1:22" x14ac:dyDescent="0.3">
      <c r="A17" s="86"/>
      <c r="B17" s="82"/>
      <c r="C17" s="82"/>
      <c r="D17" s="82"/>
      <c r="E17" s="82"/>
      <c r="F17" s="82"/>
      <c r="G17" s="82"/>
      <c r="H17" s="82"/>
      <c r="I17" s="82"/>
      <c r="J17" s="82"/>
      <c r="K17" s="82"/>
      <c r="L17" s="82"/>
      <c r="M17" s="82"/>
      <c r="N17" s="82"/>
      <c r="O17" s="82"/>
      <c r="P17" s="82"/>
      <c r="Q17" s="82"/>
      <c r="R17" s="82"/>
      <c r="S17" s="82"/>
      <c r="T17" s="82"/>
      <c r="U17" s="82"/>
      <c r="V17" s="88"/>
    </row>
    <row r="18" spans="1:22" x14ac:dyDescent="0.3">
      <c r="A18" s="86"/>
      <c r="B18" s="82"/>
      <c r="C18" s="82"/>
      <c r="D18" s="82"/>
      <c r="E18" s="82"/>
      <c r="F18" s="82"/>
      <c r="G18" s="82"/>
      <c r="H18" s="82"/>
      <c r="I18" s="82"/>
      <c r="J18" s="82"/>
      <c r="K18" s="82"/>
      <c r="L18" s="82"/>
      <c r="M18" s="82"/>
      <c r="N18" s="82"/>
      <c r="O18" s="82"/>
      <c r="P18" s="82"/>
      <c r="Q18" s="82"/>
      <c r="R18" s="82"/>
      <c r="S18" s="82"/>
      <c r="T18" s="82"/>
      <c r="U18" s="82"/>
      <c r="V18" s="88"/>
    </row>
    <row r="19" spans="1:22" x14ac:dyDescent="0.3">
      <c r="A19" s="86"/>
      <c r="B19" s="82"/>
      <c r="C19" s="82"/>
      <c r="D19" s="82"/>
      <c r="E19" s="82"/>
      <c r="F19" s="82"/>
      <c r="G19" s="82"/>
      <c r="H19" s="82"/>
      <c r="I19" s="82"/>
      <c r="J19" s="82"/>
      <c r="K19" s="82"/>
      <c r="L19" s="82"/>
      <c r="M19" s="82"/>
      <c r="N19" s="82"/>
      <c r="O19" s="82"/>
      <c r="P19" s="82"/>
      <c r="Q19" s="82"/>
      <c r="R19" s="82"/>
      <c r="S19" s="82"/>
      <c r="T19" s="82"/>
      <c r="U19" s="82"/>
      <c r="V19" s="88"/>
    </row>
    <row r="20" spans="1:22" x14ac:dyDescent="0.3">
      <c r="A20" s="86"/>
      <c r="B20" s="82"/>
      <c r="C20" s="82"/>
      <c r="D20" s="82"/>
      <c r="E20" s="82"/>
      <c r="F20" s="82"/>
      <c r="G20" s="82"/>
      <c r="H20" s="82"/>
      <c r="I20" s="82"/>
      <c r="J20" s="82"/>
      <c r="K20" s="82"/>
      <c r="L20" s="82"/>
      <c r="M20" s="82"/>
      <c r="N20" s="82"/>
      <c r="O20" s="82"/>
      <c r="P20" s="82"/>
      <c r="Q20" s="82"/>
      <c r="R20" s="82"/>
      <c r="S20" s="82"/>
      <c r="T20" s="82"/>
      <c r="U20" s="82"/>
      <c r="V20" s="88"/>
    </row>
    <row r="21" spans="1:22" x14ac:dyDescent="0.3">
      <c r="A21" s="86"/>
      <c r="B21" s="82"/>
      <c r="C21" s="82"/>
      <c r="D21" s="82"/>
      <c r="E21" s="82"/>
      <c r="F21" s="82"/>
      <c r="G21" s="82"/>
      <c r="H21" s="82"/>
      <c r="I21" s="82"/>
      <c r="J21" s="82"/>
      <c r="K21" s="82"/>
      <c r="L21" s="82"/>
      <c r="M21" s="82"/>
      <c r="N21" s="82"/>
      <c r="O21" s="82"/>
      <c r="P21" s="82"/>
      <c r="Q21" s="82"/>
      <c r="R21" s="82"/>
      <c r="S21" s="82"/>
      <c r="T21" s="82"/>
      <c r="U21" s="82"/>
      <c r="V21" s="88"/>
    </row>
    <row r="22" spans="1:22" x14ac:dyDescent="0.3">
      <c r="A22" s="86"/>
      <c r="B22" s="82"/>
      <c r="C22" s="82"/>
      <c r="D22" s="82"/>
      <c r="E22" s="82"/>
      <c r="F22" s="82"/>
      <c r="G22" s="82"/>
      <c r="H22" s="82"/>
      <c r="I22" s="82"/>
      <c r="J22" s="82"/>
      <c r="K22" s="82"/>
      <c r="L22" s="82"/>
      <c r="M22" s="82"/>
      <c r="N22" s="82"/>
      <c r="O22" s="82"/>
      <c r="P22" s="82"/>
      <c r="Q22" s="82"/>
      <c r="R22" s="82"/>
      <c r="S22" s="82"/>
      <c r="T22" s="82"/>
      <c r="U22" s="82"/>
      <c r="V22" s="88"/>
    </row>
    <row r="23" spans="1:22" x14ac:dyDescent="0.3">
      <c r="A23" s="86"/>
      <c r="B23" s="82"/>
      <c r="C23" s="82"/>
      <c r="D23" s="82"/>
      <c r="E23" s="82"/>
      <c r="F23" s="82"/>
      <c r="G23" s="82"/>
      <c r="H23" s="82"/>
      <c r="I23" s="82"/>
      <c r="J23" s="82"/>
      <c r="K23" s="82"/>
      <c r="L23" s="82"/>
      <c r="M23" s="82"/>
      <c r="N23" s="82"/>
      <c r="O23" s="82"/>
      <c r="P23" s="82"/>
      <c r="Q23" s="82"/>
      <c r="R23" s="82"/>
      <c r="S23" s="82"/>
      <c r="T23" s="82"/>
      <c r="U23" s="82"/>
      <c r="V23" s="88"/>
    </row>
    <row r="24" spans="1:22" x14ac:dyDescent="0.3">
      <c r="A24" s="86"/>
      <c r="B24" s="82"/>
      <c r="C24" s="82"/>
      <c r="D24" s="82"/>
      <c r="E24" s="82"/>
      <c r="F24" s="82"/>
      <c r="G24" s="82"/>
      <c r="H24" s="82"/>
      <c r="I24" s="82"/>
      <c r="J24" s="82"/>
      <c r="K24" s="82"/>
      <c r="L24" s="82"/>
      <c r="M24" s="82"/>
      <c r="N24" s="82"/>
      <c r="O24" s="82"/>
      <c r="P24" s="82"/>
      <c r="Q24" s="82"/>
      <c r="R24" s="82"/>
      <c r="S24" s="82"/>
      <c r="T24" s="82"/>
      <c r="U24" s="82"/>
      <c r="V24" s="88"/>
    </row>
    <row r="25" spans="1:22" x14ac:dyDescent="0.3">
      <c r="A25" s="86"/>
      <c r="B25" s="82"/>
      <c r="C25" s="82"/>
      <c r="D25" s="82"/>
      <c r="E25" s="82"/>
      <c r="F25" s="82"/>
      <c r="G25" s="82"/>
      <c r="H25" s="82"/>
      <c r="I25" s="82"/>
      <c r="J25" s="82"/>
      <c r="K25" s="82"/>
      <c r="L25" s="82"/>
      <c r="M25" s="82"/>
      <c r="N25" s="82"/>
      <c r="O25" s="82"/>
      <c r="P25" s="82"/>
      <c r="Q25" s="82"/>
      <c r="R25" s="82"/>
      <c r="S25" s="82"/>
      <c r="T25" s="82"/>
      <c r="U25" s="82"/>
      <c r="V25" s="88"/>
    </row>
    <row r="26" spans="1:22" x14ac:dyDescent="0.3">
      <c r="A26" s="86"/>
      <c r="B26" s="82"/>
      <c r="C26" s="82"/>
      <c r="D26" s="82"/>
      <c r="E26" s="82"/>
      <c r="F26" s="82"/>
      <c r="G26" s="82"/>
      <c r="H26" s="82"/>
      <c r="I26" s="82"/>
      <c r="J26" s="82"/>
      <c r="K26" s="82"/>
      <c r="L26" s="82"/>
      <c r="M26" s="82"/>
      <c r="N26" s="82"/>
      <c r="O26" s="82"/>
      <c r="P26" s="82"/>
      <c r="Q26" s="82"/>
      <c r="R26" s="82"/>
      <c r="S26" s="82"/>
      <c r="T26" s="82"/>
      <c r="U26" s="82"/>
      <c r="V26" s="88"/>
    </row>
    <row r="27" spans="1:22" x14ac:dyDescent="0.3">
      <c r="A27" s="86"/>
      <c r="B27" s="82"/>
      <c r="C27" s="82"/>
      <c r="D27" s="82"/>
      <c r="E27" s="82"/>
      <c r="F27" s="82"/>
      <c r="G27" s="82"/>
      <c r="H27" s="82"/>
      <c r="I27" s="82"/>
      <c r="J27" s="82"/>
      <c r="K27" s="82"/>
      <c r="L27" s="82"/>
      <c r="M27" s="82"/>
      <c r="N27" s="82"/>
      <c r="O27" s="82"/>
      <c r="P27" s="82"/>
      <c r="Q27" s="82"/>
      <c r="R27" s="82"/>
      <c r="S27" s="82"/>
      <c r="T27" s="82"/>
      <c r="U27" s="82"/>
      <c r="V27" s="88"/>
    </row>
    <row r="28" spans="1:22" x14ac:dyDescent="0.3">
      <c r="A28" s="86"/>
      <c r="B28" s="82"/>
      <c r="C28" s="82"/>
      <c r="D28" s="82"/>
      <c r="E28" s="82"/>
      <c r="F28" s="82"/>
      <c r="G28" s="82"/>
      <c r="H28" s="82"/>
      <c r="I28" s="82"/>
      <c r="J28" s="82"/>
      <c r="K28" s="82"/>
      <c r="L28" s="82"/>
      <c r="M28" s="82"/>
      <c r="N28" s="82"/>
      <c r="O28" s="82"/>
      <c r="P28" s="82"/>
      <c r="Q28" s="82"/>
      <c r="R28" s="82"/>
      <c r="S28" s="82"/>
      <c r="T28" s="82"/>
      <c r="U28" s="82"/>
      <c r="V28" s="88"/>
    </row>
    <row r="29" spans="1:22" x14ac:dyDescent="0.3">
      <c r="A29" s="86"/>
      <c r="B29" s="82"/>
      <c r="C29" s="82"/>
      <c r="D29" s="82"/>
      <c r="E29" s="82"/>
      <c r="F29" s="82"/>
      <c r="G29" s="82"/>
      <c r="H29" s="82"/>
      <c r="I29" s="82"/>
      <c r="J29" s="82"/>
      <c r="K29" s="82"/>
      <c r="L29" s="82"/>
      <c r="M29" s="82"/>
      <c r="N29" s="82"/>
      <c r="O29" s="82"/>
      <c r="P29" s="82"/>
      <c r="Q29" s="82"/>
      <c r="R29" s="82"/>
      <c r="S29" s="82"/>
      <c r="T29" s="82"/>
      <c r="U29" s="82"/>
      <c r="V29" s="88"/>
    </row>
    <row r="30" spans="1:22" x14ac:dyDescent="0.3">
      <c r="A30" s="86"/>
      <c r="B30" s="82"/>
      <c r="C30" s="82"/>
      <c r="D30" s="82"/>
      <c r="E30" s="82"/>
      <c r="F30" s="82"/>
      <c r="G30" s="82"/>
      <c r="H30" s="82"/>
      <c r="I30" s="82"/>
      <c r="J30" s="82"/>
      <c r="K30" s="82"/>
      <c r="L30" s="82"/>
      <c r="M30" s="82"/>
      <c r="N30" s="82"/>
      <c r="O30" s="82"/>
      <c r="P30" s="82"/>
      <c r="Q30" s="82"/>
      <c r="R30" s="82"/>
      <c r="S30" s="82"/>
      <c r="T30" s="82"/>
      <c r="U30" s="82"/>
      <c r="V30" s="88"/>
    </row>
    <row r="31" spans="1:22" x14ac:dyDescent="0.3">
      <c r="A31" s="86"/>
      <c r="B31" s="82"/>
      <c r="C31" s="82"/>
      <c r="D31" s="82"/>
      <c r="E31" s="82"/>
      <c r="F31" s="82"/>
      <c r="G31" s="82"/>
      <c r="H31" s="82"/>
      <c r="I31" s="82"/>
      <c r="J31" s="82"/>
      <c r="K31" s="82"/>
      <c r="L31" s="82"/>
      <c r="M31" s="82"/>
      <c r="N31" s="82"/>
      <c r="O31" s="82"/>
      <c r="P31" s="82"/>
      <c r="Q31" s="82"/>
      <c r="R31" s="82"/>
      <c r="S31" s="82"/>
      <c r="T31" s="82"/>
      <c r="U31" s="82"/>
      <c r="V31" s="88"/>
    </row>
    <row r="32" spans="1:22" x14ac:dyDescent="0.3">
      <c r="A32" s="86"/>
      <c r="B32" s="82"/>
      <c r="C32" s="82"/>
      <c r="D32" s="82"/>
      <c r="E32" s="82"/>
      <c r="F32" s="82"/>
      <c r="G32" s="82"/>
      <c r="H32" s="82"/>
      <c r="I32" s="82"/>
      <c r="J32" s="82"/>
      <c r="K32" s="82"/>
      <c r="L32" s="82"/>
      <c r="M32" s="82"/>
      <c r="N32" s="82"/>
      <c r="O32" s="82"/>
      <c r="P32" s="82"/>
      <c r="Q32" s="82"/>
      <c r="R32" s="82"/>
      <c r="S32" s="82"/>
      <c r="T32" s="82"/>
      <c r="U32" s="82"/>
      <c r="V32" s="88"/>
    </row>
    <row r="33" spans="1:22" x14ac:dyDescent="0.3">
      <c r="A33" s="86"/>
      <c r="B33" s="82"/>
      <c r="C33" s="82"/>
      <c r="D33" s="82"/>
      <c r="E33" s="82"/>
      <c r="F33" s="82"/>
      <c r="G33" s="82"/>
      <c r="H33" s="82"/>
      <c r="I33" s="82"/>
      <c r="J33" s="82"/>
      <c r="K33" s="82"/>
      <c r="L33" s="82"/>
      <c r="M33" s="82"/>
      <c r="N33" s="82"/>
      <c r="O33" s="82"/>
      <c r="P33" s="82"/>
      <c r="Q33" s="82"/>
      <c r="R33" s="82"/>
      <c r="S33" s="82"/>
      <c r="T33" s="82"/>
      <c r="U33" s="82"/>
      <c r="V33" s="88"/>
    </row>
    <row r="34" spans="1:22" x14ac:dyDescent="0.3">
      <c r="A34" s="86"/>
      <c r="B34" s="82"/>
      <c r="C34" s="82"/>
      <c r="D34" s="82"/>
      <c r="E34" s="82"/>
      <c r="F34" s="82"/>
      <c r="G34" s="82"/>
      <c r="H34" s="82"/>
      <c r="I34" s="82"/>
      <c r="J34" s="82"/>
      <c r="K34" s="82"/>
      <c r="L34" s="82"/>
      <c r="M34" s="82"/>
      <c r="N34" s="82"/>
      <c r="O34" s="82"/>
      <c r="P34" s="82"/>
      <c r="Q34" s="82"/>
      <c r="R34" s="82"/>
      <c r="S34" s="82"/>
      <c r="T34" s="82"/>
      <c r="U34" s="82"/>
      <c r="V34" s="88"/>
    </row>
    <row r="35" spans="1:22" x14ac:dyDescent="0.3">
      <c r="A35" s="86"/>
      <c r="B35" s="82"/>
      <c r="C35" s="82"/>
      <c r="D35" s="82"/>
      <c r="E35" s="82"/>
      <c r="F35" s="82"/>
      <c r="G35" s="82"/>
      <c r="H35" s="82"/>
      <c r="I35" s="82"/>
      <c r="J35" s="82"/>
      <c r="K35" s="82"/>
      <c r="L35" s="82"/>
      <c r="M35" s="82"/>
      <c r="N35" s="82"/>
      <c r="O35" s="82"/>
      <c r="P35" s="82"/>
      <c r="Q35" s="82"/>
      <c r="R35" s="82"/>
      <c r="S35" s="82"/>
      <c r="T35" s="82"/>
      <c r="U35" s="82"/>
      <c r="V35" s="88"/>
    </row>
    <row r="36" spans="1:22" x14ac:dyDescent="0.3">
      <c r="A36" s="86"/>
      <c r="B36" s="82"/>
      <c r="C36" s="82"/>
      <c r="D36" s="82"/>
      <c r="E36" s="82"/>
      <c r="F36" s="82"/>
      <c r="G36" s="82"/>
      <c r="H36" s="82"/>
      <c r="I36" s="82"/>
      <c r="J36" s="82"/>
      <c r="K36" s="82"/>
      <c r="L36" s="82"/>
      <c r="M36" s="82"/>
      <c r="N36" s="82"/>
      <c r="O36" s="82"/>
      <c r="P36" s="82"/>
      <c r="Q36" s="82"/>
      <c r="R36" s="82"/>
      <c r="S36" s="82"/>
      <c r="T36" s="82"/>
      <c r="U36" s="82"/>
      <c r="V36" s="88"/>
    </row>
    <row r="37" spans="1:22" x14ac:dyDescent="0.3">
      <c r="A37" s="86"/>
      <c r="B37" s="82"/>
      <c r="C37" s="82"/>
      <c r="D37" s="82"/>
      <c r="E37" s="82"/>
      <c r="F37" s="82"/>
      <c r="G37" s="82"/>
      <c r="H37" s="82"/>
      <c r="I37" s="82"/>
      <c r="J37" s="82"/>
      <c r="K37" s="82"/>
      <c r="L37" s="82"/>
      <c r="M37" s="82"/>
      <c r="N37" s="82"/>
      <c r="O37" s="82"/>
      <c r="P37" s="82"/>
      <c r="Q37" s="82"/>
      <c r="R37" s="82"/>
      <c r="S37" s="82"/>
      <c r="T37" s="82"/>
      <c r="U37" s="82"/>
      <c r="V37" s="88"/>
    </row>
    <row r="38" spans="1:22" x14ac:dyDescent="0.3">
      <c r="A38" s="86"/>
      <c r="B38" s="82"/>
      <c r="C38" s="82"/>
      <c r="D38" s="82"/>
      <c r="E38" s="82"/>
      <c r="F38" s="82"/>
      <c r="G38" s="82"/>
      <c r="H38" s="82"/>
      <c r="I38" s="82"/>
      <c r="J38" s="82"/>
      <c r="K38" s="82"/>
      <c r="L38" s="82"/>
      <c r="M38" s="82"/>
      <c r="N38" s="82"/>
      <c r="O38" s="82"/>
      <c r="P38" s="82"/>
      <c r="Q38" s="82"/>
      <c r="R38" s="82"/>
      <c r="S38" s="82"/>
      <c r="T38" s="82"/>
      <c r="U38" s="82"/>
      <c r="V38" s="88"/>
    </row>
    <row r="39" spans="1:22" x14ac:dyDescent="0.3">
      <c r="A39" s="86"/>
      <c r="B39" s="82"/>
      <c r="C39" s="82"/>
      <c r="D39" s="82"/>
      <c r="E39" s="82"/>
      <c r="F39" s="82"/>
      <c r="G39" s="82"/>
      <c r="H39" s="82"/>
      <c r="I39" s="82"/>
      <c r="J39" s="82"/>
      <c r="K39" s="82"/>
      <c r="L39" s="82"/>
      <c r="M39" s="82"/>
      <c r="N39" s="82"/>
      <c r="O39" s="82"/>
      <c r="P39" s="82"/>
      <c r="Q39" s="82"/>
      <c r="R39" s="82"/>
      <c r="S39" s="82"/>
      <c r="T39" s="82"/>
      <c r="U39" s="82"/>
      <c r="V39" s="88"/>
    </row>
    <row r="40" spans="1:22" x14ac:dyDescent="0.3">
      <c r="A40" s="86"/>
      <c r="B40" s="82"/>
      <c r="C40" s="82"/>
      <c r="D40" s="82"/>
      <c r="E40" s="82"/>
      <c r="F40" s="82"/>
      <c r="G40" s="82"/>
      <c r="H40" s="82"/>
      <c r="I40" s="82"/>
      <c r="J40" s="82"/>
      <c r="K40" s="82"/>
      <c r="L40" s="82"/>
      <c r="M40" s="82"/>
      <c r="N40" s="82"/>
      <c r="O40" s="82"/>
      <c r="P40" s="82"/>
      <c r="Q40" s="82"/>
      <c r="R40" s="82"/>
      <c r="S40" s="82"/>
      <c r="T40" s="82"/>
      <c r="U40" s="82"/>
      <c r="V40" s="88"/>
    </row>
    <row r="41" spans="1:22" x14ac:dyDescent="0.3">
      <c r="A41" s="86"/>
      <c r="B41" s="82"/>
      <c r="C41" s="82"/>
      <c r="D41" s="82"/>
      <c r="E41" s="82"/>
      <c r="F41" s="82"/>
      <c r="G41" s="82"/>
      <c r="H41" s="82"/>
      <c r="I41" s="82"/>
      <c r="J41" s="82"/>
      <c r="K41" s="82"/>
      <c r="L41" s="82"/>
      <c r="M41" s="82"/>
      <c r="N41" s="82"/>
      <c r="O41" s="82"/>
      <c r="P41" s="82"/>
      <c r="Q41" s="82"/>
      <c r="R41" s="82"/>
      <c r="S41" s="82"/>
      <c r="T41" s="82"/>
      <c r="U41" s="82"/>
      <c r="V41" s="88"/>
    </row>
    <row r="42" spans="1:22" x14ac:dyDescent="0.3">
      <c r="A42" s="86"/>
      <c r="B42" s="82"/>
      <c r="C42" s="82"/>
      <c r="D42" s="82"/>
      <c r="E42" s="82"/>
      <c r="F42" s="82"/>
      <c r="G42" s="82"/>
      <c r="H42" s="82"/>
      <c r="I42" s="82"/>
      <c r="J42" s="82"/>
      <c r="K42" s="82"/>
      <c r="L42" s="82"/>
      <c r="M42" s="82"/>
      <c r="N42" s="82"/>
      <c r="O42" s="82"/>
      <c r="P42" s="82"/>
      <c r="Q42" s="82"/>
      <c r="R42" s="82"/>
      <c r="S42" s="82"/>
      <c r="T42" s="82"/>
      <c r="U42" s="82"/>
      <c r="V42" s="88"/>
    </row>
    <row r="43" spans="1:22" x14ac:dyDescent="0.3">
      <c r="A43" s="86"/>
      <c r="B43" s="82"/>
      <c r="C43" s="82"/>
      <c r="D43" s="82"/>
      <c r="E43" s="82"/>
      <c r="F43" s="82"/>
      <c r="G43" s="82"/>
      <c r="H43" s="82"/>
      <c r="I43" s="82"/>
      <c r="J43" s="82"/>
      <c r="K43" s="82"/>
      <c r="L43" s="82"/>
      <c r="M43" s="82"/>
      <c r="N43" s="82"/>
      <c r="O43" s="82"/>
      <c r="P43" s="82"/>
      <c r="Q43" s="82"/>
      <c r="R43" s="82"/>
      <c r="S43" s="82"/>
      <c r="T43" s="82"/>
      <c r="U43" s="82"/>
      <c r="V43" s="88"/>
    </row>
    <row r="44" spans="1:22" x14ac:dyDescent="0.3">
      <c r="A44" s="86"/>
      <c r="B44" s="82"/>
      <c r="C44" s="82"/>
      <c r="D44" s="82"/>
      <c r="E44" s="82"/>
      <c r="F44" s="82"/>
      <c r="G44" s="82"/>
      <c r="H44" s="82"/>
      <c r="I44" s="82"/>
      <c r="J44" s="82"/>
      <c r="K44" s="82"/>
      <c r="L44" s="82"/>
      <c r="M44" s="82"/>
      <c r="N44" s="82"/>
      <c r="O44" s="82"/>
      <c r="P44" s="82"/>
      <c r="Q44" s="82"/>
      <c r="R44" s="82"/>
      <c r="S44" s="82"/>
      <c r="T44" s="82"/>
      <c r="U44" s="82"/>
      <c r="V44" s="88"/>
    </row>
    <row r="45" spans="1:22" x14ac:dyDescent="0.3">
      <c r="A45" s="86"/>
      <c r="B45" s="82"/>
      <c r="C45" s="82"/>
      <c r="D45" s="82"/>
      <c r="E45" s="82"/>
      <c r="F45" s="82"/>
      <c r="G45" s="82"/>
      <c r="H45" s="82"/>
      <c r="I45" s="82"/>
      <c r="J45" s="82"/>
      <c r="K45" s="82"/>
      <c r="L45" s="82"/>
      <c r="M45" s="82"/>
      <c r="N45" s="82"/>
      <c r="O45" s="82"/>
      <c r="P45" s="82"/>
      <c r="Q45" s="82"/>
      <c r="R45" s="82"/>
      <c r="S45" s="82"/>
      <c r="T45" s="82"/>
      <c r="U45" s="82"/>
      <c r="V45" s="88"/>
    </row>
    <row r="46" spans="1:22" x14ac:dyDescent="0.3">
      <c r="A46" s="86"/>
      <c r="B46" s="82"/>
      <c r="C46" s="82"/>
      <c r="D46" s="82"/>
      <c r="E46" s="82"/>
      <c r="F46" s="82"/>
      <c r="G46" s="82"/>
      <c r="H46" s="82"/>
      <c r="I46" s="82"/>
      <c r="J46" s="82"/>
      <c r="K46" s="82"/>
      <c r="L46" s="82"/>
      <c r="M46" s="82"/>
      <c r="N46" s="82"/>
      <c r="O46" s="82"/>
      <c r="P46" s="82"/>
      <c r="Q46" s="82"/>
      <c r="R46" s="82"/>
      <c r="S46" s="82"/>
      <c r="T46" s="82"/>
      <c r="U46" s="82"/>
      <c r="V46" s="88"/>
    </row>
    <row r="47" spans="1:22" x14ac:dyDescent="0.3">
      <c r="A47" s="86"/>
      <c r="B47" s="82"/>
      <c r="C47" s="82"/>
      <c r="D47" s="82"/>
      <c r="E47" s="82"/>
      <c r="F47" s="82"/>
      <c r="G47" s="82"/>
      <c r="H47" s="82"/>
      <c r="I47" s="82"/>
      <c r="J47" s="82"/>
      <c r="K47" s="82"/>
      <c r="L47" s="82"/>
      <c r="M47" s="82"/>
      <c r="N47" s="82"/>
      <c r="O47" s="82"/>
      <c r="P47" s="82"/>
      <c r="Q47" s="82"/>
      <c r="R47" s="82"/>
      <c r="S47" s="82"/>
      <c r="T47" s="82"/>
      <c r="U47" s="82"/>
      <c r="V47" s="88"/>
    </row>
    <row r="48" spans="1:22" ht="15" thickBot="1" x14ac:dyDescent="0.35">
      <c r="A48" s="89"/>
      <c r="B48" s="90"/>
      <c r="C48" s="90"/>
      <c r="D48" s="90"/>
      <c r="E48" s="90"/>
      <c r="F48" s="90"/>
      <c r="G48" s="90"/>
      <c r="H48" s="90"/>
      <c r="I48" s="90"/>
      <c r="J48" s="90"/>
      <c r="K48" s="90"/>
      <c r="L48" s="90"/>
      <c r="M48" s="90"/>
      <c r="N48" s="90"/>
      <c r="O48" s="90"/>
      <c r="P48" s="90"/>
      <c r="Q48" s="90"/>
      <c r="R48" s="90"/>
      <c r="S48" s="90"/>
      <c r="T48" s="90"/>
      <c r="U48" s="90"/>
      <c r="V48" s="91"/>
    </row>
  </sheetData>
  <mergeCells count="1">
    <mergeCell ref="A1:V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E31B-4808-4951-AC0C-4D26732E346B}">
  <dimension ref="A1:S927"/>
  <sheetViews>
    <sheetView zoomScale="67" workbookViewId="0">
      <selection activeCell="S19" sqref="S19"/>
    </sheetView>
  </sheetViews>
  <sheetFormatPr defaultRowHeight="21" x14ac:dyDescent="0.4"/>
  <cols>
    <col min="1" max="1" width="12.21875" customWidth="1"/>
    <col min="3" max="3" width="17.77734375" customWidth="1"/>
    <col min="6" max="6" width="25.88671875" customWidth="1"/>
    <col min="7" max="7" width="16.77734375" customWidth="1"/>
    <col min="10" max="10" width="16.21875" customWidth="1"/>
    <col min="11" max="11" width="15.44140625" customWidth="1"/>
    <col min="12" max="12" width="11.6640625" customWidth="1"/>
    <col min="13" max="13" width="11.44140625" customWidth="1"/>
    <col min="14" max="14" width="16.5546875" customWidth="1"/>
    <col min="19" max="19" width="96.109375" style="56" customWidth="1"/>
  </cols>
  <sheetData>
    <row r="1" spans="1:19" ht="21.6" thickBot="1" x14ac:dyDescent="0.45">
      <c r="A1" s="70" t="s">
        <v>59</v>
      </c>
      <c r="B1" s="71"/>
      <c r="C1" s="71"/>
      <c r="D1" s="71"/>
      <c r="E1" s="71"/>
      <c r="F1" s="71"/>
      <c r="G1" s="72"/>
      <c r="H1" s="19"/>
      <c r="I1" s="27"/>
      <c r="J1" s="19"/>
      <c r="K1" s="76" t="s">
        <v>69</v>
      </c>
      <c r="L1" s="77"/>
      <c r="M1" s="77"/>
      <c r="N1" s="77"/>
      <c r="O1" s="77"/>
      <c r="P1" s="78"/>
    </row>
    <row r="2" spans="1:19" ht="21.6" thickBot="1" x14ac:dyDescent="0.45">
      <c r="I2" s="12"/>
      <c r="S2" s="57" t="s">
        <v>79</v>
      </c>
    </row>
    <row r="3" spans="1:19" ht="21.6" thickBot="1" x14ac:dyDescent="0.45">
      <c r="A3" s="34" t="s">
        <v>0</v>
      </c>
      <c r="B3" s="35" t="s">
        <v>8</v>
      </c>
      <c r="C3" s="36" t="s">
        <v>60</v>
      </c>
      <c r="D3" s="4"/>
      <c r="E3" s="34" t="s">
        <v>8</v>
      </c>
      <c r="F3" s="35" t="s">
        <v>60</v>
      </c>
      <c r="G3" s="36" t="s">
        <v>61</v>
      </c>
      <c r="H3" s="13"/>
      <c r="M3" s="32" t="s">
        <v>8</v>
      </c>
      <c r="N3" s="33" t="s">
        <v>70</v>
      </c>
      <c r="S3" s="63"/>
    </row>
    <row r="4" spans="1:19" x14ac:dyDescent="0.4">
      <c r="A4" s="22" t="str">
        <f>DataSet!A2</f>
        <v>CUST0001</v>
      </c>
      <c r="B4" s="6" t="str">
        <f>DataSet!C2</f>
        <v>North</v>
      </c>
      <c r="C4" s="23" t="str">
        <f>IFERROR(VLOOKUP(B4,$E$4:$F$8,2,FALSE),"Not Found")</f>
        <v>Amit Shah</v>
      </c>
      <c r="D4" s="4"/>
      <c r="E4" s="22" t="s">
        <v>9</v>
      </c>
      <c r="F4" s="6" t="s">
        <v>62</v>
      </c>
      <c r="G4" s="23">
        <v>500000</v>
      </c>
      <c r="H4" s="13"/>
      <c r="M4" s="14" t="s">
        <v>9</v>
      </c>
      <c r="N4" s="15">
        <f ca="1">SUMIF(DataSet!$C$2:$C$328,M4,DataSet!$I$2:$I$230)</f>
        <v>3866226.5</v>
      </c>
      <c r="S4" s="62" t="s">
        <v>80</v>
      </c>
    </row>
    <row r="5" spans="1:19" ht="18" x14ac:dyDescent="0.35">
      <c r="A5" s="22" t="str">
        <f>DataSet!A3</f>
        <v>CUST0002</v>
      </c>
      <c r="B5" s="6" t="str">
        <f>DataSet!C3</f>
        <v>South</v>
      </c>
      <c r="C5" s="23" t="str">
        <f t="shared" ref="C5:C68" si="0">IFERROR(VLOOKUP(B5,$E$4:$F$8,2,FALSE),"Not Found")</f>
        <v>Neha Patel</v>
      </c>
      <c r="D5" s="4"/>
      <c r="E5" s="22" t="s">
        <v>10</v>
      </c>
      <c r="F5" s="6" t="s">
        <v>5</v>
      </c>
      <c r="G5" s="23">
        <v>450000</v>
      </c>
      <c r="H5" s="13"/>
      <c r="M5" s="14" t="s">
        <v>10</v>
      </c>
      <c r="N5" s="15">
        <f ca="1">SUMIF(DataSet!$C$2:$C$328,M5,DataSet!$I$2:$I$230)</f>
        <v>3919562.1399999997</v>
      </c>
      <c r="S5" s="60" t="s">
        <v>81</v>
      </c>
    </row>
    <row r="6" spans="1:19" ht="18" x14ac:dyDescent="0.35">
      <c r="A6" s="22" t="str">
        <f>DataSet!A4</f>
        <v>CUST0003</v>
      </c>
      <c r="B6" s="6" t="str">
        <f>DataSet!C4</f>
        <v>East</v>
      </c>
      <c r="C6" s="23" t="str">
        <f t="shared" si="0"/>
        <v>Riya Mehta</v>
      </c>
      <c r="D6" s="4"/>
      <c r="E6" s="22" t="s">
        <v>11</v>
      </c>
      <c r="F6" s="6" t="s">
        <v>3</v>
      </c>
      <c r="G6" s="23">
        <v>400000</v>
      </c>
      <c r="H6" s="13"/>
      <c r="M6" s="14" t="s">
        <v>11</v>
      </c>
      <c r="N6" s="15">
        <f ca="1">SUMIF(DataSet!$C$2:$C$328,M6,DataSet!$I$2:$I$230)</f>
        <v>3891741.7</v>
      </c>
      <c r="S6" s="60" t="s">
        <v>82</v>
      </c>
    </row>
    <row r="7" spans="1:19" ht="18" x14ac:dyDescent="0.35">
      <c r="A7" s="22" t="str">
        <f>DataSet!A5</f>
        <v>CUST0004</v>
      </c>
      <c r="B7" s="6" t="str">
        <f>DataSet!C5</f>
        <v>West</v>
      </c>
      <c r="C7" s="23" t="str">
        <f t="shared" si="0"/>
        <v>Karan Desai</v>
      </c>
      <c r="D7" s="4"/>
      <c r="E7" s="22" t="s">
        <v>12</v>
      </c>
      <c r="F7" s="6" t="s">
        <v>63</v>
      </c>
      <c r="G7" s="23">
        <v>550000</v>
      </c>
      <c r="H7" s="13"/>
      <c r="M7" s="14" t="s">
        <v>12</v>
      </c>
      <c r="N7" s="15">
        <f ca="1">SUMIF(DataSet!$C$2:$C$328,M7,DataSet!$I$2:$I$230)</f>
        <v>4097279.9199999995</v>
      </c>
      <c r="S7" s="60" t="s">
        <v>83</v>
      </c>
    </row>
    <row r="8" spans="1:19" ht="18.600000000000001" thickBot="1" x14ac:dyDescent="0.4">
      <c r="A8" s="22" t="str">
        <f>DataSet!A6</f>
        <v>CUST0005</v>
      </c>
      <c r="B8" s="6" t="str">
        <f>DataSet!C6</f>
        <v>Central</v>
      </c>
      <c r="C8" s="23" t="str">
        <f t="shared" si="0"/>
        <v>Pooja Joshi</v>
      </c>
      <c r="D8" s="4"/>
      <c r="E8" s="24" t="s">
        <v>13</v>
      </c>
      <c r="F8" s="29" t="s">
        <v>6</v>
      </c>
      <c r="G8" s="25">
        <v>480000</v>
      </c>
      <c r="H8" s="13"/>
      <c r="M8" s="30" t="s">
        <v>13</v>
      </c>
      <c r="N8" s="31">
        <f ca="1">SUMIF(DataSet!$C$2:$C$328,M8,DataSet!$I$2:$I$230)</f>
        <v>3678973.0600000005</v>
      </c>
      <c r="S8" s="61" t="s">
        <v>84</v>
      </c>
    </row>
    <row r="9" spans="1:19" x14ac:dyDescent="0.4">
      <c r="A9" s="22" t="str">
        <f>DataSet!A7</f>
        <v>CUST0006</v>
      </c>
      <c r="B9" s="6" t="str">
        <f>DataSet!C7</f>
        <v>North</v>
      </c>
      <c r="C9" s="23" t="str">
        <f t="shared" si="0"/>
        <v>Amit Shah</v>
      </c>
      <c r="D9" s="4"/>
      <c r="E9" s="4"/>
      <c r="F9" s="4"/>
      <c r="G9" s="4"/>
      <c r="H9" s="13"/>
      <c r="S9" s="64" t="s">
        <v>85</v>
      </c>
    </row>
    <row r="10" spans="1:19" ht="18.600000000000001" thickBot="1" x14ac:dyDescent="0.4">
      <c r="A10" s="22" t="str">
        <f>DataSet!A8</f>
        <v>CUST0007</v>
      </c>
      <c r="B10" s="6" t="str">
        <f>DataSet!C8</f>
        <v>South</v>
      </c>
      <c r="C10" s="23" t="str">
        <f t="shared" si="0"/>
        <v>Neha Patel</v>
      </c>
      <c r="D10" s="4"/>
      <c r="E10" s="4"/>
      <c r="F10" s="4"/>
      <c r="G10" s="4"/>
      <c r="H10" s="13"/>
      <c r="S10" s="65" t="s">
        <v>86</v>
      </c>
    </row>
    <row r="11" spans="1:19" x14ac:dyDescent="0.4">
      <c r="A11" s="22" t="str">
        <f>DataSet!A9</f>
        <v>CUST0008</v>
      </c>
      <c r="B11" s="6" t="str">
        <f>DataSet!C9</f>
        <v>East</v>
      </c>
      <c r="C11" s="23" t="str">
        <f t="shared" si="0"/>
        <v>Riya Mehta</v>
      </c>
      <c r="D11" s="4"/>
      <c r="E11" s="4"/>
      <c r="F11" s="4"/>
      <c r="G11" s="4"/>
      <c r="H11" s="13"/>
      <c r="S11" s="64" t="s">
        <v>87</v>
      </c>
    </row>
    <row r="12" spans="1:19" ht="18.600000000000001" thickBot="1" x14ac:dyDescent="0.4">
      <c r="A12" s="22" t="str">
        <f>DataSet!A10</f>
        <v>CUST0009</v>
      </c>
      <c r="B12" s="6" t="str">
        <f>DataSet!C10</f>
        <v>West</v>
      </c>
      <c r="C12" s="23" t="str">
        <f t="shared" si="0"/>
        <v>Karan Desai</v>
      </c>
      <c r="D12" s="4"/>
      <c r="E12" s="4"/>
      <c r="F12" s="4"/>
      <c r="G12" s="4"/>
      <c r="H12" s="13"/>
      <c r="S12" s="59" t="s">
        <v>88</v>
      </c>
    </row>
    <row r="13" spans="1:19" x14ac:dyDescent="0.4">
      <c r="A13" s="22" t="str">
        <f>DataSet!A11</f>
        <v>CUST0010</v>
      </c>
      <c r="B13" s="6" t="str">
        <f>DataSet!C11</f>
        <v>Central</v>
      </c>
      <c r="C13" s="23" t="str">
        <f t="shared" si="0"/>
        <v>Pooja Joshi</v>
      </c>
      <c r="D13" s="4"/>
      <c r="E13" s="4"/>
      <c r="F13" s="4"/>
      <c r="G13" s="4"/>
      <c r="H13" s="13"/>
      <c r="S13" s="64" t="s">
        <v>89</v>
      </c>
    </row>
    <row r="14" spans="1:19" ht="18" x14ac:dyDescent="0.35">
      <c r="A14" s="22" t="str">
        <f>DataSet!A12</f>
        <v>CUST0011</v>
      </c>
      <c r="B14" s="6" t="str">
        <f>DataSet!C12</f>
        <v>North</v>
      </c>
      <c r="C14" s="23" t="str">
        <f t="shared" si="0"/>
        <v>Amit Shah</v>
      </c>
      <c r="D14" s="4"/>
      <c r="E14" s="4"/>
      <c r="F14" s="4"/>
      <c r="G14" s="4"/>
      <c r="H14" s="13"/>
      <c r="S14" s="58" t="s">
        <v>90</v>
      </c>
    </row>
    <row r="15" spans="1:19" ht="18.600000000000001" thickBot="1" x14ac:dyDescent="0.4">
      <c r="A15" s="22" t="str">
        <f>DataSet!A13</f>
        <v>CUST0012</v>
      </c>
      <c r="B15" s="6" t="str">
        <f>DataSet!C13</f>
        <v>South</v>
      </c>
      <c r="C15" s="23" t="str">
        <f t="shared" si="0"/>
        <v>Neha Patel</v>
      </c>
      <c r="D15" s="4"/>
      <c r="E15" s="4"/>
      <c r="F15" s="4"/>
      <c r="G15" s="4"/>
      <c r="H15" s="13"/>
      <c r="S15" s="59" t="s">
        <v>91</v>
      </c>
    </row>
    <row r="16" spans="1:19" x14ac:dyDescent="0.4">
      <c r="A16" s="22" t="str">
        <f>DataSet!A14</f>
        <v>CUST0013</v>
      </c>
      <c r="B16" s="6" t="str">
        <f>DataSet!C14</f>
        <v>East</v>
      </c>
      <c r="C16" s="23" t="str">
        <f t="shared" si="0"/>
        <v>Riya Mehta</v>
      </c>
      <c r="D16" s="4"/>
      <c r="E16" s="4"/>
      <c r="F16" s="4"/>
      <c r="G16" s="4"/>
      <c r="H16" s="13"/>
      <c r="S16" s="66" t="s">
        <v>92</v>
      </c>
    </row>
    <row r="17" spans="1:19" ht="18.600000000000001" thickBot="1" x14ac:dyDescent="0.4">
      <c r="A17" s="22" t="str">
        <f>DataSet!A15</f>
        <v>CUST0014</v>
      </c>
      <c r="B17" s="6" t="str">
        <f>DataSet!C15</f>
        <v>West</v>
      </c>
      <c r="C17" s="23" t="str">
        <f t="shared" si="0"/>
        <v>Karan Desai</v>
      </c>
      <c r="D17" s="4"/>
      <c r="E17" s="4"/>
      <c r="F17" s="4"/>
      <c r="G17" s="4"/>
      <c r="H17" s="13"/>
      <c r="S17" s="59" t="s">
        <v>93</v>
      </c>
    </row>
    <row r="18" spans="1:19" x14ac:dyDescent="0.4">
      <c r="A18" s="22" t="str">
        <f>DataSet!A16</f>
        <v>CUST0015</v>
      </c>
      <c r="B18" s="6" t="str">
        <f>DataSet!C16</f>
        <v>Central</v>
      </c>
      <c r="C18" s="23" t="str">
        <f t="shared" si="0"/>
        <v>Pooja Joshi</v>
      </c>
      <c r="D18" s="4"/>
      <c r="E18" s="4"/>
      <c r="F18" s="4"/>
      <c r="G18" s="4"/>
      <c r="H18" s="13"/>
    </row>
    <row r="19" spans="1:19" x14ac:dyDescent="0.4">
      <c r="A19" s="22" t="str">
        <f>DataSet!A17</f>
        <v>CUST0016</v>
      </c>
      <c r="B19" s="6" t="str">
        <f>DataSet!C17</f>
        <v>North</v>
      </c>
      <c r="C19" s="23" t="str">
        <f t="shared" si="0"/>
        <v>Amit Shah</v>
      </c>
      <c r="D19" s="4"/>
      <c r="E19" s="4"/>
      <c r="F19" s="4"/>
      <c r="G19" s="4"/>
      <c r="H19" s="13"/>
    </row>
    <row r="20" spans="1:19" x14ac:dyDescent="0.4">
      <c r="A20" s="22" t="str">
        <f>DataSet!A18</f>
        <v>CUST0017</v>
      </c>
      <c r="B20" s="6" t="str">
        <f>DataSet!C18</f>
        <v>South</v>
      </c>
      <c r="C20" s="23" t="str">
        <f t="shared" si="0"/>
        <v>Neha Patel</v>
      </c>
      <c r="D20" s="4"/>
      <c r="E20" s="4"/>
      <c r="F20" s="4"/>
      <c r="G20" s="4"/>
      <c r="H20" s="13"/>
    </row>
    <row r="21" spans="1:19" x14ac:dyDescent="0.4">
      <c r="A21" s="22" t="str">
        <f>DataSet!A19</f>
        <v>CUST0018</v>
      </c>
      <c r="B21" s="6" t="str">
        <f>DataSet!C19</f>
        <v>East</v>
      </c>
      <c r="C21" s="23" t="str">
        <f t="shared" si="0"/>
        <v>Riya Mehta</v>
      </c>
      <c r="D21" s="4"/>
      <c r="E21" s="4"/>
      <c r="F21" s="4"/>
      <c r="G21" s="4"/>
      <c r="H21" s="13"/>
    </row>
    <row r="22" spans="1:19" x14ac:dyDescent="0.4">
      <c r="A22" s="22" t="str">
        <f>DataSet!A20</f>
        <v>CUST0019</v>
      </c>
      <c r="B22" s="6" t="str">
        <f>DataSet!C20</f>
        <v>West</v>
      </c>
      <c r="C22" s="23" t="str">
        <f t="shared" si="0"/>
        <v>Karan Desai</v>
      </c>
      <c r="D22" s="4"/>
      <c r="E22" s="4"/>
      <c r="F22" s="4"/>
      <c r="G22" s="4"/>
      <c r="H22" s="13"/>
    </row>
    <row r="23" spans="1:19" x14ac:dyDescent="0.4">
      <c r="A23" s="22" t="str">
        <f>DataSet!A21</f>
        <v>CUST0020</v>
      </c>
      <c r="B23" s="6" t="str">
        <f>DataSet!C21</f>
        <v>Central</v>
      </c>
      <c r="C23" s="23" t="str">
        <f t="shared" si="0"/>
        <v>Pooja Joshi</v>
      </c>
      <c r="D23" s="4"/>
      <c r="E23" s="4"/>
      <c r="F23" s="4"/>
      <c r="G23" s="4"/>
      <c r="H23" s="13"/>
    </row>
    <row r="24" spans="1:19" x14ac:dyDescent="0.4">
      <c r="A24" s="22" t="str">
        <f>DataSet!A22</f>
        <v>CUST0021</v>
      </c>
      <c r="B24" s="6" t="str">
        <f>DataSet!C22</f>
        <v>North</v>
      </c>
      <c r="C24" s="23" t="str">
        <f t="shared" si="0"/>
        <v>Amit Shah</v>
      </c>
      <c r="D24" s="4"/>
      <c r="E24" s="4"/>
      <c r="F24" s="4"/>
      <c r="G24" s="4"/>
      <c r="H24" s="13"/>
    </row>
    <row r="25" spans="1:19" x14ac:dyDescent="0.4">
      <c r="A25" s="22" t="str">
        <f>DataSet!A23</f>
        <v>CUST0022</v>
      </c>
      <c r="B25" s="6" t="str">
        <f>DataSet!C23</f>
        <v>South</v>
      </c>
      <c r="C25" s="23" t="str">
        <f t="shared" si="0"/>
        <v>Neha Patel</v>
      </c>
      <c r="D25" s="4"/>
      <c r="E25" s="4"/>
      <c r="F25" s="4"/>
      <c r="G25" s="4"/>
      <c r="H25" s="13"/>
    </row>
    <row r="26" spans="1:19" ht="21.6" thickBot="1" x14ac:dyDescent="0.45">
      <c r="A26" s="22" t="str">
        <f>DataSet!A24</f>
        <v>CUST0023</v>
      </c>
      <c r="B26" s="6" t="str">
        <f>DataSet!C24</f>
        <v>East</v>
      </c>
      <c r="C26" s="23" t="str">
        <f t="shared" si="0"/>
        <v>Riya Mehta</v>
      </c>
      <c r="D26" s="4"/>
      <c r="E26" s="4"/>
      <c r="F26" s="4"/>
      <c r="G26" s="4"/>
      <c r="H26" s="13"/>
    </row>
    <row r="27" spans="1:19" ht="21.6" thickBot="1" x14ac:dyDescent="0.45">
      <c r="A27" s="22" t="str">
        <f>DataSet!A25</f>
        <v>CUST0024</v>
      </c>
      <c r="B27" s="6" t="str">
        <f>DataSet!C25</f>
        <v>West</v>
      </c>
      <c r="C27" s="23" t="str">
        <f t="shared" si="0"/>
        <v>Karan Desai</v>
      </c>
      <c r="D27" s="4"/>
      <c r="E27" s="4"/>
      <c r="F27" s="4"/>
      <c r="G27" s="4"/>
      <c r="H27" s="13"/>
      <c r="J27" s="70" t="s">
        <v>71</v>
      </c>
      <c r="K27" s="71"/>
      <c r="L27" s="71"/>
      <c r="M27" s="71"/>
      <c r="N27" s="71"/>
      <c r="O27" s="72"/>
    </row>
    <row r="28" spans="1:19" ht="21.6" thickBot="1" x14ac:dyDescent="0.45">
      <c r="A28" s="22" t="str">
        <f>DataSet!A26</f>
        <v>CUST0025</v>
      </c>
      <c r="B28" s="6" t="str">
        <f>DataSet!C26</f>
        <v>Central</v>
      </c>
      <c r="C28" s="23" t="str">
        <f t="shared" si="0"/>
        <v>Pooja Joshi</v>
      </c>
      <c r="D28" s="4"/>
      <c r="E28" s="4"/>
      <c r="F28" s="4"/>
      <c r="G28" s="4"/>
      <c r="H28" s="13"/>
    </row>
    <row r="29" spans="1:19" x14ac:dyDescent="0.4">
      <c r="A29" s="22" t="str">
        <f>DataSet!A27</f>
        <v>CUST0026</v>
      </c>
      <c r="B29" s="6" t="str">
        <f>DataSet!C27</f>
        <v>North</v>
      </c>
      <c r="C29" s="23" t="str">
        <f t="shared" si="0"/>
        <v>Amit Shah</v>
      </c>
      <c r="D29" s="4"/>
      <c r="E29" s="4"/>
      <c r="F29" s="4"/>
      <c r="G29" s="4"/>
      <c r="H29" s="13"/>
      <c r="J29" s="34" t="s">
        <v>0</v>
      </c>
      <c r="K29" s="35" t="s">
        <v>24</v>
      </c>
      <c r="L29" s="36" t="s">
        <v>66</v>
      </c>
    </row>
    <row r="30" spans="1:19" x14ac:dyDescent="0.4">
      <c r="A30" s="22" t="str">
        <f>DataSet!A28</f>
        <v>CUST0027</v>
      </c>
      <c r="B30" s="6" t="str">
        <f>DataSet!C28</f>
        <v>South</v>
      </c>
      <c r="C30" s="23" t="str">
        <f t="shared" si="0"/>
        <v>Neha Patel</v>
      </c>
      <c r="D30" s="4"/>
      <c r="E30" s="4"/>
      <c r="F30" s="4"/>
      <c r="G30" s="4"/>
      <c r="H30" s="13"/>
      <c r="J30" s="22" t="str">
        <f>DataSet!A2</f>
        <v>CUST0001</v>
      </c>
      <c r="K30" s="6">
        <f>DataSet!I2</f>
        <v>500</v>
      </c>
      <c r="L30" s="23" t="str">
        <f>IF(K30&gt;=25000,"High Value","Regular")</f>
        <v>Regular</v>
      </c>
    </row>
    <row r="31" spans="1:19" x14ac:dyDescent="0.4">
      <c r="A31" s="22" t="str">
        <f>DataSet!A29</f>
        <v>CUST0028</v>
      </c>
      <c r="B31" s="6" t="str">
        <f>DataSet!C29</f>
        <v>East</v>
      </c>
      <c r="C31" s="23" t="str">
        <f t="shared" si="0"/>
        <v>Riya Mehta</v>
      </c>
      <c r="D31" s="4"/>
      <c r="E31" s="4"/>
      <c r="F31" s="4"/>
      <c r="G31" s="4"/>
      <c r="H31" s="13"/>
      <c r="J31" s="22" t="str">
        <f>DataSet!A3</f>
        <v>CUST0002</v>
      </c>
      <c r="K31" s="6">
        <f>DataSet!I3</f>
        <v>4994.08</v>
      </c>
      <c r="L31" s="23" t="str">
        <f t="shared" ref="L31:L94" si="1">IF(K31&gt;=25000,"High Value","Regular")</f>
        <v>Regular</v>
      </c>
    </row>
    <row r="32" spans="1:19" x14ac:dyDescent="0.4">
      <c r="A32" s="22" t="str">
        <f>DataSet!A30</f>
        <v>CUST0029</v>
      </c>
      <c r="B32" s="6" t="str">
        <f>DataSet!C30</f>
        <v>West</v>
      </c>
      <c r="C32" s="23" t="str">
        <f t="shared" si="0"/>
        <v>Karan Desai</v>
      </c>
      <c r="D32" s="4"/>
      <c r="E32" s="4"/>
      <c r="F32" s="4"/>
      <c r="G32" s="4"/>
      <c r="H32" s="13"/>
      <c r="J32" s="22" t="str">
        <f>DataSet!A4</f>
        <v>CUST0003</v>
      </c>
      <c r="K32" s="6">
        <f>DataSet!I4</f>
        <v>2941.2</v>
      </c>
      <c r="L32" s="23" t="str">
        <f t="shared" si="1"/>
        <v>Regular</v>
      </c>
    </row>
    <row r="33" spans="1:12" x14ac:dyDescent="0.4">
      <c r="A33" s="22" t="str">
        <f>DataSet!A31</f>
        <v>CUST0030</v>
      </c>
      <c r="B33" s="6" t="str">
        <f>DataSet!C31</f>
        <v>Central</v>
      </c>
      <c r="C33" s="23" t="str">
        <f t="shared" si="0"/>
        <v>Pooja Joshi</v>
      </c>
      <c r="D33" s="4"/>
      <c r="E33" s="4"/>
      <c r="F33" s="4"/>
      <c r="G33" s="4"/>
      <c r="H33" s="13"/>
      <c r="J33" s="22" t="str">
        <f>DataSet!A5</f>
        <v>CUST0004</v>
      </c>
      <c r="K33" s="6">
        <f>DataSet!I5</f>
        <v>9219.32</v>
      </c>
      <c r="L33" s="23" t="str">
        <f t="shared" si="1"/>
        <v>Regular</v>
      </c>
    </row>
    <row r="34" spans="1:12" x14ac:dyDescent="0.4">
      <c r="A34" s="22" t="str">
        <f>DataSet!A32</f>
        <v>CUST0031</v>
      </c>
      <c r="B34" s="6" t="str">
        <f>DataSet!C32</f>
        <v>North</v>
      </c>
      <c r="C34" s="23" t="str">
        <f t="shared" si="0"/>
        <v>Amit Shah</v>
      </c>
      <c r="D34" s="4"/>
      <c r="E34" s="4"/>
      <c r="F34" s="4"/>
      <c r="G34" s="4"/>
      <c r="H34" s="13"/>
      <c r="J34" s="22" t="str">
        <f>DataSet!A6</f>
        <v>CUST0005</v>
      </c>
      <c r="K34" s="6">
        <f>DataSet!I6</f>
        <v>6602.4</v>
      </c>
      <c r="L34" s="23" t="str">
        <f t="shared" si="1"/>
        <v>Regular</v>
      </c>
    </row>
    <row r="35" spans="1:12" x14ac:dyDescent="0.4">
      <c r="A35" s="22" t="str">
        <f>DataSet!A33</f>
        <v>CUST0032</v>
      </c>
      <c r="B35" s="6" t="str">
        <f>DataSet!C33</f>
        <v>South</v>
      </c>
      <c r="C35" s="23" t="str">
        <f t="shared" si="0"/>
        <v>Neha Patel</v>
      </c>
      <c r="D35" s="4"/>
      <c r="E35" s="4"/>
      <c r="F35" s="4"/>
      <c r="G35" s="4"/>
      <c r="H35" s="13"/>
      <c r="J35" s="22" t="str">
        <f>DataSet!A7</f>
        <v>CUST0006</v>
      </c>
      <c r="K35" s="6">
        <f>DataSet!I7</f>
        <v>3128.4</v>
      </c>
      <c r="L35" s="23" t="str">
        <f t="shared" si="1"/>
        <v>Regular</v>
      </c>
    </row>
    <row r="36" spans="1:12" x14ac:dyDescent="0.4">
      <c r="A36" s="22" t="str">
        <f>DataSet!A34</f>
        <v>CUST0033</v>
      </c>
      <c r="B36" s="6" t="str">
        <f>DataSet!C34</f>
        <v>East</v>
      </c>
      <c r="C36" s="23" t="str">
        <f t="shared" si="0"/>
        <v>Riya Mehta</v>
      </c>
      <c r="D36" s="4"/>
      <c r="E36" s="4"/>
      <c r="F36" s="4"/>
      <c r="G36" s="4"/>
      <c r="H36" s="13"/>
      <c r="J36" s="22" t="str">
        <f>DataSet!A8</f>
        <v>CUST0007</v>
      </c>
      <c r="K36" s="6">
        <f>DataSet!I8</f>
        <v>11237</v>
      </c>
      <c r="L36" s="23" t="str">
        <f t="shared" si="1"/>
        <v>Regular</v>
      </c>
    </row>
    <row r="37" spans="1:12" x14ac:dyDescent="0.4">
      <c r="A37" s="22" t="str">
        <f>DataSet!A35</f>
        <v>CUST0034</v>
      </c>
      <c r="B37" s="6" t="str">
        <f>DataSet!C35</f>
        <v>West</v>
      </c>
      <c r="C37" s="23" t="str">
        <f t="shared" si="0"/>
        <v>Karan Desai</v>
      </c>
      <c r="D37" s="4"/>
      <c r="E37" s="4"/>
      <c r="F37" s="4"/>
      <c r="G37" s="4"/>
      <c r="H37" s="13"/>
      <c r="J37" s="22" t="str">
        <f>DataSet!A9</f>
        <v>CUST0008</v>
      </c>
      <c r="K37" s="6">
        <f>DataSet!I9</f>
        <v>7003.2</v>
      </c>
      <c r="L37" s="23" t="str">
        <f t="shared" si="1"/>
        <v>Regular</v>
      </c>
    </row>
    <row r="38" spans="1:12" x14ac:dyDescent="0.4">
      <c r="A38" s="22" t="str">
        <f>DataSet!A36</f>
        <v>CUST0035</v>
      </c>
      <c r="B38" s="6" t="str">
        <f>DataSet!C36</f>
        <v>Central</v>
      </c>
      <c r="C38" s="23" t="str">
        <f t="shared" si="0"/>
        <v>Pooja Joshi</v>
      </c>
      <c r="D38" s="4"/>
      <c r="E38" s="4"/>
      <c r="F38" s="4"/>
      <c r="G38" s="4"/>
      <c r="H38" s="13"/>
      <c r="J38" s="22" t="str">
        <f>DataSet!A10</f>
        <v>CUST0009</v>
      </c>
      <c r="K38" s="6">
        <f>DataSet!I10</f>
        <v>3192</v>
      </c>
      <c r="L38" s="23" t="str">
        <f t="shared" si="1"/>
        <v>Regular</v>
      </c>
    </row>
    <row r="39" spans="1:12" x14ac:dyDescent="0.4">
      <c r="A39" s="22" t="str">
        <f>DataSet!A37</f>
        <v>CUST0036</v>
      </c>
      <c r="B39" s="6" t="str">
        <f>DataSet!C37</f>
        <v>North</v>
      </c>
      <c r="C39" s="23" t="str">
        <f t="shared" si="0"/>
        <v>Amit Shah</v>
      </c>
      <c r="D39" s="4"/>
      <c r="E39" s="4"/>
      <c r="F39" s="4"/>
      <c r="G39" s="4"/>
      <c r="H39" s="13"/>
      <c r="J39" s="22" t="str">
        <f>DataSet!A11</f>
        <v>CUST0010</v>
      </c>
      <c r="K39" s="6">
        <f>DataSet!I11</f>
        <v>15285.06</v>
      </c>
      <c r="L39" s="23" t="str">
        <f t="shared" si="1"/>
        <v>Regular</v>
      </c>
    </row>
    <row r="40" spans="1:12" x14ac:dyDescent="0.4">
      <c r="A40" s="22" t="str">
        <f>DataSet!A38</f>
        <v>CUST0037</v>
      </c>
      <c r="B40" s="6" t="str">
        <f>DataSet!C38</f>
        <v>South</v>
      </c>
      <c r="C40" s="23" t="str">
        <f t="shared" si="0"/>
        <v>Neha Patel</v>
      </c>
      <c r="D40" s="4"/>
      <c r="E40" s="4"/>
      <c r="F40" s="4"/>
      <c r="G40" s="4"/>
      <c r="H40" s="13"/>
      <c r="J40" s="22" t="str">
        <f>DataSet!A12</f>
        <v>CUST0011</v>
      </c>
      <c r="K40" s="6">
        <f>DataSet!I12</f>
        <v>8882.5</v>
      </c>
      <c r="L40" s="23" t="str">
        <f t="shared" si="1"/>
        <v>Regular</v>
      </c>
    </row>
    <row r="41" spans="1:12" x14ac:dyDescent="0.4">
      <c r="A41" s="22" t="str">
        <f>DataSet!A39</f>
        <v>CUST0038</v>
      </c>
      <c r="B41" s="6" t="str">
        <f>DataSet!C39</f>
        <v>East</v>
      </c>
      <c r="C41" s="23" t="str">
        <f t="shared" si="0"/>
        <v>Riya Mehta</v>
      </c>
      <c r="D41" s="4"/>
      <c r="E41" s="4"/>
      <c r="F41" s="4"/>
      <c r="G41" s="4"/>
      <c r="H41" s="13"/>
      <c r="J41" s="22" t="str">
        <f>DataSet!A13</f>
        <v>CUST0012</v>
      </c>
      <c r="K41" s="6">
        <f>DataSet!I13</f>
        <v>1846.44</v>
      </c>
      <c r="L41" s="23" t="str">
        <f t="shared" si="1"/>
        <v>Regular</v>
      </c>
    </row>
    <row r="42" spans="1:12" x14ac:dyDescent="0.4">
      <c r="A42" s="22" t="str">
        <f>DataSet!A40</f>
        <v>CUST0039</v>
      </c>
      <c r="B42" s="6" t="str">
        <f>DataSet!C40</f>
        <v>West</v>
      </c>
      <c r="C42" s="23" t="str">
        <f t="shared" si="0"/>
        <v>Karan Desai</v>
      </c>
      <c r="D42" s="4"/>
      <c r="E42" s="4"/>
      <c r="F42" s="4"/>
      <c r="G42" s="4"/>
      <c r="H42" s="13"/>
      <c r="J42" s="22" t="str">
        <f>DataSet!A14</f>
        <v>CUST0013</v>
      </c>
      <c r="K42" s="6">
        <f>DataSet!I14</f>
        <v>15436.8</v>
      </c>
      <c r="L42" s="23" t="str">
        <f t="shared" si="1"/>
        <v>Regular</v>
      </c>
    </row>
    <row r="43" spans="1:12" x14ac:dyDescent="0.4">
      <c r="A43" s="22" t="str">
        <f>DataSet!A41</f>
        <v>CUST0040</v>
      </c>
      <c r="B43" s="6" t="str">
        <f>DataSet!C41</f>
        <v>Central</v>
      </c>
      <c r="C43" s="23" t="str">
        <f t="shared" si="0"/>
        <v>Pooja Joshi</v>
      </c>
      <c r="D43" s="4"/>
      <c r="E43" s="4"/>
      <c r="F43" s="4"/>
      <c r="G43" s="4"/>
      <c r="H43" s="13"/>
      <c r="J43" s="22" t="str">
        <f>DataSet!A15</f>
        <v>CUST0014</v>
      </c>
      <c r="K43" s="6">
        <f>DataSet!I15</f>
        <v>8029.12</v>
      </c>
      <c r="L43" s="23" t="str">
        <f t="shared" si="1"/>
        <v>Regular</v>
      </c>
    </row>
    <row r="44" spans="1:12" x14ac:dyDescent="0.4">
      <c r="A44" s="22" t="str">
        <f>DataSet!A42</f>
        <v>CUST0041</v>
      </c>
      <c r="B44" s="6" t="str">
        <f>DataSet!C42</f>
        <v>North</v>
      </c>
      <c r="C44" s="23" t="str">
        <f t="shared" si="0"/>
        <v>Amit Shah</v>
      </c>
      <c r="D44" s="4"/>
      <c r="E44" s="4"/>
      <c r="F44" s="4"/>
      <c r="G44" s="4"/>
      <c r="H44" s="13"/>
      <c r="J44" s="22" t="str">
        <f>DataSet!A16</f>
        <v>CUST0015</v>
      </c>
      <c r="K44" s="6">
        <f>DataSet!I16</f>
        <v>22608.3</v>
      </c>
      <c r="L44" s="23" t="str">
        <f t="shared" si="1"/>
        <v>Regular</v>
      </c>
    </row>
    <row r="45" spans="1:12" x14ac:dyDescent="0.4">
      <c r="A45" s="22" t="str">
        <f>DataSet!A43</f>
        <v>CUST0042</v>
      </c>
      <c r="B45" s="6" t="str">
        <f>DataSet!C43</f>
        <v>South</v>
      </c>
      <c r="C45" s="23" t="str">
        <f t="shared" si="0"/>
        <v>Neha Patel</v>
      </c>
      <c r="D45" s="4"/>
      <c r="E45" s="4"/>
      <c r="F45" s="4"/>
      <c r="G45" s="4"/>
      <c r="H45" s="13"/>
      <c r="J45" s="22" t="str">
        <f>DataSet!A17</f>
        <v>CUST0016</v>
      </c>
      <c r="K45" s="6">
        <f>DataSet!I17</f>
        <v>14308</v>
      </c>
      <c r="L45" s="23" t="str">
        <f t="shared" si="1"/>
        <v>Regular</v>
      </c>
    </row>
    <row r="46" spans="1:12" x14ac:dyDescent="0.4">
      <c r="A46" s="22" t="str">
        <f>DataSet!A44</f>
        <v>CUST0043</v>
      </c>
      <c r="B46" s="6" t="str">
        <f>DataSet!C44</f>
        <v>East</v>
      </c>
      <c r="C46" s="23" t="str">
        <f t="shared" si="0"/>
        <v>Riya Mehta</v>
      </c>
      <c r="D46" s="4"/>
      <c r="E46" s="4"/>
      <c r="F46" s="4"/>
      <c r="G46" s="4"/>
      <c r="H46" s="13"/>
      <c r="J46" s="22" t="str">
        <f>DataSet!A18</f>
        <v>CUST0017</v>
      </c>
      <c r="K46" s="6">
        <f>DataSet!I18</f>
        <v>20406</v>
      </c>
      <c r="L46" s="23" t="str">
        <f t="shared" si="1"/>
        <v>Regular</v>
      </c>
    </row>
    <row r="47" spans="1:12" x14ac:dyDescent="0.4">
      <c r="A47" s="22" t="str">
        <f>DataSet!A45</f>
        <v>CUST0044</v>
      </c>
      <c r="B47" s="6" t="str">
        <f>DataSet!C45</f>
        <v>West</v>
      </c>
      <c r="C47" s="23" t="str">
        <f t="shared" si="0"/>
        <v>Karan Desai</v>
      </c>
      <c r="D47" s="4"/>
      <c r="E47" s="4"/>
      <c r="F47" s="4"/>
      <c r="G47" s="4"/>
      <c r="H47" s="13"/>
      <c r="J47" s="22" t="str">
        <f>DataSet!A19</f>
        <v>CUST0018</v>
      </c>
      <c r="K47" s="6">
        <f>DataSet!I19</f>
        <v>27724.2</v>
      </c>
      <c r="L47" s="23" t="str">
        <f t="shared" si="1"/>
        <v>High Value</v>
      </c>
    </row>
    <row r="48" spans="1:12" x14ac:dyDescent="0.4">
      <c r="A48" s="22" t="str">
        <f>DataSet!A46</f>
        <v>CUST0045</v>
      </c>
      <c r="B48" s="6" t="str">
        <f>DataSet!C46</f>
        <v>Central</v>
      </c>
      <c r="C48" s="23" t="str">
        <f t="shared" si="0"/>
        <v>Pooja Joshi</v>
      </c>
      <c r="D48" s="4"/>
      <c r="E48" s="4"/>
      <c r="F48" s="4"/>
      <c r="G48" s="4"/>
      <c r="H48" s="13"/>
      <c r="J48" s="22" t="str">
        <f>DataSet!A20</f>
        <v>CUST0019</v>
      </c>
      <c r="K48" s="6">
        <f>DataSet!I20</f>
        <v>16906.2</v>
      </c>
      <c r="L48" s="23" t="str">
        <f t="shared" si="1"/>
        <v>Regular</v>
      </c>
    </row>
    <row r="49" spans="1:12" x14ac:dyDescent="0.4">
      <c r="A49" s="22" t="str">
        <f>DataSet!A47</f>
        <v>CUST0046</v>
      </c>
      <c r="B49" s="6" t="str">
        <f>DataSet!C47</f>
        <v>North</v>
      </c>
      <c r="C49" s="23" t="str">
        <f t="shared" si="0"/>
        <v>Amit Shah</v>
      </c>
      <c r="D49" s="4"/>
      <c r="E49" s="4"/>
      <c r="F49" s="4"/>
      <c r="G49" s="4"/>
      <c r="H49" s="13"/>
      <c r="J49" s="22" t="str">
        <f>DataSet!A21</f>
        <v>CUST0020</v>
      </c>
      <c r="K49" s="6">
        <f>DataSet!I21</f>
        <v>5709.52</v>
      </c>
      <c r="L49" s="23" t="str">
        <f t="shared" si="1"/>
        <v>Regular</v>
      </c>
    </row>
    <row r="50" spans="1:12" x14ac:dyDescent="0.4">
      <c r="A50" s="22" t="str">
        <f>DataSet!A48</f>
        <v>CUST0047</v>
      </c>
      <c r="B50" s="6" t="str">
        <f>DataSet!C48</f>
        <v>South</v>
      </c>
      <c r="C50" s="23" t="str">
        <f t="shared" si="0"/>
        <v>Neha Patel</v>
      </c>
      <c r="D50" s="4"/>
      <c r="E50" s="4"/>
      <c r="F50" s="4"/>
      <c r="G50" s="4"/>
      <c r="H50" s="13"/>
      <c r="J50" s="22" t="str">
        <f>DataSet!A22</f>
        <v>CUST0021</v>
      </c>
      <c r="K50" s="6">
        <f>DataSet!I22</f>
        <v>26244</v>
      </c>
      <c r="L50" s="23" t="str">
        <f t="shared" si="1"/>
        <v>High Value</v>
      </c>
    </row>
    <row r="51" spans="1:12" x14ac:dyDescent="0.4">
      <c r="A51" s="22" t="str">
        <f>DataSet!A49</f>
        <v>CUST0048</v>
      </c>
      <c r="B51" s="6" t="str">
        <f>DataSet!C49</f>
        <v>East</v>
      </c>
      <c r="C51" s="23" t="str">
        <f t="shared" si="0"/>
        <v>Riya Mehta</v>
      </c>
      <c r="D51" s="4"/>
      <c r="E51" s="4"/>
      <c r="F51" s="4"/>
      <c r="G51" s="4"/>
      <c r="H51" s="13"/>
      <c r="J51" s="22" t="str">
        <f>DataSet!A23</f>
        <v>CUST0022</v>
      </c>
      <c r="K51" s="6">
        <f>DataSet!I23</f>
        <v>14858.8</v>
      </c>
      <c r="L51" s="23" t="str">
        <f t="shared" si="1"/>
        <v>Regular</v>
      </c>
    </row>
    <row r="52" spans="1:12" x14ac:dyDescent="0.4">
      <c r="A52" s="22" t="str">
        <f>DataSet!A50</f>
        <v>CUST0049</v>
      </c>
      <c r="B52" s="6" t="str">
        <f>DataSet!C50</f>
        <v>West</v>
      </c>
      <c r="C52" s="23" t="str">
        <f t="shared" si="0"/>
        <v>Karan Desai</v>
      </c>
      <c r="D52" s="4"/>
      <c r="E52" s="4"/>
      <c r="F52" s="4"/>
      <c r="G52" s="4"/>
      <c r="H52" s="13"/>
      <c r="J52" s="22" t="str">
        <f>DataSet!A24</f>
        <v>CUST0023</v>
      </c>
      <c r="K52" s="6">
        <f>DataSet!I24</f>
        <v>2986.9</v>
      </c>
      <c r="L52" s="23" t="str">
        <f t="shared" si="1"/>
        <v>Regular</v>
      </c>
    </row>
    <row r="53" spans="1:12" x14ac:dyDescent="0.4">
      <c r="A53" s="22" t="str">
        <f>DataSet!A51</f>
        <v>CUST0050</v>
      </c>
      <c r="B53" s="6" t="str">
        <f>DataSet!C51</f>
        <v>Central</v>
      </c>
      <c r="C53" s="23" t="str">
        <f t="shared" si="0"/>
        <v>Pooja Joshi</v>
      </c>
      <c r="D53" s="4"/>
      <c r="E53" s="4"/>
      <c r="F53" s="4"/>
      <c r="G53" s="4"/>
      <c r="H53" s="13"/>
      <c r="J53" s="22" t="str">
        <f>DataSet!A25</f>
        <v>CUST0024</v>
      </c>
      <c r="K53" s="6">
        <f>DataSet!I25</f>
        <v>26287.200000000001</v>
      </c>
      <c r="L53" s="23" t="str">
        <f t="shared" si="1"/>
        <v>High Value</v>
      </c>
    </row>
    <row r="54" spans="1:12" x14ac:dyDescent="0.4">
      <c r="A54" s="22" t="str">
        <f>DataSet!A52</f>
        <v>CUST0051</v>
      </c>
      <c r="B54" s="6" t="str">
        <f>DataSet!C52</f>
        <v>North</v>
      </c>
      <c r="C54" s="23" t="str">
        <f t="shared" si="0"/>
        <v>Amit Shah</v>
      </c>
      <c r="D54" s="4"/>
      <c r="E54" s="4"/>
      <c r="F54" s="4"/>
      <c r="G54" s="4"/>
      <c r="H54" s="13"/>
      <c r="J54" s="22" t="str">
        <f>DataSet!A26</f>
        <v>CUST0025</v>
      </c>
      <c r="K54" s="6">
        <f>DataSet!I26</f>
        <v>15152</v>
      </c>
      <c r="L54" s="23" t="str">
        <f t="shared" si="1"/>
        <v>Regular</v>
      </c>
    </row>
    <row r="55" spans="1:12" x14ac:dyDescent="0.4">
      <c r="A55" s="22" t="str">
        <f>DataSet!A53</f>
        <v>CUST0052</v>
      </c>
      <c r="B55" s="6" t="str">
        <f>DataSet!C53</f>
        <v>South</v>
      </c>
      <c r="C55" s="23" t="str">
        <f t="shared" si="0"/>
        <v>Neha Patel</v>
      </c>
      <c r="D55" s="4"/>
      <c r="E55" s="4"/>
      <c r="F55" s="4"/>
      <c r="G55" s="4"/>
      <c r="H55" s="13"/>
      <c r="J55" s="22" t="str">
        <f>DataSet!A27</f>
        <v>CUST0026</v>
      </c>
      <c r="K55" s="6">
        <f>DataSet!I27</f>
        <v>42311.5</v>
      </c>
      <c r="L55" s="23" t="str">
        <f t="shared" si="1"/>
        <v>High Value</v>
      </c>
    </row>
    <row r="56" spans="1:12" x14ac:dyDescent="0.4">
      <c r="A56" s="22" t="str">
        <f>DataSet!A54</f>
        <v>CUST0053</v>
      </c>
      <c r="B56" s="6" t="str">
        <f>DataSet!C54</f>
        <v>East</v>
      </c>
      <c r="C56" s="23" t="str">
        <f t="shared" si="0"/>
        <v>Riya Mehta</v>
      </c>
      <c r="D56" s="4"/>
      <c r="E56" s="4"/>
      <c r="F56" s="4"/>
      <c r="G56" s="4"/>
      <c r="H56" s="13"/>
      <c r="J56" s="22" t="str">
        <f>DataSet!A28</f>
        <v>CUST0027</v>
      </c>
      <c r="K56" s="6">
        <f>DataSet!I28</f>
        <v>27012.3</v>
      </c>
      <c r="L56" s="23" t="str">
        <f t="shared" si="1"/>
        <v>High Value</v>
      </c>
    </row>
    <row r="57" spans="1:12" x14ac:dyDescent="0.4">
      <c r="A57" s="22" t="str">
        <f>DataSet!A55</f>
        <v>CUST0054</v>
      </c>
      <c r="B57" s="6" t="str">
        <f>DataSet!C55</f>
        <v>West</v>
      </c>
      <c r="C57" s="23" t="str">
        <f t="shared" si="0"/>
        <v>Karan Desai</v>
      </c>
      <c r="D57" s="4"/>
      <c r="E57" s="4"/>
      <c r="F57" s="4"/>
      <c r="G57" s="4"/>
      <c r="H57" s="13"/>
      <c r="J57" s="22" t="str">
        <f>DataSet!A29</f>
        <v>CUST0028</v>
      </c>
      <c r="K57" s="6">
        <f>DataSet!I29</f>
        <v>11589.24</v>
      </c>
      <c r="L57" s="23" t="str">
        <f t="shared" si="1"/>
        <v>Regular</v>
      </c>
    </row>
    <row r="58" spans="1:12" x14ac:dyDescent="0.4">
      <c r="A58" s="22" t="str">
        <f>DataSet!A56</f>
        <v>CUST0055</v>
      </c>
      <c r="B58" s="6" t="str">
        <f>DataSet!C56</f>
        <v>Central</v>
      </c>
      <c r="C58" s="23" t="str">
        <f t="shared" si="0"/>
        <v>Pooja Joshi</v>
      </c>
      <c r="D58" s="4"/>
      <c r="E58" s="4"/>
      <c r="F58" s="4"/>
      <c r="G58" s="4"/>
      <c r="H58" s="13"/>
      <c r="J58" s="22" t="str">
        <f>DataSet!A30</f>
        <v>CUST0029</v>
      </c>
      <c r="K58" s="6">
        <f>DataSet!I30</f>
        <v>39024</v>
      </c>
      <c r="L58" s="23" t="str">
        <f t="shared" si="1"/>
        <v>High Value</v>
      </c>
    </row>
    <row r="59" spans="1:12" x14ac:dyDescent="0.4">
      <c r="A59" s="22" t="str">
        <f>DataSet!A57</f>
        <v>CUST0056</v>
      </c>
      <c r="B59" s="6" t="str">
        <f>DataSet!C57</f>
        <v>North</v>
      </c>
      <c r="C59" s="23" t="str">
        <f t="shared" si="0"/>
        <v>Amit Shah</v>
      </c>
      <c r="D59" s="4"/>
      <c r="E59" s="4"/>
      <c r="F59" s="4"/>
      <c r="G59" s="4"/>
      <c r="H59" s="13"/>
      <c r="J59" s="22" t="str">
        <f>DataSet!A31</f>
        <v>CUST0030</v>
      </c>
      <c r="K59" s="6">
        <f>DataSet!I31</f>
        <v>23617.439999999999</v>
      </c>
      <c r="L59" s="23" t="str">
        <f t="shared" si="1"/>
        <v>Regular</v>
      </c>
    </row>
    <row r="60" spans="1:12" x14ac:dyDescent="0.4">
      <c r="A60" s="22" t="str">
        <f>DataSet!A58</f>
        <v>CUST0057</v>
      </c>
      <c r="B60" s="6" t="str">
        <f>DataSet!C58</f>
        <v>South</v>
      </c>
      <c r="C60" s="23" t="str">
        <f t="shared" si="0"/>
        <v>Neha Patel</v>
      </c>
      <c r="D60" s="4"/>
      <c r="E60" s="4"/>
      <c r="F60" s="4"/>
      <c r="G60" s="4"/>
      <c r="H60" s="13"/>
      <c r="J60" s="22" t="str">
        <f>DataSet!A32</f>
        <v>CUST0031</v>
      </c>
      <c r="K60" s="6">
        <f>DataSet!I32</f>
        <v>7837</v>
      </c>
      <c r="L60" s="23" t="str">
        <f t="shared" si="1"/>
        <v>Regular</v>
      </c>
    </row>
    <row r="61" spans="1:12" x14ac:dyDescent="0.4">
      <c r="A61" s="22" t="str">
        <f>DataSet!A59</f>
        <v>CUST0058</v>
      </c>
      <c r="B61" s="6" t="str">
        <f>DataSet!C59</f>
        <v>East</v>
      </c>
      <c r="C61" s="23" t="str">
        <f t="shared" si="0"/>
        <v>Riya Mehta</v>
      </c>
      <c r="D61" s="4"/>
      <c r="E61" s="4"/>
      <c r="F61" s="4"/>
      <c r="G61" s="4"/>
      <c r="H61" s="13"/>
      <c r="J61" s="22" t="str">
        <f>DataSet!A33</f>
        <v>CUST0032</v>
      </c>
      <c r="K61" s="6">
        <f>DataSet!I33</f>
        <v>34178.400000000001</v>
      </c>
      <c r="L61" s="23" t="str">
        <f t="shared" si="1"/>
        <v>High Value</v>
      </c>
    </row>
    <row r="62" spans="1:12" x14ac:dyDescent="0.4">
      <c r="A62" s="22" t="str">
        <f>DataSet!A60</f>
        <v>CUST0059</v>
      </c>
      <c r="B62" s="6" t="str">
        <f>DataSet!C60</f>
        <v>West</v>
      </c>
      <c r="C62" s="23" t="str">
        <f t="shared" si="0"/>
        <v>Karan Desai</v>
      </c>
      <c r="D62" s="4"/>
      <c r="E62" s="4"/>
      <c r="F62" s="4"/>
      <c r="G62" s="4"/>
      <c r="H62" s="13"/>
      <c r="J62" s="22" t="str">
        <f>DataSet!A34</f>
        <v>CUST0033</v>
      </c>
      <c r="K62" s="6">
        <f>DataSet!I34</f>
        <v>24420</v>
      </c>
      <c r="L62" s="23" t="str">
        <f t="shared" si="1"/>
        <v>Regular</v>
      </c>
    </row>
    <row r="63" spans="1:12" x14ac:dyDescent="0.4">
      <c r="A63" s="22" t="str">
        <f>DataSet!A61</f>
        <v>CUST0060</v>
      </c>
      <c r="B63" s="6" t="str">
        <f>DataSet!C61</f>
        <v>Central</v>
      </c>
      <c r="C63" s="23" t="str">
        <f t="shared" si="0"/>
        <v>Pooja Joshi</v>
      </c>
      <c r="D63" s="4"/>
      <c r="E63" s="4"/>
      <c r="F63" s="4"/>
      <c r="G63" s="4"/>
      <c r="H63" s="13"/>
      <c r="J63" s="22" t="str">
        <f>DataSet!A35</f>
        <v>CUST0034</v>
      </c>
      <c r="K63" s="6">
        <f>DataSet!I35</f>
        <v>4920.58</v>
      </c>
      <c r="L63" s="23" t="str">
        <f t="shared" si="1"/>
        <v>Regular</v>
      </c>
    </row>
    <row r="64" spans="1:12" x14ac:dyDescent="0.4">
      <c r="A64" s="22" t="str">
        <f>DataSet!A62</f>
        <v>CUST0061</v>
      </c>
      <c r="B64" s="6" t="str">
        <f>DataSet!C62</f>
        <v>North</v>
      </c>
      <c r="C64" s="23" t="str">
        <f t="shared" si="0"/>
        <v>Amit Shah</v>
      </c>
      <c r="D64" s="4"/>
      <c r="E64" s="4"/>
      <c r="F64" s="4"/>
      <c r="G64" s="4"/>
      <c r="H64" s="13"/>
      <c r="J64" s="22" t="str">
        <f>DataSet!A36</f>
        <v>CUST0035</v>
      </c>
      <c r="K64" s="6">
        <f>DataSet!I36</f>
        <v>39200.800000000003</v>
      </c>
      <c r="L64" s="23" t="str">
        <f t="shared" si="1"/>
        <v>High Value</v>
      </c>
    </row>
    <row r="65" spans="1:12" x14ac:dyDescent="0.4">
      <c r="A65" s="22" t="str">
        <f>DataSet!A63</f>
        <v>CUST0062</v>
      </c>
      <c r="B65" s="6" t="str">
        <f>DataSet!C63</f>
        <v>South</v>
      </c>
      <c r="C65" s="23" t="str">
        <f t="shared" si="0"/>
        <v>Neha Patel</v>
      </c>
      <c r="D65" s="4"/>
      <c r="E65" s="4"/>
      <c r="F65" s="4"/>
      <c r="G65" s="4"/>
      <c r="H65" s="13"/>
      <c r="J65" s="22" t="str">
        <f>DataSet!A37</f>
        <v>CUST0036</v>
      </c>
      <c r="K65" s="6">
        <f>DataSet!I37</f>
        <v>19485.599999999999</v>
      </c>
      <c r="L65" s="23" t="str">
        <f t="shared" si="1"/>
        <v>Regular</v>
      </c>
    </row>
    <row r="66" spans="1:12" x14ac:dyDescent="0.4">
      <c r="A66" s="22" t="str">
        <f>DataSet!A64</f>
        <v>CUST0063</v>
      </c>
      <c r="B66" s="6" t="str">
        <f>DataSet!C64</f>
        <v>East</v>
      </c>
      <c r="C66" s="23" t="str">
        <f t="shared" si="0"/>
        <v>Riya Mehta</v>
      </c>
      <c r="D66" s="4"/>
      <c r="E66" s="4"/>
      <c r="F66" s="4"/>
      <c r="G66" s="4"/>
      <c r="H66" s="13"/>
      <c r="J66" s="22" t="str">
        <f>DataSet!A38</f>
        <v>CUST0037</v>
      </c>
      <c r="K66" s="6">
        <f>DataSet!I38</f>
        <v>53776.800000000003</v>
      </c>
      <c r="L66" s="23" t="str">
        <f t="shared" si="1"/>
        <v>High Value</v>
      </c>
    </row>
    <row r="67" spans="1:12" x14ac:dyDescent="0.4">
      <c r="A67" s="22" t="str">
        <f>DataSet!A65</f>
        <v>CUST0064</v>
      </c>
      <c r="B67" s="6" t="str">
        <f>DataSet!C65</f>
        <v>West</v>
      </c>
      <c r="C67" s="23" t="str">
        <f t="shared" si="0"/>
        <v>Karan Desai</v>
      </c>
      <c r="D67" s="4"/>
      <c r="E67" s="4"/>
      <c r="F67" s="4"/>
      <c r="G67" s="4"/>
      <c r="H67" s="13"/>
      <c r="J67" s="22" t="str">
        <f>DataSet!A39</f>
        <v>CUST0038</v>
      </c>
      <c r="K67" s="6">
        <f>DataSet!I39</f>
        <v>34305.040000000001</v>
      </c>
      <c r="L67" s="23" t="str">
        <f t="shared" si="1"/>
        <v>High Value</v>
      </c>
    </row>
    <row r="68" spans="1:12" x14ac:dyDescent="0.4">
      <c r="A68" s="22" t="str">
        <f>DataSet!A66</f>
        <v>CUST0065</v>
      </c>
      <c r="B68" s="6" t="str">
        <f>DataSet!C66</f>
        <v>Central</v>
      </c>
      <c r="C68" s="23" t="str">
        <f t="shared" si="0"/>
        <v>Pooja Joshi</v>
      </c>
      <c r="D68" s="4"/>
      <c r="E68" s="4"/>
      <c r="F68" s="4"/>
      <c r="G68" s="4"/>
      <c r="H68" s="13"/>
      <c r="J68" s="22" t="str">
        <f>DataSet!A40</f>
        <v>CUST0039</v>
      </c>
      <c r="K68" s="6">
        <f>DataSet!I40</f>
        <v>14550.3</v>
      </c>
      <c r="L68" s="23" t="str">
        <f t="shared" si="1"/>
        <v>Regular</v>
      </c>
    </row>
    <row r="69" spans="1:12" x14ac:dyDescent="0.4">
      <c r="A69" s="22" t="str">
        <f>DataSet!A67</f>
        <v>CUST0066</v>
      </c>
      <c r="B69" s="6" t="str">
        <f>DataSet!C67</f>
        <v>North</v>
      </c>
      <c r="C69" s="23" t="str">
        <f t="shared" ref="C69:C132" si="2">IFERROR(VLOOKUP(B69,$E$4:$F$8,2,FALSE),"Not Found")</f>
        <v>Amit Shah</v>
      </c>
      <c r="D69" s="4"/>
      <c r="E69" s="4"/>
      <c r="F69" s="4"/>
      <c r="G69" s="4"/>
      <c r="H69" s="13"/>
      <c r="J69" s="22" t="str">
        <f>DataSet!A41</f>
        <v>CUST0040</v>
      </c>
      <c r="K69" s="6">
        <f>DataSet!I41</f>
        <v>46744</v>
      </c>
      <c r="L69" s="23" t="str">
        <f t="shared" si="1"/>
        <v>High Value</v>
      </c>
    </row>
    <row r="70" spans="1:12" x14ac:dyDescent="0.4">
      <c r="A70" s="22" t="str">
        <f>DataSet!A68</f>
        <v>CUST0067</v>
      </c>
      <c r="B70" s="6" t="str">
        <f>DataSet!C68</f>
        <v>South</v>
      </c>
      <c r="C70" s="23" t="str">
        <f t="shared" si="2"/>
        <v>Neha Patel</v>
      </c>
      <c r="D70" s="4"/>
      <c r="E70" s="4"/>
      <c r="F70" s="4"/>
      <c r="G70" s="4"/>
      <c r="H70" s="13"/>
      <c r="J70" s="22" t="str">
        <f>DataSet!A42</f>
        <v>CUST0041</v>
      </c>
      <c r="K70" s="6">
        <f>DataSet!I42</f>
        <v>35880</v>
      </c>
      <c r="L70" s="23" t="str">
        <f t="shared" si="1"/>
        <v>High Value</v>
      </c>
    </row>
    <row r="71" spans="1:12" x14ac:dyDescent="0.4">
      <c r="A71" s="22" t="str">
        <f>DataSet!A69</f>
        <v>CUST0068</v>
      </c>
      <c r="B71" s="6" t="str">
        <f>DataSet!C69</f>
        <v>East</v>
      </c>
      <c r="C71" s="23" t="str">
        <f t="shared" si="2"/>
        <v>Riya Mehta</v>
      </c>
      <c r="D71" s="4"/>
      <c r="E71" s="4"/>
      <c r="F71" s="4"/>
      <c r="G71" s="4"/>
      <c r="H71" s="13"/>
      <c r="J71" s="22" t="str">
        <f>DataSet!A43</f>
        <v>CUST0042</v>
      </c>
      <c r="K71" s="6">
        <f>DataSet!I43</f>
        <v>11989.32</v>
      </c>
      <c r="L71" s="23" t="str">
        <f t="shared" si="1"/>
        <v>Regular</v>
      </c>
    </row>
    <row r="72" spans="1:12" x14ac:dyDescent="0.4">
      <c r="A72" s="22" t="str">
        <f>DataSet!A70</f>
        <v>CUST0069</v>
      </c>
      <c r="B72" s="6" t="str">
        <f>DataSet!C70</f>
        <v>West</v>
      </c>
      <c r="C72" s="23" t="str">
        <f t="shared" si="2"/>
        <v>Karan Desai</v>
      </c>
      <c r="D72" s="4"/>
      <c r="E72" s="4"/>
      <c r="F72" s="4"/>
      <c r="G72" s="4"/>
      <c r="H72" s="13"/>
      <c r="J72" s="22" t="str">
        <f>DataSet!A44</f>
        <v>CUST0043</v>
      </c>
      <c r="K72" s="6">
        <f>DataSet!I44</f>
        <v>53471.7</v>
      </c>
      <c r="L72" s="23" t="str">
        <f t="shared" si="1"/>
        <v>High Value</v>
      </c>
    </row>
    <row r="73" spans="1:12" x14ac:dyDescent="0.4">
      <c r="A73" s="22" t="str">
        <f>DataSet!A71</f>
        <v>CUST0070</v>
      </c>
      <c r="B73" s="6" t="str">
        <f>DataSet!C71</f>
        <v>Central</v>
      </c>
      <c r="C73" s="23" t="str">
        <f t="shared" si="2"/>
        <v>Pooja Joshi</v>
      </c>
      <c r="D73" s="4"/>
      <c r="E73" s="4"/>
      <c r="F73" s="4"/>
      <c r="G73" s="4"/>
      <c r="H73" s="13"/>
      <c r="J73" s="22" t="str">
        <f>DataSet!A45</f>
        <v>CUST0044</v>
      </c>
      <c r="K73" s="6">
        <f>DataSet!I45</f>
        <v>29398.6</v>
      </c>
      <c r="L73" s="23" t="str">
        <f t="shared" si="1"/>
        <v>High Value</v>
      </c>
    </row>
    <row r="74" spans="1:12" x14ac:dyDescent="0.4">
      <c r="A74" s="22" t="str">
        <f>DataSet!A72</f>
        <v>CUST0071</v>
      </c>
      <c r="B74" s="6" t="str">
        <f>DataSet!C72</f>
        <v>North</v>
      </c>
      <c r="C74" s="23" t="str">
        <f t="shared" si="2"/>
        <v>Amit Shah</v>
      </c>
      <c r="D74" s="4"/>
      <c r="E74" s="4"/>
      <c r="F74" s="4"/>
      <c r="G74" s="4"/>
      <c r="H74" s="13"/>
      <c r="J74" s="22" t="str">
        <f>DataSet!A46</f>
        <v>CUST0045</v>
      </c>
      <c r="K74" s="6">
        <f>DataSet!I46</f>
        <v>5875.2</v>
      </c>
      <c r="L74" s="23" t="str">
        <f t="shared" si="1"/>
        <v>Regular</v>
      </c>
    </row>
    <row r="75" spans="1:12" x14ac:dyDescent="0.4">
      <c r="A75" s="22" t="str">
        <f>DataSet!A73</f>
        <v>CUST0072</v>
      </c>
      <c r="B75" s="6" t="str">
        <f>DataSet!C73</f>
        <v>South</v>
      </c>
      <c r="C75" s="23" t="str">
        <f t="shared" si="2"/>
        <v>Neha Patel</v>
      </c>
      <c r="D75" s="4"/>
      <c r="E75" s="4"/>
      <c r="F75" s="4"/>
      <c r="G75" s="4"/>
      <c r="H75" s="13"/>
      <c r="J75" s="22" t="str">
        <f>DataSet!A47</f>
        <v>CUST0046</v>
      </c>
      <c r="K75" s="6">
        <f>DataSet!I47</f>
        <v>46921.599999999999</v>
      </c>
      <c r="L75" s="23" t="str">
        <f t="shared" si="1"/>
        <v>High Value</v>
      </c>
    </row>
    <row r="76" spans="1:12" x14ac:dyDescent="0.4">
      <c r="A76" s="22" t="str">
        <f>DataSet!A74</f>
        <v>CUST0073</v>
      </c>
      <c r="B76" s="6" t="str">
        <f>DataSet!C74</f>
        <v>East</v>
      </c>
      <c r="C76" s="23" t="str">
        <f t="shared" si="2"/>
        <v>Riya Mehta</v>
      </c>
      <c r="D76" s="4"/>
      <c r="E76" s="4"/>
      <c r="F76" s="4"/>
      <c r="G76" s="4"/>
      <c r="H76" s="13"/>
      <c r="J76" s="22" t="str">
        <f>DataSet!A48</f>
        <v>CUST0047</v>
      </c>
      <c r="K76" s="6">
        <f>DataSet!I48</f>
        <v>23126.799999999999</v>
      </c>
      <c r="L76" s="23" t="str">
        <f t="shared" si="1"/>
        <v>Regular</v>
      </c>
    </row>
    <row r="77" spans="1:12" x14ac:dyDescent="0.4">
      <c r="A77" s="22" t="str">
        <f>DataSet!A75</f>
        <v>CUST0074</v>
      </c>
      <c r="B77" s="6" t="str">
        <f>DataSet!C75</f>
        <v>West</v>
      </c>
      <c r="C77" s="23" t="str">
        <f t="shared" si="2"/>
        <v>Karan Desai</v>
      </c>
      <c r="D77" s="4"/>
      <c r="E77" s="4"/>
      <c r="F77" s="4"/>
      <c r="G77" s="4"/>
      <c r="H77" s="13"/>
      <c r="J77" s="22" t="str">
        <f>DataSet!A49</f>
        <v>CUST0048</v>
      </c>
      <c r="K77" s="6">
        <f>DataSet!I49</f>
        <v>61063.199999999997</v>
      </c>
      <c r="L77" s="23" t="str">
        <f t="shared" si="1"/>
        <v>High Value</v>
      </c>
    </row>
    <row r="78" spans="1:12" x14ac:dyDescent="0.4">
      <c r="A78" s="22" t="str">
        <f>DataSet!A76</f>
        <v>CUST0075</v>
      </c>
      <c r="B78" s="6" t="str">
        <f>DataSet!C76</f>
        <v>Central</v>
      </c>
      <c r="C78" s="23" t="str">
        <f t="shared" si="2"/>
        <v>Pooja Joshi</v>
      </c>
      <c r="D78" s="4"/>
      <c r="E78" s="4"/>
      <c r="F78" s="4"/>
      <c r="G78" s="4"/>
      <c r="H78" s="13"/>
      <c r="J78" s="22" t="str">
        <f>DataSet!A50</f>
        <v>CUST0049</v>
      </c>
      <c r="K78" s="6">
        <f>DataSet!I50</f>
        <v>49532</v>
      </c>
      <c r="L78" s="23" t="str">
        <f t="shared" si="1"/>
        <v>High Value</v>
      </c>
    </row>
    <row r="79" spans="1:12" x14ac:dyDescent="0.4">
      <c r="A79" s="22" t="str">
        <f>DataSet!A77</f>
        <v>CUST0076</v>
      </c>
      <c r="B79" s="6" t="str">
        <f>DataSet!C77</f>
        <v>North</v>
      </c>
      <c r="C79" s="23" t="str">
        <f t="shared" si="2"/>
        <v>Amit Shah</v>
      </c>
      <c r="D79" s="4"/>
      <c r="E79" s="4"/>
      <c r="F79" s="4"/>
      <c r="G79" s="4"/>
      <c r="H79" s="13"/>
      <c r="J79" s="22" t="str">
        <f>DataSet!A51</f>
        <v>CUST0050</v>
      </c>
      <c r="K79" s="6">
        <f>DataSet!I51</f>
        <v>21206.22</v>
      </c>
      <c r="L79" s="23" t="str">
        <f t="shared" si="1"/>
        <v>Regular</v>
      </c>
    </row>
    <row r="80" spans="1:12" x14ac:dyDescent="0.4">
      <c r="A80" s="22" t="str">
        <f>DataSet!A78</f>
        <v>CUST0077</v>
      </c>
      <c r="B80" s="6" t="str">
        <f>DataSet!C78</f>
        <v>South</v>
      </c>
      <c r="C80" s="23" t="str">
        <f t="shared" si="2"/>
        <v>Neha Patel</v>
      </c>
      <c r="D80" s="4"/>
      <c r="E80" s="4"/>
      <c r="F80" s="4"/>
      <c r="G80" s="4"/>
      <c r="H80" s="13"/>
      <c r="J80" s="22" t="str">
        <f>DataSet!A52</f>
        <v>CUST0051</v>
      </c>
      <c r="K80" s="6">
        <f>DataSet!I52</f>
        <v>69825</v>
      </c>
      <c r="L80" s="23" t="str">
        <f t="shared" si="1"/>
        <v>High Value</v>
      </c>
    </row>
    <row r="81" spans="1:12" x14ac:dyDescent="0.4">
      <c r="A81" s="22" t="str">
        <f>DataSet!A79</f>
        <v>CUST0078</v>
      </c>
      <c r="B81" s="6" t="str">
        <f>DataSet!C79</f>
        <v>East</v>
      </c>
      <c r="C81" s="23" t="str">
        <f t="shared" si="2"/>
        <v>Riya Mehta</v>
      </c>
      <c r="D81" s="4"/>
      <c r="E81" s="4"/>
      <c r="F81" s="4"/>
      <c r="G81" s="4"/>
      <c r="H81" s="13"/>
      <c r="J81" s="22" t="str">
        <f>DataSet!A53</f>
        <v>CUST0052</v>
      </c>
      <c r="K81" s="6">
        <f>DataSet!I53</f>
        <v>41328.239999999998</v>
      </c>
      <c r="L81" s="23" t="str">
        <f t="shared" si="1"/>
        <v>High Value</v>
      </c>
    </row>
    <row r="82" spans="1:12" x14ac:dyDescent="0.4">
      <c r="A82" s="22" t="str">
        <f>DataSet!A80</f>
        <v>CUST0079</v>
      </c>
      <c r="B82" s="6" t="str">
        <f>DataSet!C80</f>
        <v>West</v>
      </c>
      <c r="C82" s="23" t="str">
        <f t="shared" si="2"/>
        <v>Karan Desai</v>
      </c>
      <c r="D82" s="4"/>
      <c r="E82" s="4"/>
      <c r="F82" s="4"/>
      <c r="G82" s="4"/>
      <c r="H82" s="13"/>
      <c r="J82" s="22" t="str">
        <f>DataSet!A54</f>
        <v>CUST0053</v>
      </c>
      <c r="K82" s="6">
        <f>DataSet!I54</f>
        <v>13723.2</v>
      </c>
      <c r="L82" s="23" t="str">
        <f t="shared" si="1"/>
        <v>Regular</v>
      </c>
    </row>
    <row r="83" spans="1:12" x14ac:dyDescent="0.4">
      <c r="A83" s="22" t="str">
        <f>DataSet!A81</f>
        <v>CUST0080</v>
      </c>
      <c r="B83" s="6" t="str">
        <f>DataSet!C81</f>
        <v>Central</v>
      </c>
      <c r="C83" s="23" t="str">
        <f t="shared" si="2"/>
        <v>Pooja Joshi</v>
      </c>
      <c r="D83" s="4"/>
      <c r="E83" s="4"/>
      <c r="F83" s="4"/>
      <c r="G83" s="4"/>
      <c r="H83" s="13"/>
      <c r="J83" s="22" t="str">
        <f>DataSet!A55</f>
        <v>CUST0054</v>
      </c>
      <c r="K83" s="6">
        <f>DataSet!I55</f>
        <v>61467.12</v>
      </c>
      <c r="L83" s="23" t="str">
        <f t="shared" si="1"/>
        <v>High Value</v>
      </c>
    </row>
    <row r="84" spans="1:12" x14ac:dyDescent="0.4">
      <c r="A84" s="22" t="str">
        <f>DataSet!A82</f>
        <v>CUST0081</v>
      </c>
      <c r="B84" s="6" t="str">
        <f>DataSet!C82</f>
        <v>North</v>
      </c>
      <c r="C84" s="23" t="str">
        <f t="shared" si="2"/>
        <v>Amit Shah</v>
      </c>
      <c r="D84" s="4"/>
      <c r="E84" s="4"/>
      <c r="F84" s="4"/>
      <c r="G84" s="4"/>
      <c r="H84" s="13"/>
      <c r="J84" s="22" t="str">
        <f>DataSet!A56</f>
        <v>CUST0055</v>
      </c>
      <c r="K84" s="6">
        <f>DataSet!I56</f>
        <v>33566.5</v>
      </c>
      <c r="L84" s="23" t="str">
        <f t="shared" si="1"/>
        <v>High Value</v>
      </c>
    </row>
    <row r="85" spans="1:12" x14ac:dyDescent="0.4">
      <c r="A85" s="22" t="str">
        <f>DataSet!A83</f>
        <v>CUST0082</v>
      </c>
      <c r="B85" s="6" t="str">
        <f>DataSet!C83</f>
        <v>South</v>
      </c>
      <c r="C85" s="23" t="str">
        <f t="shared" si="2"/>
        <v>Neha Patel</v>
      </c>
      <c r="D85" s="4"/>
      <c r="E85" s="4"/>
      <c r="F85" s="4"/>
      <c r="G85" s="4"/>
      <c r="H85" s="13"/>
      <c r="J85" s="22" t="str">
        <f>DataSet!A57</f>
        <v>CUST0056</v>
      </c>
      <c r="K85" s="6">
        <f>DataSet!I57</f>
        <v>6428</v>
      </c>
      <c r="L85" s="23" t="str">
        <f t="shared" si="1"/>
        <v>Regular</v>
      </c>
    </row>
    <row r="86" spans="1:12" x14ac:dyDescent="0.4">
      <c r="A86" s="22" t="str">
        <f>DataSet!A84</f>
        <v>CUST0083</v>
      </c>
      <c r="B86" s="6" t="str">
        <f>DataSet!C84</f>
        <v>East</v>
      </c>
      <c r="C86" s="23" t="str">
        <f t="shared" si="2"/>
        <v>Riya Mehta</v>
      </c>
      <c r="D86" s="4"/>
      <c r="E86" s="4"/>
      <c r="F86" s="4"/>
      <c r="G86" s="4"/>
      <c r="H86" s="13"/>
      <c r="J86" s="22" t="str">
        <f>DataSet!A58</f>
        <v>CUST0057</v>
      </c>
      <c r="K86" s="6">
        <f>DataSet!I58</f>
        <v>65376</v>
      </c>
      <c r="L86" s="23" t="str">
        <f t="shared" si="1"/>
        <v>High Value</v>
      </c>
    </row>
    <row r="87" spans="1:12" x14ac:dyDescent="0.4">
      <c r="A87" s="22" t="str">
        <f>DataSet!A85</f>
        <v>CUST0084</v>
      </c>
      <c r="B87" s="6" t="str">
        <f>DataSet!C85</f>
        <v>West</v>
      </c>
      <c r="C87" s="23" t="str">
        <f t="shared" si="2"/>
        <v>Karan Desai</v>
      </c>
      <c r="D87" s="4"/>
      <c r="E87" s="4"/>
      <c r="F87" s="4"/>
      <c r="G87" s="4"/>
      <c r="H87" s="13"/>
      <c r="J87" s="22" t="str">
        <f>DataSet!A59</f>
        <v>CUST0058</v>
      </c>
      <c r="K87" s="6">
        <f>DataSet!I59</f>
        <v>32571.279999999999</v>
      </c>
      <c r="L87" s="23" t="str">
        <f t="shared" si="1"/>
        <v>High Value</v>
      </c>
    </row>
    <row r="88" spans="1:12" x14ac:dyDescent="0.4">
      <c r="A88" s="22" t="str">
        <f>DataSet!A86</f>
        <v>CUST0085</v>
      </c>
      <c r="B88" s="6" t="str">
        <f>DataSet!C86</f>
        <v>Central</v>
      </c>
      <c r="C88" s="23" t="str">
        <f t="shared" si="2"/>
        <v>Pooja Joshi</v>
      </c>
      <c r="D88" s="4"/>
      <c r="E88" s="4"/>
      <c r="F88" s="4"/>
      <c r="G88" s="4"/>
      <c r="H88" s="13"/>
      <c r="J88" s="22" t="str">
        <f>DataSet!A60</f>
        <v>CUST0059</v>
      </c>
      <c r="K88" s="6">
        <f>DataSet!I60</f>
        <v>88260.7</v>
      </c>
      <c r="L88" s="23" t="str">
        <f t="shared" si="1"/>
        <v>High Value</v>
      </c>
    </row>
    <row r="89" spans="1:12" x14ac:dyDescent="0.4">
      <c r="A89" s="22" t="str">
        <f>DataSet!A87</f>
        <v>CUST0086</v>
      </c>
      <c r="B89" s="6" t="str">
        <f>DataSet!C87</f>
        <v>North</v>
      </c>
      <c r="C89" s="23" t="str">
        <f t="shared" si="2"/>
        <v>Amit Shah</v>
      </c>
      <c r="D89" s="4"/>
      <c r="E89" s="4"/>
      <c r="F89" s="4"/>
      <c r="G89" s="4"/>
      <c r="H89" s="13"/>
      <c r="J89" s="22" t="str">
        <f>DataSet!A61</f>
        <v>CUST0060</v>
      </c>
      <c r="K89" s="6">
        <f>DataSet!I61</f>
        <v>55274.52</v>
      </c>
      <c r="L89" s="23" t="str">
        <f t="shared" si="1"/>
        <v>High Value</v>
      </c>
    </row>
    <row r="90" spans="1:12" x14ac:dyDescent="0.4">
      <c r="A90" s="22" t="str">
        <f>DataSet!A88</f>
        <v>CUST0087</v>
      </c>
      <c r="B90" s="6" t="str">
        <f>DataSet!C88</f>
        <v>South</v>
      </c>
      <c r="C90" s="23" t="str">
        <f t="shared" si="2"/>
        <v>Neha Patel</v>
      </c>
      <c r="D90" s="4"/>
      <c r="E90" s="4"/>
      <c r="F90" s="4"/>
      <c r="G90" s="4"/>
      <c r="H90" s="13"/>
      <c r="J90" s="22" t="str">
        <f>DataSet!A62</f>
        <v>CUST0061</v>
      </c>
      <c r="K90" s="6">
        <f>DataSet!I62</f>
        <v>23544</v>
      </c>
      <c r="L90" s="23" t="str">
        <f t="shared" si="1"/>
        <v>Regular</v>
      </c>
    </row>
    <row r="91" spans="1:12" x14ac:dyDescent="0.4">
      <c r="A91" s="22" t="str">
        <f>DataSet!A89</f>
        <v>CUST0088</v>
      </c>
      <c r="B91" s="6" t="str">
        <f>DataSet!C89</f>
        <v>East</v>
      </c>
      <c r="C91" s="23" t="str">
        <f t="shared" si="2"/>
        <v>Riya Mehta</v>
      </c>
      <c r="D91" s="4"/>
      <c r="E91" s="4"/>
      <c r="F91" s="4"/>
      <c r="G91" s="4"/>
      <c r="H91" s="13"/>
      <c r="J91" s="22" t="str">
        <f>DataSet!A63</f>
        <v>CUST0062</v>
      </c>
      <c r="K91" s="6">
        <f>DataSet!I63</f>
        <v>77941.600000000006</v>
      </c>
      <c r="L91" s="23" t="str">
        <f t="shared" si="1"/>
        <v>High Value</v>
      </c>
    </row>
    <row r="92" spans="1:12" x14ac:dyDescent="0.4">
      <c r="A92" s="22" t="str">
        <f>DataSet!A90</f>
        <v>CUST0089</v>
      </c>
      <c r="B92" s="6" t="str">
        <f>DataSet!C90</f>
        <v>West</v>
      </c>
      <c r="C92" s="23" t="str">
        <f t="shared" si="2"/>
        <v>Karan Desai</v>
      </c>
      <c r="D92" s="4"/>
      <c r="E92" s="4"/>
      <c r="F92" s="4"/>
      <c r="G92" s="4"/>
      <c r="H92" s="13"/>
      <c r="J92" s="22" t="str">
        <f>DataSet!A64</f>
        <v>CUST0063</v>
      </c>
      <c r="K92" s="6">
        <f>DataSet!I64</f>
        <v>45869.4</v>
      </c>
      <c r="L92" s="23" t="str">
        <f t="shared" si="1"/>
        <v>High Value</v>
      </c>
    </row>
    <row r="93" spans="1:12" x14ac:dyDescent="0.4">
      <c r="A93" s="22" t="str">
        <f>DataSet!A91</f>
        <v>CUST0090</v>
      </c>
      <c r="B93" s="6" t="str">
        <f>DataSet!C91</f>
        <v>Central</v>
      </c>
      <c r="C93" s="23" t="str">
        <f t="shared" si="2"/>
        <v>Pooja Joshi</v>
      </c>
      <c r="D93" s="4"/>
      <c r="E93" s="4"/>
      <c r="F93" s="4"/>
      <c r="G93" s="4"/>
      <c r="H93" s="13"/>
      <c r="J93" s="22" t="str">
        <f>DataSet!A65</f>
        <v>CUST0064</v>
      </c>
      <c r="K93" s="6">
        <f>DataSet!I65</f>
        <v>14609.6</v>
      </c>
      <c r="L93" s="23" t="str">
        <f t="shared" si="1"/>
        <v>Regular</v>
      </c>
    </row>
    <row r="94" spans="1:12" x14ac:dyDescent="0.4">
      <c r="A94" s="22" t="str">
        <f>DataSet!A92</f>
        <v>CUST0091</v>
      </c>
      <c r="B94" s="6" t="str">
        <f>DataSet!C92</f>
        <v>North</v>
      </c>
      <c r="C94" s="23" t="str">
        <f t="shared" si="2"/>
        <v>Amit Shah</v>
      </c>
      <c r="D94" s="4"/>
      <c r="E94" s="4"/>
      <c r="F94" s="4"/>
      <c r="G94" s="4"/>
      <c r="H94" s="13"/>
      <c r="J94" s="22" t="str">
        <f>DataSet!A66</f>
        <v>CUST0065</v>
      </c>
      <c r="K94" s="6">
        <f>DataSet!I66</f>
        <v>83412</v>
      </c>
      <c r="L94" s="23" t="str">
        <f t="shared" si="1"/>
        <v>High Value</v>
      </c>
    </row>
    <row r="95" spans="1:12" x14ac:dyDescent="0.4">
      <c r="A95" s="22" t="str">
        <f>DataSet!A93</f>
        <v>CUST0092</v>
      </c>
      <c r="B95" s="6" t="str">
        <f>DataSet!C93</f>
        <v>South</v>
      </c>
      <c r="C95" s="23" t="str">
        <f t="shared" si="2"/>
        <v>Neha Patel</v>
      </c>
      <c r="D95" s="4"/>
      <c r="E95" s="4"/>
      <c r="F95" s="4"/>
      <c r="G95" s="4"/>
      <c r="H95" s="13"/>
      <c r="J95" s="22" t="str">
        <f>DataSet!A67</f>
        <v>CUST0066</v>
      </c>
      <c r="K95" s="6">
        <f>DataSet!I67</f>
        <v>46084.5</v>
      </c>
      <c r="L95" s="23" t="str">
        <f t="shared" ref="L95:L158" si="3">IF(K95&gt;=25000,"High Value","Regular")</f>
        <v>High Value</v>
      </c>
    </row>
    <row r="96" spans="1:12" x14ac:dyDescent="0.4">
      <c r="A96" s="22" t="str">
        <f>DataSet!A94</f>
        <v>CUST0093</v>
      </c>
      <c r="B96" s="6" t="str">
        <f>DataSet!C94</f>
        <v>East</v>
      </c>
      <c r="C96" s="23" t="str">
        <f t="shared" si="2"/>
        <v>Riya Mehta</v>
      </c>
      <c r="D96" s="4"/>
      <c r="E96" s="4"/>
      <c r="F96" s="4"/>
      <c r="G96" s="4"/>
      <c r="H96" s="13"/>
      <c r="J96" s="22" t="str">
        <f>DataSet!A68</f>
        <v>CUST0067</v>
      </c>
      <c r="K96" s="6">
        <f>DataSet!I68</f>
        <v>9064.9</v>
      </c>
      <c r="L96" s="23" t="str">
        <f t="shared" si="3"/>
        <v>Regular</v>
      </c>
    </row>
    <row r="97" spans="1:12" x14ac:dyDescent="0.4">
      <c r="A97" s="22" t="str">
        <f>DataSet!A95</f>
        <v>CUST0094</v>
      </c>
      <c r="B97" s="6" t="str">
        <f>DataSet!C95</f>
        <v>West</v>
      </c>
      <c r="C97" s="23" t="str">
        <f t="shared" si="2"/>
        <v>Karan Desai</v>
      </c>
      <c r="D97" s="4"/>
      <c r="E97" s="4"/>
      <c r="F97" s="4"/>
      <c r="G97" s="4"/>
      <c r="H97" s="13"/>
      <c r="J97" s="22" t="str">
        <f>DataSet!A69</f>
        <v>CUST0068</v>
      </c>
      <c r="K97" s="6">
        <f>DataSet!I69</f>
        <v>71237.440000000002</v>
      </c>
      <c r="L97" s="23" t="str">
        <f t="shared" si="3"/>
        <v>High Value</v>
      </c>
    </row>
    <row r="98" spans="1:12" x14ac:dyDescent="0.4">
      <c r="A98" s="22" t="str">
        <f>DataSet!A96</f>
        <v>CUST0095</v>
      </c>
      <c r="B98" s="6" t="str">
        <f>DataSet!C96</f>
        <v>Central</v>
      </c>
      <c r="C98" s="23" t="str">
        <f t="shared" si="2"/>
        <v>Pooja Joshi</v>
      </c>
      <c r="D98" s="4"/>
      <c r="E98" s="4"/>
      <c r="F98" s="4"/>
      <c r="G98" s="4"/>
      <c r="H98" s="13"/>
      <c r="J98" s="22" t="str">
        <f>DataSet!A70</f>
        <v>CUST0069</v>
      </c>
      <c r="K98" s="6">
        <f>DataSet!I70</f>
        <v>35337.599999999999</v>
      </c>
      <c r="L98" s="23" t="str">
        <f t="shared" si="3"/>
        <v>High Value</v>
      </c>
    </row>
    <row r="99" spans="1:12" x14ac:dyDescent="0.4">
      <c r="A99" s="22" t="str">
        <f>DataSet!A97</f>
        <v>CUST0096</v>
      </c>
      <c r="B99" s="6" t="str">
        <f>DataSet!C97</f>
        <v>North</v>
      </c>
      <c r="C99" s="23" t="str">
        <f t="shared" si="2"/>
        <v>Amit Shah</v>
      </c>
      <c r="D99" s="4"/>
      <c r="E99" s="4"/>
      <c r="F99" s="4"/>
      <c r="G99" s="4"/>
      <c r="H99" s="13"/>
      <c r="J99" s="22" t="str">
        <f>DataSet!A71</f>
        <v>CUST0070</v>
      </c>
      <c r="K99" s="6">
        <f>DataSet!I71</f>
        <v>96345.04</v>
      </c>
      <c r="L99" s="23" t="str">
        <f t="shared" si="3"/>
        <v>High Value</v>
      </c>
    </row>
    <row r="100" spans="1:12" x14ac:dyDescent="0.4">
      <c r="A100" s="22" t="str">
        <f>DataSet!A98</f>
        <v>CUST0097</v>
      </c>
      <c r="B100" s="6" t="str">
        <f>DataSet!C98</f>
        <v>South</v>
      </c>
      <c r="C100" s="23" t="str">
        <f t="shared" si="2"/>
        <v>Neha Patel</v>
      </c>
      <c r="D100" s="4"/>
      <c r="E100" s="4"/>
      <c r="F100" s="4"/>
      <c r="G100" s="4"/>
      <c r="H100" s="13"/>
      <c r="J100" s="22" t="str">
        <f>DataSet!A72</f>
        <v>CUST0071</v>
      </c>
      <c r="K100" s="6">
        <f>DataSet!I72</f>
        <v>60035.5</v>
      </c>
      <c r="L100" s="23" t="str">
        <f t="shared" si="3"/>
        <v>High Value</v>
      </c>
    </row>
    <row r="101" spans="1:12" x14ac:dyDescent="0.4">
      <c r="A101" s="22" t="str">
        <f>DataSet!A99</f>
        <v>CUST0098</v>
      </c>
      <c r="B101" s="6" t="str">
        <f>DataSet!C99</f>
        <v>East</v>
      </c>
      <c r="C101" s="23" t="str">
        <f t="shared" si="2"/>
        <v>Riya Mehta</v>
      </c>
      <c r="D101" s="4"/>
      <c r="E101" s="4"/>
      <c r="F101" s="4"/>
      <c r="G101" s="4"/>
      <c r="H101" s="13"/>
      <c r="J101" s="22" t="str">
        <f>DataSet!A73</f>
        <v>CUST0072</v>
      </c>
      <c r="K101" s="6">
        <f>DataSet!I73</f>
        <v>24544.799999999999</v>
      </c>
      <c r="L101" s="23" t="str">
        <f t="shared" si="3"/>
        <v>Regular</v>
      </c>
    </row>
    <row r="102" spans="1:12" x14ac:dyDescent="0.4">
      <c r="A102" s="22" t="str">
        <f>DataSet!A100</f>
        <v>CUST0099</v>
      </c>
      <c r="B102" s="6" t="str">
        <f>DataSet!C100</f>
        <v>West</v>
      </c>
      <c r="C102" s="23" t="str">
        <f t="shared" si="2"/>
        <v>Karan Desai</v>
      </c>
      <c r="D102" s="4"/>
      <c r="E102" s="4"/>
      <c r="F102" s="4"/>
      <c r="G102" s="4"/>
      <c r="H102" s="13"/>
      <c r="J102" s="22" t="str">
        <f>DataSet!A74</f>
        <v>CUST0073</v>
      </c>
      <c r="K102" s="6">
        <f>DataSet!I74</f>
        <v>103640</v>
      </c>
      <c r="L102" s="23" t="str">
        <f t="shared" si="3"/>
        <v>High Value</v>
      </c>
    </row>
    <row r="103" spans="1:12" x14ac:dyDescent="0.4">
      <c r="A103" s="22" t="str">
        <f>DataSet!A101</f>
        <v>CUST0100</v>
      </c>
      <c r="B103" s="6" t="str">
        <f>DataSet!C101</f>
        <v>Central</v>
      </c>
      <c r="C103" s="23" t="str">
        <f t="shared" si="2"/>
        <v>Pooja Joshi</v>
      </c>
      <c r="D103" s="4"/>
      <c r="E103" s="4"/>
      <c r="F103" s="4"/>
      <c r="G103" s="4"/>
      <c r="H103" s="13"/>
      <c r="J103" s="22" t="str">
        <f>DataSet!A75</f>
        <v>CUST0074</v>
      </c>
      <c r="K103" s="6">
        <f>DataSet!I75</f>
        <v>61745.88</v>
      </c>
      <c r="L103" s="23" t="str">
        <f t="shared" si="3"/>
        <v>High Value</v>
      </c>
    </row>
    <row r="104" spans="1:12" x14ac:dyDescent="0.4">
      <c r="A104" s="22" t="str">
        <f>DataSet!A102</f>
        <v>CUST0101</v>
      </c>
      <c r="B104" s="6" t="str">
        <f>DataSet!C102</f>
        <v>North</v>
      </c>
      <c r="C104" s="23" t="str">
        <f t="shared" si="2"/>
        <v>Amit Shah</v>
      </c>
      <c r="D104" s="4"/>
      <c r="E104" s="4"/>
      <c r="F104" s="4"/>
      <c r="G104" s="4"/>
      <c r="H104" s="13"/>
      <c r="J104" s="22" t="str">
        <f>DataSet!A76</f>
        <v>CUST0075</v>
      </c>
      <c r="K104" s="6">
        <f>DataSet!I76</f>
        <v>20212.2</v>
      </c>
      <c r="L104" s="23" t="str">
        <f t="shared" si="3"/>
        <v>Regular</v>
      </c>
    </row>
    <row r="105" spans="1:12" x14ac:dyDescent="0.4">
      <c r="A105" s="22" t="str">
        <f>DataSet!A103</f>
        <v>CUST0102</v>
      </c>
      <c r="B105" s="6" t="str">
        <f>DataSet!C103</f>
        <v>South</v>
      </c>
      <c r="C105" s="23" t="str">
        <f t="shared" si="2"/>
        <v>Neha Patel</v>
      </c>
      <c r="D105" s="4"/>
      <c r="E105" s="4"/>
      <c r="F105" s="4"/>
      <c r="G105" s="4"/>
      <c r="H105" s="13"/>
      <c r="J105" s="22" t="str">
        <f>DataSet!A77</f>
        <v>CUST0076</v>
      </c>
      <c r="K105" s="6">
        <f>DataSet!I77</f>
        <v>123247.8</v>
      </c>
      <c r="L105" s="23" t="str">
        <f t="shared" si="3"/>
        <v>High Value</v>
      </c>
    </row>
    <row r="106" spans="1:12" x14ac:dyDescent="0.4">
      <c r="A106" s="22" t="str">
        <f>DataSet!A104</f>
        <v>CUST0103</v>
      </c>
      <c r="B106" s="6" t="str">
        <f>DataSet!C104</f>
        <v>East</v>
      </c>
      <c r="C106" s="23" t="str">
        <f t="shared" si="2"/>
        <v>Riya Mehta</v>
      </c>
      <c r="D106" s="4"/>
      <c r="E106" s="4"/>
      <c r="F106" s="4"/>
      <c r="G106" s="4"/>
      <c r="H106" s="13"/>
      <c r="J106" s="22" t="str">
        <f>DataSet!A78</f>
        <v>CUST0077</v>
      </c>
      <c r="K106" s="6">
        <f>DataSet!I78</f>
        <v>49104</v>
      </c>
      <c r="L106" s="23" t="str">
        <f t="shared" si="3"/>
        <v>High Value</v>
      </c>
    </row>
    <row r="107" spans="1:12" x14ac:dyDescent="0.4">
      <c r="A107" s="22" t="str">
        <f>DataSet!A105</f>
        <v>CUST0104</v>
      </c>
      <c r="B107" s="6" t="str">
        <f>DataSet!C105</f>
        <v>West</v>
      </c>
      <c r="C107" s="23" t="str">
        <f t="shared" si="2"/>
        <v>Karan Desai</v>
      </c>
      <c r="D107" s="4"/>
      <c r="E107" s="4"/>
      <c r="F107" s="4"/>
      <c r="G107" s="4"/>
      <c r="H107" s="13"/>
      <c r="J107" s="22" t="str">
        <f>DataSet!A79</f>
        <v>CUST0078</v>
      </c>
      <c r="K107" s="6">
        <f>DataSet!I79</f>
        <v>9723.1200000000008</v>
      </c>
      <c r="L107" s="23" t="str">
        <f t="shared" si="3"/>
        <v>Regular</v>
      </c>
    </row>
    <row r="108" spans="1:12" x14ac:dyDescent="0.4">
      <c r="A108" s="22" t="str">
        <f>DataSet!A106</f>
        <v>CUST0105</v>
      </c>
      <c r="B108" s="6" t="str">
        <f>DataSet!C106</f>
        <v>Central</v>
      </c>
      <c r="C108" s="23" t="str">
        <f t="shared" si="2"/>
        <v>Pooja Joshi</v>
      </c>
      <c r="D108" s="4"/>
      <c r="E108" s="4"/>
      <c r="F108" s="4"/>
      <c r="G108" s="4"/>
      <c r="H108" s="13"/>
      <c r="J108" s="22" t="str">
        <f>DataSet!A80</f>
        <v>CUST0079</v>
      </c>
      <c r="K108" s="6">
        <f>DataSet!I80</f>
        <v>76064.800000000003</v>
      </c>
      <c r="L108" s="23" t="str">
        <f t="shared" si="3"/>
        <v>High Value</v>
      </c>
    </row>
    <row r="109" spans="1:12" x14ac:dyDescent="0.4">
      <c r="A109" s="22" t="str">
        <f>DataSet!A107</f>
        <v>CUST0106</v>
      </c>
      <c r="B109" s="6" t="str">
        <f>DataSet!C107</f>
        <v>North</v>
      </c>
      <c r="C109" s="23" t="str">
        <f t="shared" si="2"/>
        <v>Amit Shah</v>
      </c>
      <c r="D109" s="4"/>
      <c r="E109" s="4"/>
      <c r="F109" s="4"/>
      <c r="G109" s="4"/>
      <c r="H109" s="13"/>
      <c r="J109" s="22" t="str">
        <f>DataSet!A81</f>
        <v>CUST0080</v>
      </c>
      <c r="K109" s="6">
        <f>DataSet!I81</f>
        <v>36233.599999999999</v>
      </c>
      <c r="L109" s="23" t="str">
        <f t="shared" si="3"/>
        <v>High Value</v>
      </c>
    </row>
    <row r="110" spans="1:12" x14ac:dyDescent="0.4">
      <c r="A110" s="22" t="str">
        <f>DataSet!A108</f>
        <v>CUST0107</v>
      </c>
      <c r="B110" s="6" t="str">
        <f>DataSet!C108</f>
        <v>South</v>
      </c>
      <c r="C110" s="23" t="str">
        <f t="shared" si="2"/>
        <v>Neha Patel</v>
      </c>
      <c r="D110" s="4"/>
      <c r="E110" s="4"/>
      <c r="F110" s="4"/>
      <c r="G110" s="4"/>
      <c r="H110" s="13"/>
      <c r="J110" s="22" t="str">
        <f>DataSet!A82</f>
        <v>CUST0081</v>
      </c>
      <c r="K110" s="6">
        <f>DataSet!I82</f>
        <v>126060</v>
      </c>
      <c r="L110" s="23" t="str">
        <f t="shared" si="3"/>
        <v>High Value</v>
      </c>
    </row>
    <row r="111" spans="1:12" x14ac:dyDescent="0.4">
      <c r="A111" s="22" t="str">
        <f>DataSet!A109</f>
        <v>CUST0108</v>
      </c>
      <c r="B111" s="6" t="str">
        <f>DataSet!C109</f>
        <v>East</v>
      </c>
      <c r="C111" s="23" t="str">
        <f t="shared" si="2"/>
        <v>Riya Mehta</v>
      </c>
      <c r="D111" s="4"/>
      <c r="E111" s="4"/>
      <c r="F111" s="4"/>
      <c r="G111" s="4"/>
      <c r="H111" s="13"/>
      <c r="J111" s="22" t="str">
        <f>DataSet!A83</f>
        <v>CUST0082</v>
      </c>
      <c r="K111" s="6">
        <f>DataSet!I83</f>
        <v>79555.42</v>
      </c>
      <c r="L111" s="23" t="str">
        <f t="shared" si="3"/>
        <v>High Value</v>
      </c>
    </row>
    <row r="112" spans="1:12" x14ac:dyDescent="0.4">
      <c r="A112" s="22" t="str">
        <f>DataSet!A110</f>
        <v>CUST0109</v>
      </c>
      <c r="B112" s="6" t="str">
        <f>DataSet!C110</f>
        <v>West</v>
      </c>
      <c r="C112" s="23" t="str">
        <f t="shared" si="2"/>
        <v>Karan Desai</v>
      </c>
      <c r="D112" s="4"/>
      <c r="E112" s="4"/>
      <c r="F112" s="4"/>
      <c r="G112" s="4"/>
      <c r="H112" s="13"/>
      <c r="J112" s="22" t="str">
        <f>DataSet!A84</f>
        <v>CUST0083</v>
      </c>
      <c r="K112" s="6">
        <f>DataSet!I84</f>
        <v>44589.2</v>
      </c>
      <c r="L112" s="23" t="str">
        <f t="shared" si="3"/>
        <v>High Value</v>
      </c>
    </row>
    <row r="113" spans="1:12" x14ac:dyDescent="0.4">
      <c r="A113" s="22" t="str">
        <f>DataSet!A111</f>
        <v>CUST0110</v>
      </c>
      <c r="B113" s="6" t="str">
        <f>DataSet!C111</f>
        <v>Central</v>
      </c>
      <c r="C113" s="23" t="str">
        <f t="shared" si="2"/>
        <v>Pooja Joshi</v>
      </c>
      <c r="D113" s="4"/>
      <c r="E113" s="4"/>
      <c r="F113" s="4"/>
      <c r="G113" s="4"/>
      <c r="H113" s="13"/>
      <c r="J113" s="22" t="str">
        <f>DataSet!A85</f>
        <v>CUST0084</v>
      </c>
      <c r="K113" s="6">
        <f>DataSet!I85</f>
        <v>109213.2</v>
      </c>
      <c r="L113" s="23" t="str">
        <f t="shared" si="3"/>
        <v>High Value</v>
      </c>
    </row>
    <row r="114" spans="1:12" x14ac:dyDescent="0.4">
      <c r="A114" s="22" t="str">
        <f>DataSet!A112</f>
        <v>CUST0111</v>
      </c>
      <c r="B114" s="6" t="str">
        <f>DataSet!C112</f>
        <v>North</v>
      </c>
      <c r="C114" s="23" t="str">
        <f t="shared" si="2"/>
        <v>Amit Shah</v>
      </c>
      <c r="D114" s="4"/>
      <c r="E114" s="4"/>
      <c r="F114" s="4"/>
      <c r="G114" s="4"/>
      <c r="H114" s="13"/>
      <c r="J114" s="22" t="str">
        <f>DataSet!A86</f>
        <v>CUST0085</v>
      </c>
      <c r="K114" s="6">
        <f>DataSet!I86</f>
        <v>68445.600000000006</v>
      </c>
      <c r="L114" s="23" t="str">
        <f t="shared" si="3"/>
        <v>High Value</v>
      </c>
    </row>
    <row r="115" spans="1:12" x14ac:dyDescent="0.4">
      <c r="A115" s="22" t="str">
        <f>DataSet!A113</f>
        <v>CUST0112</v>
      </c>
      <c r="B115" s="6" t="str">
        <f>DataSet!C113</f>
        <v>South</v>
      </c>
      <c r="C115" s="23" t="str">
        <f t="shared" si="2"/>
        <v>Neha Patel</v>
      </c>
      <c r="D115" s="4"/>
      <c r="E115" s="4"/>
      <c r="F115" s="4"/>
      <c r="G115" s="4"/>
      <c r="H115" s="13"/>
      <c r="J115" s="22" t="str">
        <f>DataSet!A87</f>
        <v>CUST0086</v>
      </c>
      <c r="K115" s="6">
        <f>DataSet!I87</f>
        <v>21375.200000000001</v>
      </c>
      <c r="L115" s="23" t="str">
        <f t="shared" si="3"/>
        <v>Regular</v>
      </c>
    </row>
    <row r="116" spans="1:12" x14ac:dyDescent="0.4">
      <c r="A116" s="22" t="str">
        <f>DataSet!A114</f>
        <v>CUST0113</v>
      </c>
      <c r="B116" s="6" t="str">
        <f>DataSet!C114</f>
        <v>East</v>
      </c>
      <c r="C116" s="23" t="str">
        <f t="shared" si="2"/>
        <v>Riya Mehta</v>
      </c>
      <c r="D116" s="4"/>
      <c r="E116" s="4"/>
      <c r="F116" s="4"/>
      <c r="G116" s="4"/>
      <c r="H116" s="13"/>
      <c r="J116" s="22" t="str">
        <f>DataSet!A88</f>
        <v>CUST0087</v>
      </c>
      <c r="K116" s="6">
        <f>DataSet!I88</f>
        <v>93957.3</v>
      </c>
      <c r="L116" s="23" t="str">
        <f t="shared" si="3"/>
        <v>High Value</v>
      </c>
    </row>
    <row r="117" spans="1:12" x14ac:dyDescent="0.4">
      <c r="A117" s="22" t="str">
        <f>DataSet!A115</f>
        <v>CUST0114</v>
      </c>
      <c r="B117" s="6" t="str">
        <f>DataSet!C115</f>
        <v>West</v>
      </c>
      <c r="C117" s="23" t="str">
        <f t="shared" si="2"/>
        <v>Karan Desai</v>
      </c>
      <c r="D117" s="4"/>
      <c r="E117" s="4"/>
      <c r="F117" s="4"/>
      <c r="G117" s="4"/>
      <c r="H117" s="13"/>
      <c r="J117" s="22" t="str">
        <f>DataSet!A89</f>
        <v>CUST0088</v>
      </c>
      <c r="K117" s="6">
        <f>DataSet!I89</f>
        <v>49676</v>
      </c>
      <c r="L117" s="23" t="str">
        <f t="shared" si="3"/>
        <v>High Value</v>
      </c>
    </row>
    <row r="118" spans="1:12" x14ac:dyDescent="0.4">
      <c r="A118" s="22" t="str">
        <f>DataSet!A116</f>
        <v>CUST0115</v>
      </c>
      <c r="B118" s="6" t="str">
        <f>DataSet!C116</f>
        <v>Central</v>
      </c>
      <c r="C118" s="23" t="str">
        <f t="shared" si="2"/>
        <v>Pooja Joshi</v>
      </c>
      <c r="D118" s="4"/>
      <c r="E118" s="4"/>
      <c r="F118" s="4"/>
      <c r="G118" s="4"/>
      <c r="H118" s="13"/>
      <c r="J118" s="22" t="str">
        <f>DataSet!A90</f>
        <v>CUST0089</v>
      </c>
      <c r="K118" s="6">
        <f>DataSet!I90</f>
        <v>12556</v>
      </c>
      <c r="L118" s="23" t="str">
        <f t="shared" si="3"/>
        <v>Regular</v>
      </c>
    </row>
    <row r="119" spans="1:12" x14ac:dyDescent="0.4">
      <c r="A119" s="22" t="str">
        <f>DataSet!A117</f>
        <v>CUST0116</v>
      </c>
      <c r="B119" s="6" t="str">
        <f>DataSet!C117</f>
        <v>North</v>
      </c>
      <c r="C119" s="23" t="str">
        <f t="shared" si="2"/>
        <v>Amit Shah</v>
      </c>
      <c r="D119" s="4"/>
      <c r="E119" s="4"/>
      <c r="F119" s="4"/>
      <c r="G119" s="4"/>
      <c r="H119" s="13"/>
      <c r="J119" s="22" t="str">
        <f>DataSet!A91</f>
        <v>CUST0090</v>
      </c>
      <c r="K119" s="6">
        <f>DataSet!I91</f>
        <v>99513.12</v>
      </c>
      <c r="L119" s="23" t="str">
        <f t="shared" si="3"/>
        <v>High Value</v>
      </c>
    </row>
    <row r="120" spans="1:12" x14ac:dyDescent="0.4">
      <c r="A120" s="22" t="str">
        <f>DataSet!A118</f>
        <v>CUST0117</v>
      </c>
      <c r="B120" s="6" t="str">
        <f>DataSet!C118</f>
        <v>South</v>
      </c>
      <c r="C120" s="23" t="str">
        <f t="shared" si="2"/>
        <v>Neha Patel</v>
      </c>
      <c r="D120" s="4"/>
      <c r="E120" s="4"/>
      <c r="F120" s="4"/>
      <c r="G120" s="4"/>
      <c r="H120" s="13"/>
      <c r="J120" s="22" t="str">
        <f>DataSet!A92</f>
        <v>CUST0091</v>
      </c>
      <c r="K120" s="6">
        <f>DataSet!I92</f>
        <v>48754</v>
      </c>
      <c r="L120" s="23" t="str">
        <f t="shared" si="3"/>
        <v>High Value</v>
      </c>
    </row>
    <row r="121" spans="1:12" x14ac:dyDescent="0.4">
      <c r="A121" s="22" t="str">
        <f>DataSet!A119</f>
        <v>CUST0118</v>
      </c>
      <c r="B121" s="6" t="str">
        <f>DataSet!C119</f>
        <v>East</v>
      </c>
      <c r="C121" s="23" t="str">
        <f t="shared" si="2"/>
        <v>Riya Mehta</v>
      </c>
      <c r="D121" s="4"/>
      <c r="E121" s="4"/>
      <c r="F121" s="4"/>
      <c r="G121" s="4"/>
      <c r="H121" s="13"/>
      <c r="J121" s="22" t="str">
        <f>DataSet!A93</f>
        <v>CUST0092</v>
      </c>
      <c r="K121" s="6">
        <f>DataSet!I93</f>
        <v>131226.04</v>
      </c>
      <c r="L121" s="23" t="str">
        <f t="shared" si="3"/>
        <v>High Value</v>
      </c>
    </row>
    <row r="122" spans="1:12" x14ac:dyDescent="0.4">
      <c r="A122" s="22" t="str">
        <f>DataSet!A120</f>
        <v>CUST0119</v>
      </c>
      <c r="B122" s="6" t="str">
        <f>DataSet!C120</f>
        <v>West</v>
      </c>
      <c r="C122" s="23" t="str">
        <f t="shared" si="2"/>
        <v>Karan Desai</v>
      </c>
      <c r="D122" s="4"/>
      <c r="E122" s="4"/>
      <c r="F122" s="4"/>
      <c r="G122" s="4"/>
      <c r="H122" s="13"/>
      <c r="J122" s="22" t="str">
        <f>DataSet!A94</f>
        <v>CUST0093</v>
      </c>
      <c r="K122" s="6">
        <f>DataSet!I94</f>
        <v>82555.199999999997</v>
      </c>
      <c r="L122" s="23" t="str">
        <f t="shared" si="3"/>
        <v>High Value</v>
      </c>
    </row>
    <row r="123" spans="1:12" x14ac:dyDescent="0.4">
      <c r="A123" s="22" t="str">
        <f>DataSet!A121</f>
        <v>CUST0120</v>
      </c>
      <c r="B123" s="6" t="str">
        <f>DataSet!C121</f>
        <v>Central</v>
      </c>
      <c r="C123" s="23" t="str">
        <f t="shared" si="2"/>
        <v>Pooja Joshi</v>
      </c>
      <c r="D123" s="4"/>
      <c r="E123" s="4"/>
      <c r="F123" s="4"/>
      <c r="G123" s="4"/>
      <c r="H123" s="13"/>
      <c r="J123" s="22" t="str">
        <f>DataSet!A95</f>
        <v>CUST0094</v>
      </c>
      <c r="K123" s="6">
        <f>DataSet!I95</f>
        <v>34956.239999999998</v>
      </c>
      <c r="L123" s="23" t="str">
        <f t="shared" si="3"/>
        <v>High Value</v>
      </c>
    </row>
    <row r="124" spans="1:12" x14ac:dyDescent="0.4">
      <c r="A124" s="22" t="str">
        <f>DataSet!A122</f>
        <v>CUST0121</v>
      </c>
      <c r="B124" s="6" t="str">
        <f>DataSet!C122</f>
        <v>North</v>
      </c>
      <c r="C124" s="23" t="str">
        <f t="shared" si="2"/>
        <v>Amit Shah</v>
      </c>
      <c r="D124" s="4"/>
      <c r="E124" s="4"/>
      <c r="F124" s="4"/>
      <c r="G124" s="4"/>
      <c r="H124" s="13"/>
      <c r="J124" s="22" t="str">
        <f>DataSet!A96</f>
        <v>CUST0095</v>
      </c>
      <c r="K124" s="6">
        <f>DataSet!I96</f>
        <v>113713</v>
      </c>
      <c r="L124" s="23" t="str">
        <f t="shared" si="3"/>
        <v>High Value</v>
      </c>
    </row>
    <row r="125" spans="1:12" x14ac:dyDescent="0.4">
      <c r="A125" s="22" t="str">
        <f>DataSet!A123</f>
        <v>CUST0122</v>
      </c>
      <c r="B125" s="6" t="str">
        <f>DataSet!C123</f>
        <v>South</v>
      </c>
      <c r="C125" s="23" t="str">
        <f t="shared" si="2"/>
        <v>Neha Patel</v>
      </c>
      <c r="D125" s="4"/>
      <c r="E125" s="4"/>
      <c r="F125" s="4"/>
      <c r="G125" s="4"/>
      <c r="H125" s="13"/>
      <c r="J125" s="22" t="str">
        <f>DataSet!A97</f>
        <v>CUST0096</v>
      </c>
      <c r="K125" s="6">
        <f>DataSet!I97</f>
        <v>64872</v>
      </c>
      <c r="L125" s="23" t="str">
        <f t="shared" si="3"/>
        <v>High Value</v>
      </c>
    </row>
    <row r="126" spans="1:12" x14ac:dyDescent="0.4">
      <c r="A126" s="22" t="str">
        <f>DataSet!A124</f>
        <v>CUST0123</v>
      </c>
      <c r="B126" s="6" t="str">
        <f>DataSet!C124</f>
        <v>East</v>
      </c>
      <c r="C126" s="23" t="str">
        <f t="shared" si="2"/>
        <v>Riya Mehta</v>
      </c>
      <c r="D126" s="4"/>
      <c r="E126" s="4"/>
      <c r="F126" s="4"/>
      <c r="G126" s="4"/>
      <c r="H126" s="13"/>
      <c r="J126" s="22" t="str">
        <f>DataSet!A98</f>
        <v>CUST0097</v>
      </c>
      <c r="K126" s="6">
        <f>DataSet!I98</f>
        <v>27304</v>
      </c>
      <c r="L126" s="23" t="str">
        <f t="shared" si="3"/>
        <v>High Value</v>
      </c>
    </row>
    <row r="127" spans="1:12" x14ac:dyDescent="0.4">
      <c r="A127" s="22" t="str">
        <f>DataSet!A125</f>
        <v>CUST0124</v>
      </c>
      <c r="B127" s="6" t="str">
        <f>DataSet!C125</f>
        <v>West</v>
      </c>
      <c r="C127" s="23" t="str">
        <f t="shared" si="2"/>
        <v>Karan Desai</v>
      </c>
      <c r="D127" s="4"/>
      <c r="E127" s="4"/>
      <c r="F127" s="4"/>
      <c r="G127" s="4"/>
      <c r="H127" s="13"/>
      <c r="J127" s="22" t="str">
        <f>DataSet!A99</f>
        <v>CUST0098</v>
      </c>
      <c r="K127" s="6">
        <f>DataSet!I99</f>
        <v>121618.98</v>
      </c>
      <c r="L127" s="23" t="str">
        <f t="shared" si="3"/>
        <v>High Value</v>
      </c>
    </row>
    <row r="128" spans="1:12" x14ac:dyDescent="0.4">
      <c r="A128" s="22" t="str">
        <f>DataSet!A126</f>
        <v>CUST0125</v>
      </c>
      <c r="B128" s="6" t="str">
        <f>DataSet!C126</f>
        <v>Central</v>
      </c>
      <c r="C128" s="23" t="str">
        <f t="shared" si="2"/>
        <v>Pooja Joshi</v>
      </c>
      <c r="D128" s="4"/>
      <c r="E128" s="4"/>
      <c r="F128" s="4"/>
      <c r="G128" s="4"/>
      <c r="H128" s="13"/>
      <c r="J128" s="22" t="str">
        <f>DataSet!A100</f>
        <v>CUST0099</v>
      </c>
      <c r="K128" s="6">
        <f>DataSet!I100</f>
        <v>66148.5</v>
      </c>
      <c r="L128" s="23" t="str">
        <f t="shared" si="3"/>
        <v>High Value</v>
      </c>
    </row>
    <row r="129" spans="1:12" x14ac:dyDescent="0.4">
      <c r="A129" s="22" t="str">
        <f>DataSet!A127</f>
        <v>CUST0126</v>
      </c>
      <c r="B129" s="6" t="str">
        <f>DataSet!C127</f>
        <v>North</v>
      </c>
      <c r="C129" s="23" t="str">
        <f t="shared" si="2"/>
        <v>Amit Shah</v>
      </c>
      <c r="D129" s="4"/>
      <c r="E129" s="4"/>
      <c r="F129" s="4"/>
      <c r="G129" s="4"/>
      <c r="H129" s="13"/>
      <c r="J129" s="22" t="str">
        <f>DataSet!A101</f>
        <v>CUST0100</v>
      </c>
      <c r="K129" s="6">
        <f>DataSet!I101</f>
        <v>12937.96</v>
      </c>
      <c r="L129" s="23" t="str">
        <f t="shared" si="3"/>
        <v>Regular</v>
      </c>
    </row>
    <row r="130" spans="1:12" x14ac:dyDescent="0.4">
      <c r="A130" s="22" t="str">
        <f>DataSet!A128</f>
        <v>CUST0127</v>
      </c>
      <c r="B130" s="6" t="str">
        <f>DataSet!C128</f>
        <v>South</v>
      </c>
      <c r="C130" s="23" t="str">
        <f t="shared" si="2"/>
        <v>Neha Patel</v>
      </c>
      <c r="D130" s="4"/>
      <c r="E130" s="4"/>
      <c r="F130" s="4"/>
      <c r="G130" s="4"/>
      <c r="H130" s="13"/>
      <c r="J130" s="22" t="str">
        <f>DataSet!A102</f>
        <v>CUST0101</v>
      </c>
      <c r="K130" s="6">
        <f>DataSet!I102</f>
        <v>102240</v>
      </c>
      <c r="L130" s="23" t="str">
        <f t="shared" si="3"/>
        <v>High Value</v>
      </c>
    </row>
    <row r="131" spans="1:12" x14ac:dyDescent="0.4">
      <c r="A131" s="22" t="str">
        <f>DataSet!A129</f>
        <v>CUST0128</v>
      </c>
      <c r="B131" s="6" t="str">
        <f>DataSet!C129</f>
        <v>East</v>
      </c>
      <c r="C131" s="23" t="str">
        <f t="shared" si="2"/>
        <v>Riya Mehta</v>
      </c>
      <c r="D131" s="4"/>
      <c r="E131" s="4"/>
      <c r="F131" s="4"/>
      <c r="G131" s="4"/>
      <c r="H131" s="13"/>
      <c r="J131" s="22" t="str">
        <f>DataSet!A103</f>
        <v>CUST0102</v>
      </c>
      <c r="K131" s="6">
        <f>DataSet!I103</f>
        <v>50466.239999999998</v>
      </c>
      <c r="L131" s="23" t="str">
        <f t="shared" si="3"/>
        <v>High Value</v>
      </c>
    </row>
    <row r="132" spans="1:12" x14ac:dyDescent="0.4">
      <c r="A132" s="22" t="str">
        <f>DataSet!A130</f>
        <v>CUST0129</v>
      </c>
      <c r="B132" s="6" t="str">
        <f>DataSet!C130</f>
        <v>West</v>
      </c>
      <c r="C132" s="23" t="str">
        <f t="shared" si="2"/>
        <v>Karan Desai</v>
      </c>
      <c r="D132" s="4"/>
      <c r="E132" s="4"/>
      <c r="F132" s="4"/>
      <c r="G132" s="4"/>
      <c r="H132" s="13"/>
      <c r="J132" s="22" t="str">
        <f>DataSet!A104</f>
        <v>CUST0103</v>
      </c>
      <c r="K132" s="6">
        <f>DataSet!I104</f>
        <v>135331.9</v>
      </c>
      <c r="L132" s="23" t="str">
        <f t="shared" si="3"/>
        <v>High Value</v>
      </c>
    </row>
    <row r="133" spans="1:12" x14ac:dyDescent="0.4">
      <c r="A133" s="22" t="str">
        <f>DataSet!A131</f>
        <v>CUST0130</v>
      </c>
      <c r="B133" s="6" t="str">
        <f>DataSet!C131</f>
        <v>Central</v>
      </c>
      <c r="C133" s="23" t="str">
        <f t="shared" ref="C133:C196" si="4">IFERROR(VLOOKUP(B133,$E$4:$F$8,2,FALSE),"Not Found")</f>
        <v>Pooja Joshi</v>
      </c>
      <c r="D133" s="4"/>
      <c r="E133" s="4"/>
      <c r="F133" s="4"/>
      <c r="G133" s="4"/>
      <c r="H133" s="13"/>
      <c r="J133" s="22" t="str">
        <f>DataSet!A105</f>
        <v>CUST0104</v>
      </c>
      <c r="K133" s="6">
        <f>DataSet!I105</f>
        <v>81821.600000000006</v>
      </c>
      <c r="L133" s="23" t="str">
        <f t="shared" si="3"/>
        <v>High Value</v>
      </c>
    </row>
    <row r="134" spans="1:12" x14ac:dyDescent="0.4">
      <c r="A134" s="22" t="str">
        <f>DataSet!A132</f>
        <v>CUST0131</v>
      </c>
      <c r="B134" s="6" t="str">
        <f>DataSet!C132</f>
        <v>North</v>
      </c>
      <c r="C134" s="23" t="str">
        <f t="shared" si="4"/>
        <v>Amit Shah</v>
      </c>
      <c r="D134" s="4"/>
      <c r="E134" s="4"/>
      <c r="F134" s="4"/>
      <c r="G134" s="4"/>
      <c r="H134" s="13"/>
      <c r="J134" s="22" t="str">
        <f>DataSet!A106</f>
        <v>CUST0105</v>
      </c>
      <c r="K134" s="6">
        <f>DataSet!I106</f>
        <v>44244</v>
      </c>
      <c r="L134" s="23" t="str">
        <f t="shared" si="3"/>
        <v>High Value</v>
      </c>
    </row>
    <row r="135" spans="1:12" x14ac:dyDescent="0.4">
      <c r="A135" s="22" t="str">
        <f>DataSet!A133</f>
        <v>CUST0132</v>
      </c>
      <c r="B135" s="6" t="str">
        <f>DataSet!C133</f>
        <v>South</v>
      </c>
      <c r="C135" s="23" t="str">
        <f t="shared" si="4"/>
        <v>Neha Patel</v>
      </c>
      <c r="D135" s="4"/>
      <c r="E135" s="4"/>
      <c r="F135" s="4"/>
      <c r="G135" s="4"/>
      <c r="H135" s="13"/>
      <c r="J135" s="22" t="str">
        <f>DataSet!A107</f>
        <v>CUST0106</v>
      </c>
      <c r="K135" s="6">
        <f>DataSet!I107</f>
        <v>145873</v>
      </c>
      <c r="L135" s="23" t="str">
        <f t="shared" si="3"/>
        <v>High Value</v>
      </c>
    </row>
    <row r="136" spans="1:12" x14ac:dyDescent="0.4">
      <c r="A136" s="22" t="str">
        <f>DataSet!A134</f>
        <v>CUST0133</v>
      </c>
      <c r="B136" s="6" t="str">
        <f>DataSet!C134</f>
        <v>East</v>
      </c>
      <c r="C136" s="23" t="str">
        <f t="shared" si="4"/>
        <v>Riya Mehta</v>
      </c>
      <c r="D136" s="4"/>
      <c r="E136" s="4"/>
      <c r="F136" s="4"/>
      <c r="G136" s="4"/>
      <c r="H136" s="13"/>
      <c r="J136" s="22" t="str">
        <f>DataSet!A108</f>
        <v>CUST0107</v>
      </c>
      <c r="K136" s="6">
        <f>DataSet!I108</f>
        <v>85625.4</v>
      </c>
      <c r="L136" s="23" t="str">
        <f t="shared" si="3"/>
        <v>High Value</v>
      </c>
    </row>
    <row r="137" spans="1:12" x14ac:dyDescent="0.4">
      <c r="A137" s="22" t="str">
        <f>DataSet!A135</f>
        <v>CUST0134</v>
      </c>
      <c r="B137" s="6" t="str">
        <f>DataSet!C135</f>
        <v>West</v>
      </c>
      <c r="C137" s="23" t="str">
        <f t="shared" si="4"/>
        <v>Karan Desai</v>
      </c>
      <c r="D137" s="4"/>
      <c r="E137" s="4"/>
      <c r="F137" s="4"/>
      <c r="G137" s="4"/>
      <c r="H137" s="13"/>
      <c r="J137" s="22" t="str">
        <f>DataSet!A109</f>
        <v>CUST0108</v>
      </c>
      <c r="K137" s="6">
        <f>DataSet!I109</f>
        <v>27892.560000000001</v>
      </c>
      <c r="L137" s="23" t="str">
        <f t="shared" si="3"/>
        <v>High Value</v>
      </c>
    </row>
    <row r="138" spans="1:12" x14ac:dyDescent="0.4">
      <c r="A138" s="22" t="str">
        <f>DataSet!A136</f>
        <v>CUST0135</v>
      </c>
      <c r="B138" s="6" t="str">
        <f>DataSet!C136</f>
        <v>Central</v>
      </c>
      <c r="C138" s="23" t="str">
        <f t="shared" si="4"/>
        <v>Pooja Joshi</v>
      </c>
      <c r="D138" s="4"/>
      <c r="E138" s="4"/>
      <c r="F138" s="4"/>
      <c r="G138" s="4"/>
      <c r="H138" s="13"/>
      <c r="J138" s="22" t="str">
        <f>DataSet!A110</f>
        <v>CUST0109</v>
      </c>
      <c r="K138" s="6">
        <f>DataSet!I110</f>
        <v>123897.60000000001</v>
      </c>
      <c r="L138" s="23" t="str">
        <f t="shared" si="3"/>
        <v>High Value</v>
      </c>
    </row>
    <row r="139" spans="1:12" x14ac:dyDescent="0.4">
      <c r="A139" s="22" t="str">
        <f>DataSet!A137</f>
        <v>CUST0136</v>
      </c>
      <c r="B139" s="6" t="str">
        <f>DataSet!C137</f>
        <v>North</v>
      </c>
      <c r="C139" s="23" t="str">
        <f t="shared" si="4"/>
        <v>Amit Shah</v>
      </c>
      <c r="D139" s="4"/>
      <c r="E139" s="4"/>
      <c r="F139" s="4"/>
      <c r="G139" s="4"/>
      <c r="H139" s="13"/>
      <c r="J139" s="22" t="str">
        <f>DataSet!A111</f>
        <v>CUST0110</v>
      </c>
      <c r="K139" s="6">
        <f>DataSet!I111</f>
        <v>67905.2</v>
      </c>
      <c r="L139" s="23" t="str">
        <f t="shared" si="3"/>
        <v>High Value</v>
      </c>
    </row>
    <row r="140" spans="1:12" x14ac:dyDescent="0.4">
      <c r="A140" s="22" t="str">
        <f>DataSet!A138</f>
        <v>CUST0137</v>
      </c>
      <c r="B140" s="6" t="str">
        <f>DataSet!C138</f>
        <v>South</v>
      </c>
      <c r="C140" s="23" t="str">
        <f t="shared" si="4"/>
        <v>Neha Patel</v>
      </c>
      <c r="D140" s="4"/>
      <c r="E140" s="4"/>
      <c r="F140" s="4"/>
      <c r="G140" s="4"/>
      <c r="H140" s="13"/>
      <c r="J140" s="22" t="str">
        <f>DataSet!A112</f>
        <v>CUST0111</v>
      </c>
      <c r="K140" s="6">
        <f>DataSet!I112</f>
        <v>13234.5</v>
      </c>
      <c r="L140" s="23" t="str">
        <f t="shared" si="3"/>
        <v>Regular</v>
      </c>
    </row>
    <row r="141" spans="1:12" x14ac:dyDescent="0.4">
      <c r="A141" s="22" t="str">
        <f>DataSet!A139</f>
        <v>CUST0138</v>
      </c>
      <c r="B141" s="6" t="str">
        <f>DataSet!C139</f>
        <v>East</v>
      </c>
      <c r="C141" s="23" t="str">
        <f t="shared" si="4"/>
        <v>Riya Mehta</v>
      </c>
      <c r="D141" s="4"/>
      <c r="E141" s="4"/>
      <c r="F141" s="4"/>
      <c r="G141" s="4"/>
      <c r="H141" s="13"/>
      <c r="J141" s="22" t="str">
        <f>DataSet!A113</f>
        <v>CUST0112</v>
      </c>
      <c r="K141" s="6">
        <f>DataSet!I113</f>
        <v>100524.8</v>
      </c>
      <c r="L141" s="23" t="str">
        <f t="shared" si="3"/>
        <v>High Value</v>
      </c>
    </row>
    <row r="142" spans="1:12" x14ac:dyDescent="0.4">
      <c r="A142" s="22" t="str">
        <f>DataSet!A140</f>
        <v>CUST0139</v>
      </c>
      <c r="B142" s="6" t="str">
        <f>DataSet!C140</f>
        <v>West</v>
      </c>
      <c r="C142" s="23" t="str">
        <f t="shared" si="4"/>
        <v>Karan Desai</v>
      </c>
      <c r="D142" s="4"/>
      <c r="E142" s="4"/>
      <c r="F142" s="4"/>
      <c r="G142" s="4"/>
      <c r="H142" s="13"/>
      <c r="J142" s="22" t="str">
        <f>DataSet!A114</f>
        <v>CUST0113</v>
      </c>
      <c r="K142" s="6">
        <f>DataSet!I114</f>
        <v>63376</v>
      </c>
      <c r="L142" s="23" t="str">
        <f t="shared" si="3"/>
        <v>High Value</v>
      </c>
    </row>
    <row r="143" spans="1:12" x14ac:dyDescent="0.4">
      <c r="A143" s="22" t="str">
        <f>DataSet!A141</f>
        <v>CUST0140</v>
      </c>
      <c r="B143" s="6" t="str">
        <f>DataSet!C141</f>
        <v>Central</v>
      </c>
      <c r="C143" s="23" t="str">
        <f t="shared" si="4"/>
        <v>Pooja Joshi</v>
      </c>
      <c r="D143" s="4"/>
      <c r="E143" s="4"/>
      <c r="F143" s="4"/>
      <c r="G143" s="4"/>
      <c r="H143" s="13"/>
      <c r="J143" s="22" t="str">
        <f>DataSet!A115</f>
        <v>CUST0114</v>
      </c>
      <c r="K143" s="6">
        <f>DataSet!I115</f>
        <v>172275.18</v>
      </c>
      <c r="L143" s="23" t="str">
        <f t="shared" si="3"/>
        <v>High Value</v>
      </c>
    </row>
    <row r="144" spans="1:12" x14ac:dyDescent="0.4">
      <c r="A144" s="22" t="str">
        <f>DataSet!A142</f>
        <v>CUST0141</v>
      </c>
      <c r="B144" s="6" t="str">
        <f>DataSet!C142</f>
        <v>North</v>
      </c>
      <c r="C144" s="23" t="str">
        <f t="shared" si="4"/>
        <v>Amit Shah</v>
      </c>
      <c r="D144" s="4"/>
      <c r="E144" s="4"/>
      <c r="F144" s="4"/>
      <c r="G144" s="4"/>
      <c r="H144" s="13"/>
      <c r="J144" s="22" t="str">
        <f>DataSet!A116</f>
        <v>CUST0115</v>
      </c>
      <c r="K144" s="6">
        <f>DataSet!I116</f>
        <v>107184.7</v>
      </c>
      <c r="L144" s="23" t="str">
        <f t="shared" si="3"/>
        <v>High Value</v>
      </c>
    </row>
    <row r="145" spans="1:12" x14ac:dyDescent="0.4">
      <c r="A145" s="22" t="str">
        <f>DataSet!A143</f>
        <v>CUST0142</v>
      </c>
      <c r="B145" s="6" t="str">
        <f>DataSet!C143</f>
        <v>South</v>
      </c>
      <c r="C145" s="23" t="str">
        <f t="shared" si="4"/>
        <v>Neha Patel</v>
      </c>
      <c r="D145" s="4"/>
      <c r="E145" s="4"/>
      <c r="F145" s="4"/>
      <c r="G145" s="4"/>
      <c r="H145" s="13"/>
      <c r="J145" s="22" t="str">
        <f>DataSet!A117</f>
        <v>CUST0116</v>
      </c>
      <c r="K145" s="6">
        <f>DataSet!I117</f>
        <v>44863.8</v>
      </c>
      <c r="L145" s="23" t="str">
        <f t="shared" si="3"/>
        <v>High Value</v>
      </c>
    </row>
    <row r="146" spans="1:12" x14ac:dyDescent="0.4">
      <c r="A146" s="22" t="str">
        <f>DataSet!A144</f>
        <v>CUST0143</v>
      </c>
      <c r="B146" s="6" t="str">
        <f>DataSet!C144</f>
        <v>East</v>
      </c>
      <c r="C146" s="23" t="str">
        <f t="shared" si="4"/>
        <v>Riya Mehta</v>
      </c>
      <c r="D146" s="4"/>
      <c r="E146" s="4"/>
      <c r="F146" s="4"/>
      <c r="G146" s="4"/>
      <c r="H146" s="13"/>
      <c r="J146" s="22" t="str">
        <f>DataSet!A118</f>
        <v>CUST0117</v>
      </c>
      <c r="K146" s="6">
        <f>DataSet!I118</f>
        <v>147528</v>
      </c>
      <c r="L146" s="23" t="str">
        <f t="shared" si="3"/>
        <v>High Value</v>
      </c>
    </row>
    <row r="147" spans="1:12" x14ac:dyDescent="0.4">
      <c r="A147" s="22" t="str">
        <f>DataSet!A145</f>
        <v>CUST0144</v>
      </c>
      <c r="B147" s="6" t="str">
        <f>DataSet!C145</f>
        <v>West</v>
      </c>
      <c r="C147" s="23" t="str">
        <f t="shared" si="4"/>
        <v>Karan Desai</v>
      </c>
      <c r="D147" s="4"/>
      <c r="E147" s="4"/>
      <c r="F147" s="4"/>
      <c r="G147" s="4"/>
      <c r="H147" s="13"/>
      <c r="J147" s="22" t="str">
        <f>DataSet!A119</f>
        <v>CUST0118</v>
      </c>
      <c r="K147" s="6">
        <f>DataSet!I119</f>
        <v>87273.12</v>
      </c>
      <c r="L147" s="23" t="str">
        <f t="shared" si="3"/>
        <v>High Value</v>
      </c>
    </row>
    <row r="148" spans="1:12" x14ac:dyDescent="0.4">
      <c r="A148" s="22" t="str">
        <f>DataSet!A146</f>
        <v>CUST0145</v>
      </c>
      <c r="B148" s="6" t="str">
        <f>DataSet!C146</f>
        <v>Central</v>
      </c>
      <c r="C148" s="23" t="str">
        <f t="shared" si="4"/>
        <v>Pooja Joshi</v>
      </c>
      <c r="D148" s="4"/>
      <c r="E148" s="4"/>
      <c r="F148" s="4"/>
      <c r="G148" s="4"/>
      <c r="H148" s="13"/>
      <c r="J148" s="22" t="str">
        <f>DataSet!A120</f>
        <v>CUST0119</v>
      </c>
      <c r="K148" s="6">
        <f>DataSet!I120</f>
        <v>28332.2</v>
      </c>
      <c r="L148" s="23" t="str">
        <f t="shared" si="3"/>
        <v>High Value</v>
      </c>
    </row>
    <row r="149" spans="1:12" x14ac:dyDescent="0.4">
      <c r="A149" s="22" t="str">
        <f>DataSet!A147</f>
        <v>CUST0146</v>
      </c>
      <c r="B149" s="6" t="str">
        <f>DataSet!C147</f>
        <v>North</v>
      </c>
      <c r="C149" s="23" t="str">
        <f t="shared" si="4"/>
        <v>Amit Shah</v>
      </c>
      <c r="D149" s="4"/>
      <c r="E149" s="4"/>
      <c r="F149" s="4"/>
      <c r="G149" s="4"/>
      <c r="H149" s="13"/>
      <c r="J149" s="22" t="str">
        <f>DataSet!A121</f>
        <v>CUST0120</v>
      </c>
      <c r="K149" s="6">
        <f>DataSet!I121</f>
        <v>120981.6</v>
      </c>
      <c r="L149" s="23" t="str">
        <f t="shared" si="3"/>
        <v>High Value</v>
      </c>
    </row>
    <row r="150" spans="1:12" x14ac:dyDescent="0.4">
      <c r="A150" s="22" t="str">
        <f>DataSet!A148</f>
        <v>CUST0147</v>
      </c>
      <c r="B150" s="6" t="str">
        <f>DataSet!C148</f>
        <v>South</v>
      </c>
      <c r="C150" s="23" t="str">
        <f t="shared" si="4"/>
        <v>Neha Patel</v>
      </c>
      <c r="D150" s="4"/>
      <c r="E150" s="4"/>
      <c r="F150" s="4"/>
      <c r="G150" s="4"/>
      <c r="H150" s="13"/>
      <c r="J150" s="22" t="str">
        <f>DataSet!A122</f>
        <v>CUST0121</v>
      </c>
      <c r="K150" s="6">
        <f>DataSet!I122</f>
        <v>84700</v>
      </c>
      <c r="L150" s="23" t="str">
        <f t="shared" si="3"/>
        <v>High Value</v>
      </c>
    </row>
    <row r="151" spans="1:12" x14ac:dyDescent="0.4">
      <c r="A151" s="22" t="str">
        <f>DataSet!A149</f>
        <v>CUST0148</v>
      </c>
      <c r="B151" s="6" t="str">
        <f>DataSet!C149</f>
        <v>East</v>
      </c>
      <c r="C151" s="23" t="str">
        <f t="shared" si="4"/>
        <v>Riya Mehta</v>
      </c>
      <c r="D151" s="4"/>
      <c r="E151" s="4"/>
      <c r="F151" s="4"/>
      <c r="G151" s="4"/>
      <c r="H151" s="13"/>
      <c r="J151" s="22" t="str">
        <f>DataSet!A123</f>
        <v>CUST0122</v>
      </c>
      <c r="K151" s="6">
        <f>DataSet!I123</f>
        <v>16735.46</v>
      </c>
      <c r="L151" s="23" t="str">
        <f t="shared" si="3"/>
        <v>Regular</v>
      </c>
    </row>
    <row r="152" spans="1:12" x14ac:dyDescent="0.4">
      <c r="A152" s="22" t="str">
        <f>DataSet!A150</f>
        <v>CUST0149</v>
      </c>
      <c r="B152" s="6" t="str">
        <f>DataSet!C150</f>
        <v>West</v>
      </c>
      <c r="C152" s="23" t="str">
        <f t="shared" si="4"/>
        <v>Karan Desai</v>
      </c>
      <c r="D152" s="4"/>
      <c r="E152" s="4"/>
      <c r="F152" s="4"/>
      <c r="G152" s="4"/>
      <c r="H152" s="13"/>
      <c r="J152" s="22" t="str">
        <f>DataSet!A124</f>
        <v>CUST0123</v>
      </c>
      <c r="K152" s="6">
        <f>DataSet!I124</f>
        <v>130826.4</v>
      </c>
      <c r="L152" s="23" t="str">
        <f t="shared" si="3"/>
        <v>High Value</v>
      </c>
    </row>
    <row r="153" spans="1:12" x14ac:dyDescent="0.4">
      <c r="A153" s="22" t="str">
        <f>DataSet!A151</f>
        <v>CUST0150</v>
      </c>
      <c r="B153" s="6" t="str">
        <f>DataSet!C151</f>
        <v>Central</v>
      </c>
      <c r="C153" s="23" t="str">
        <f t="shared" si="4"/>
        <v>Pooja Joshi</v>
      </c>
      <c r="D153" s="4"/>
      <c r="E153" s="4"/>
      <c r="F153" s="4"/>
      <c r="G153" s="4"/>
      <c r="H153" s="13"/>
      <c r="J153" s="22" t="str">
        <f>DataSet!A125</f>
        <v>CUST0124</v>
      </c>
      <c r="K153" s="6">
        <f>DataSet!I125</f>
        <v>63851.68</v>
      </c>
      <c r="L153" s="23" t="str">
        <f t="shared" si="3"/>
        <v>High Value</v>
      </c>
    </row>
    <row r="154" spans="1:12" x14ac:dyDescent="0.4">
      <c r="A154" s="22" t="str">
        <f>DataSet!A152</f>
        <v>CUST0151</v>
      </c>
      <c r="B154" s="6" t="str">
        <f>DataSet!C152</f>
        <v>North</v>
      </c>
      <c r="C154" s="23" t="str">
        <f t="shared" si="4"/>
        <v>Amit Shah</v>
      </c>
      <c r="D154" s="4"/>
      <c r="E154" s="4"/>
      <c r="F154" s="4"/>
      <c r="G154" s="4"/>
      <c r="H154" s="13"/>
      <c r="J154" s="22" t="str">
        <f>DataSet!A126</f>
        <v>CUST0125</v>
      </c>
      <c r="K154" s="6">
        <f>DataSet!I126</f>
        <v>173131.2</v>
      </c>
      <c r="L154" s="23" t="str">
        <f t="shared" si="3"/>
        <v>High Value</v>
      </c>
    </row>
    <row r="155" spans="1:12" x14ac:dyDescent="0.4">
      <c r="A155" s="22" t="str">
        <f>DataSet!A153</f>
        <v>CUST0152</v>
      </c>
      <c r="B155" s="6" t="str">
        <f>DataSet!C153</f>
        <v>South</v>
      </c>
      <c r="C155" s="23" t="str">
        <f t="shared" si="4"/>
        <v>Neha Patel</v>
      </c>
      <c r="D155" s="4"/>
      <c r="E155" s="4"/>
      <c r="F155" s="4"/>
      <c r="G155" s="4"/>
      <c r="H155" s="13"/>
      <c r="J155" s="22" t="str">
        <f>DataSet!A127</f>
        <v>CUST0126</v>
      </c>
      <c r="K155" s="6">
        <f>DataSet!I127</f>
        <v>108570</v>
      </c>
      <c r="L155" s="23" t="str">
        <f t="shared" si="3"/>
        <v>High Value</v>
      </c>
    </row>
    <row r="156" spans="1:12" x14ac:dyDescent="0.4">
      <c r="A156" s="22" t="str">
        <f>DataSet!A154</f>
        <v>CUST0153</v>
      </c>
      <c r="B156" s="6" t="str">
        <f>DataSet!C154</f>
        <v>East</v>
      </c>
      <c r="C156" s="23" t="str">
        <f t="shared" si="4"/>
        <v>Riya Mehta</v>
      </c>
      <c r="D156" s="4"/>
      <c r="E156" s="4"/>
      <c r="F156" s="4"/>
      <c r="G156" s="4"/>
      <c r="H156" s="13"/>
      <c r="J156" s="22" t="str">
        <f>DataSet!A128</f>
        <v>CUST0127</v>
      </c>
      <c r="K156" s="6">
        <f>DataSet!I128</f>
        <v>45293.1</v>
      </c>
      <c r="L156" s="23" t="str">
        <f t="shared" si="3"/>
        <v>High Value</v>
      </c>
    </row>
    <row r="157" spans="1:12" x14ac:dyDescent="0.4">
      <c r="A157" s="22" t="str">
        <f>DataSet!A155</f>
        <v>CUST0154</v>
      </c>
      <c r="B157" s="6" t="str">
        <f>DataSet!C155</f>
        <v>West</v>
      </c>
      <c r="C157" s="23" t="str">
        <f t="shared" si="4"/>
        <v>Karan Desai</v>
      </c>
      <c r="D157" s="4"/>
      <c r="E157" s="4"/>
      <c r="F157" s="4"/>
      <c r="G157" s="4"/>
      <c r="H157" s="13"/>
      <c r="J157" s="22" t="str">
        <f>DataSet!A129</f>
        <v>CUST0128</v>
      </c>
      <c r="K157" s="6">
        <f>DataSet!I129</f>
        <v>187032</v>
      </c>
      <c r="L157" s="23" t="str">
        <f t="shared" si="3"/>
        <v>High Value</v>
      </c>
    </row>
    <row r="158" spans="1:12" x14ac:dyDescent="0.4">
      <c r="A158" s="22" t="str">
        <f>DataSet!A156</f>
        <v>CUST0155</v>
      </c>
      <c r="B158" s="6" t="str">
        <f>DataSet!C156</f>
        <v>Central</v>
      </c>
      <c r="C158" s="23" t="str">
        <f t="shared" si="4"/>
        <v>Pooja Joshi</v>
      </c>
      <c r="D158" s="4"/>
      <c r="E158" s="4"/>
      <c r="F158" s="4"/>
      <c r="G158" s="4"/>
      <c r="H158" s="13"/>
      <c r="J158" s="22" t="str">
        <f>DataSet!A130</f>
        <v>CUST0129</v>
      </c>
      <c r="K158" s="6">
        <f>DataSet!I130</f>
        <v>108216</v>
      </c>
      <c r="L158" s="23" t="str">
        <f t="shared" si="3"/>
        <v>High Value</v>
      </c>
    </row>
    <row r="159" spans="1:12" x14ac:dyDescent="0.4">
      <c r="A159" s="22" t="str">
        <f>DataSet!A157</f>
        <v>CUST0156</v>
      </c>
      <c r="B159" s="6" t="str">
        <f>DataSet!C157</f>
        <v>North</v>
      </c>
      <c r="C159" s="23" t="str">
        <f t="shared" si="4"/>
        <v>Amit Shah</v>
      </c>
      <c r="D159" s="4"/>
      <c r="E159" s="4"/>
      <c r="F159" s="4"/>
      <c r="G159" s="4"/>
      <c r="H159" s="13"/>
      <c r="J159" s="22" t="str">
        <f>DataSet!A131</f>
        <v>CUST0130</v>
      </c>
      <c r="K159" s="6">
        <f>DataSet!I131</f>
        <v>35619.08</v>
      </c>
      <c r="L159" s="23" t="str">
        <f t="shared" ref="L159:L222" si="5">IF(K159&gt;=25000,"High Value","Regular")</f>
        <v>High Value</v>
      </c>
    </row>
    <row r="160" spans="1:12" x14ac:dyDescent="0.4">
      <c r="A160" s="22" t="str">
        <f>DataSet!A158</f>
        <v>CUST0157</v>
      </c>
      <c r="B160" s="6" t="str">
        <f>DataSet!C158</f>
        <v>South</v>
      </c>
      <c r="C160" s="23" t="str">
        <f t="shared" si="4"/>
        <v>Neha Patel</v>
      </c>
      <c r="D160" s="4"/>
      <c r="E160" s="4"/>
      <c r="F160" s="4"/>
      <c r="G160" s="4"/>
      <c r="H160" s="13"/>
      <c r="J160" s="22" t="str">
        <f>DataSet!A132</f>
        <v>CUST0131</v>
      </c>
      <c r="K160" s="6">
        <f>DataSet!I132</f>
        <v>156550.5</v>
      </c>
      <c r="L160" s="23" t="str">
        <f t="shared" si="5"/>
        <v>High Value</v>
      </c>
    </row>
    <row r="161" spans="1:12" x14ac:dyDescent="0.4">
      <c r="A161" s="22" t="str">
        <f>DataSet!A159</f>
        <v>CUST0158</v>
      </c>
      <c r="B161" s="6" t="str">
        <f>DataSet!C159</f>
        <v>East</v>
      </c>
      <c r="C161" s="23" t="str">
        <f t="shared" si="4"/>
        <v>Riya Mehta</v>
      </c>
      <c r="D161" s="4"/>
      <c r="E161" s="4"/>
      <c r="F161" s="4"/>
      <c r="G161" s="4"/>
      <c r="H161" s="13"/>
      <c r="J161" s="22" t="str">
        <f>DataSet!A133</f>
        <v>CUST0132</v>
      </c>
      <c r="K161" s="6">
        <f>DataSet!I133</f>
        <v>84856.2</v>
      </c>
      <c r="L161" s="23" t="str">
        <f t="shared" si="5"/>
        <v>High Value</v>
      </c>
    </row>
    <row r="162" spans="1:12" x14ac:dyDescent="0.4">
      <c r="A162" s="22" t="str">
        <f>DataSet!A160</f>
        <v>CUST0159</v>
      </c>
      <c r="B162" s="6" t="str">
        <f>DataSet!C160</f>
        <v>West</v>
      </c>
      <c r="C162" s="23" t="str">
        <f t="shared" si="4"/>
        <v>Karan Desai</v>
      </c>
      <c r="D162" s="4"/>
      <c r="E162" s="4"/>
      <c r="F162" s="4"/>
      <c r="G162" s="4"/>
      <c r="H162" s="13"/>
      <c r="J162" s="22" t="str">
        <f>DataSet!A134</f>
        <v>CUST0133</v>
      </c>
      <c r="K162" s="6">
        <f>DataSet!I134</f>
        <v>16725.599999999999</v>
      </c>
      <c r="L162" s="23" t="str">
        <f t="shared" si="5"/>
        <v>Regular</v>
      </c>
    </row>
    <row r="163" spans="1:12" x14ac:dyDescent="0.4">
      <c r="A163" s="22" t="str">
        <f>DataSet!A161</f>
        <v>CUST0160</v>
      </c>
      <c r="B163" s="6" t="str">
        <f>DataSet!C161</f>
        <v>Central</v>
      </c>
      <c r="C163" s="23" t="str">
        <f t="shared" si="4"/>
        <v>Pooja Joshi</v>
      </c>
      <c r="D163" s="4"/>
      <c r="E163" s="4"/>
      <c r="F163" s="4"/>
      <c r="G163" s="4"/>
      <c r="H163" s="13"/>
      <c r="J163" s="22" t="str">
        <f>DataSet!A135</f>
        <v>CUST0134</v>
      </c>
      <c r="K163" s="6">
        <f>DataSet!I135</f>
        <v>131795.84</v>
      </c>
      <c r="L163" s="23" t="str">
        <f t="shared" si="5"/>
        <v>High Value</v>
      </c>
    </row>
    <row r="164" spans="1:12" x14ac:dyDescent="0.4">
      <c r="A164" s="22" t="str">
        <f>DataSet!A162</f>
        <v>CUST0161</v>
      </c>
      <c r="B164" s="6" t="str">
        <f>DataSet!C162</f>
        <v>North</v>
      </c>
      <c r="C164" s="23" t="str">
        <f t="shared" si="4"/>
        <v>Amit Shah</v>
      </c>
      <c r="D164" s="4"/>
      <c r="E164" s="4"/>
      <c r="F164" s="4"/>
      <c r="G164" s="4"/>
      <c r="H164" s="13"/>
      <c r="J164" s="22" t="str">
        <f>DataSet!A136</f>
        <v>CUST0135</v>
      </c>
      <c r="K164" s="6">
        <f>DataSet!I136</f>
        <v>64117.2</v>
      </c>
      <c r="L164" s="23" t="str">
        <f t="shared" si="5"/>
        <v>High Value</v>
      </c>
    </row>
    <row r="165" spans="1:12" x14ac:dyDescent="0.4">
      <c r="A165" s="22" t="str">
        <f>DataSet!A163</f>
        <v>CUST0162</v>
      </c>
      <c r="B165" s="6" t="str">
        <f>DataSet!C163</f>
        <v>South</v>
      </c>
      <c r="C165" s="23" t="str">
        <f t="shared" si="4"/>
        <v>Neha Patel</v>
      </c>
      <c r="D165" s="4"/>
      <c r="E165" s="4"/>
      <c r="F165" s="4"/>
      <c r="G165" s="4"/>
      <c r="H165" s="13"/>
      <c r="J165" s="22" t="str">
        <f>DataSet!A137</f>
        <v>CUST0136</v>
      </c>
      <c r="K165" s="6">
        <f>DataSet!I137</f>
        <v>167156</v>
      </c>
      <c r="L165" s="23" t="str">
        <f t="shared" si="5"/>
        <v>High Value</v>
      </c>
    </row>
    <row r="166" spans="1:12" x14ac:dyDescent="0.4">
      <c r="A166" s="22" t="str">
        <f>DataSet!A164</f>
        <v>CUST0163</v>
      </c>
      <c r="B166" s="6" t="str">
        <f>DataSet!C164</f>
        <v>East</v>
      </c>
      <c r="C166" s="23" t="str">
        <f t="shared" si="4"/>
        <v>Riya Mehta</v>
      </c>
      <c r="D166" s="4"/>
      <c r="E166" s="4"/>
      <c r="F166" s="4"/>
      <c r="G166" s="4"/>
      <c r="H166" s="13"/>
      <c r="J166" s="22" t="str">
        <f>DataSet!A138</f>
        <v>CUST0137</v>
      </c>
      <c r="K166" s="6">
        <f>DataSet!I138</f>
        <v>133924</v>
      </c>
      <c r="L166" s="23" t="str">
        <f t="shared" si="5"/>
        <v>High Value</v>
      </c>
    </row>
    <row r="167" spans="1:12" x14ac:dyDescent="0.4">
      <c r="A167" s="22" t="str">
        <f>DataSet!A165</f>
        <v>CUST0164</v>
      </c>
      <c r="B167" s="6" t="str">
        <f>DataSet!C165</f>
        <v>West</v>
      </c>
      <c r="C167" s="23" t="str">
        <f t="shared" si="4"/>
        <v>Karan Desai</v>
      </c>
      <c r="D167" s="4"/>
      <c r="E167" s="4"/>
      <c r="F167" s="4"/>
      <c r="G167" s="4"/>
      <c r="H167" s="13"/>
      <c r="J167" s="22" t="str">
        <f>DataSet!A139</f>
        <v>CUST0138</v>
      </c>
      <c r="K167" s="6">
        <f>DataSet!I139</f>
        <v>56650.86</v>
      </c>
      <c r="L167" s="23" t="str">
        <f t="shared" si="5"/>
        <v>High Value</v>
      </c>
    </row>
    <row r="168" spans="1:12" x14ac:dyDescent="0.4">
      <c r="A168" s="22" t="str">
        <f>DataSet!A166</f>
        <v>CUST0165</v>
      </c>
      <c r="B168" s="6" t="str">
        <f>DataSet!C166</f>
        <v>Central</v>
      </c>
      <c r="C168" s="23" t="str">
        <f t="shared" si="4"/>
        <v>Pooja Joshi</v>
      </c>
      <c r="D168" s="4"/>
      <c r="E168" s="4"/>
      <c r="F168" s="4"/>
      <c r="G168" s="4"/>
      <c r="H168" s="13"/>
      <c r="J168" s="22" t="str">
        <f>DataSet!A140</f>
        <v>CUST0139</v>
      </c>
      <c r="K168" s="6">
        <f>DataSet!I140</f>
        <v>184357</v>
      </c>
      <c r="L168" s="23" t="str">
        <f t="shared" si="5"/>
        <v>High Value</v>
      </c>
    </row>
    <row r="169" spans="1:12" x14ac:dyDescent="0.4">
      <c r="A169" s="22" t="str">
        <f>DataSet!A167</f>
        <v>CUST0166</v>
      </c>
      <c r="B169" s="6" t="str">
        <f>DataSet!C167</f>
        <v>North</v>
      </c>
      <c r="C169" s="23" t="str">
        <f t="shared" si="4"/>
        <v>Amit Shah</v>
      </c>
      <c r="D169" s="4"/>
      <c r="E169" s="4"/>
      <c r="F169" s="4"/>
      <c r="G169" s="4"/>
      <c r="H169" s="13"/>
      <c r="J169" s="22" t="str">
        <f>DataSet!A141</f>
        <v>CUST0140</v>
      </c>
      <c r="K169" s="6">
        <f>DataSet!I141</f>
        <v>107877.36</v>
      </c>
      <c r="L169" s="23" t="str">
        <f t="shared" si="5"/>
        <v>High Value</v>
      </c>
    </row>
    <row r="170" spans="1:12" x14ac:dyDescent="0.4">
      <c r="A170" s="22" t="str">
        <f>DataSet!A168</f>
        <v>CUST0167</v>
      </c>
      <c r="B170" s="6" t="str">
        <f>DataSet!C168</f>
        <v>South</v>
      </c>
      <c r="C170" s="23" t="str">
        <f t="shared" si="4"/>
        <v>Neha Patel</v>
      </c>
      <c r="D170" s="4"/>
      <c r="E170" s="4"/>
      <c r="F170" s="4"/>
      <c r="G170" s="4"/>
      <c r="H170" s="13"/>
      <c r="J170" s="22" t="str">
        <f>DataSet!A142</f>
        <v>CUST0141</v>
      </c>
      <c r="K170" s="6">
        <f>DataSet!I142</f>
        <v>53136</v>
      </c>
      <c r="L170" s="23" t="str">
        <f t="shared" si="5"/>
        <v>High Value</v>
      </c>
    </row>
    <row r="171" spans="1:12" x14ac:dyDescent="0.4">
      <c r="A171" s="22" t="str">
        <f>DataSet!A169</f>
        <v>CUST0168</v>
      </c>
      <c r="B171" s="6" t="str">
        <f>DataSet!C169</f>
        <v>East</v>
      </c>
      <c r="C171" s="23" t="str">
        <f t="shared" si="4"/>
        <v>Riya Mehta</v>
      </c>
      <c r="D171" s="4"/>
      <c r="E171" s="4"/>
      <c r="F171" s="4"/>
      <c r="G171" s="4"/>
      <c r="H171" s="13"/>
      <c r="J171" s="22" t="str">
        <f>DataSet!A143</f>
        <v>CUST0142</v>
      </c>
      <c r="K171" s="6">
        <f>DataSet!I143</f>
        <v>156950.64000000001</v>
      </c>
      <c r="L171" s="23" t="str">
        <f t="shared" si="5"/>
        <v>High Value</v>
      </c>
    </row>
    <row r="172" spans="1:12" x14ac:dyDescent="0.4">
      <c r="A172" s="22" t="str">
        <f>DataSet!A170</f>
        <v>CUST0169</v>
      </c>
      <c r="B172" s="6" t="str">
        <f>DataSet!C170</f>
        <v>West</v>
      </c>
      <c r="C172" s="23" t="str">
        <f t="shared" si="4"/>
        <v>Karan Desai</v>
      </c>
      <c r="D172" s="4"/>
      <c r="E172" s="4"/>
      <c r="F172" s="4"/>
      <c r="G172" s="4"/>
      <c r="H172" s="13"/>
      <c r="J172" s="22" t="str">
        <f>DataSet!A144</f>
        <v>CUST0143</v>
      </c>
      <c r="K172" s="6">
        <f>DataSet!I144</f>
        <v>84804.5</v>
      </c>
      <c r="L172" s="23" t="str">
        <f t="shared" si="5"/>
        <v>High Value</v>
      </c>
    </row>
    <row r="173" spans="1:12" x14ac:dyDescent="0.4">
      <c r="A173" s="22" t="str">
        <f>DataSet!A171</f>
        <v>CUST0170</v>
      </c>
      <c r="B173" s="6" t="str">
        <f>DataSet!C171</f>
        <v>Central</v>
      </c>
      <c r="C173" s="23" t="str">
        <f t="shared" si="4"/>
        <v>Pooja Joshi</v>
      </c>
      <c r="D173" s="4"/>
      <c r="E173" s="4"/>
      <c r="F173" s="4"/>
      <c r="G173" s="4"/>
      <c r="H173" s="13"/>
      <c r="J173" s="22" t="str">
        <f>DataSet!A145</f>
        <v>CUST0144</v>
      </c>
      <c r="K173" s="6">
        <f>DataSet!I145</f>
        <v>16072.8</v>
      </c>
      <c r="L173" s="23" t="str">
        <f t="shared" si="5"/>
        <v>Regular</v>
      </c>
    </row>
    <row r="174" spans="1:12" x14ac:dyDescent="0.4">
      <c r="A174" s="22" t="str">
        <f>DataSet!A172</f>
        <v>CUST0171</v>
      </c>
      <c r="B174" s="6" t="str">
        <f>DataSet!C172</f>
        <v>North</v>
      </c>
      <c r="C174" s="23" t="str">
        <f t="shared" si="4"/>
        <v>Amit Shah</v>
      </c>
      <c r="D174" s="4"/>
      <c r="E174" s="4"/>
      <c r="F174" s="4"/>
      <c r="G174" s="4"/>
      <c r="H174" s="13"/>
      <c r="J174" s="22" t="str">
        <f>DataSet!A146</f>
        <v>CUST0145</v>
      </c>
      <c r="K174" s="6">
        <f>DataSet!I146</f>
        <v>161824</v>
      </c>
      <c r="L174" s="23" t="str">
        <f t="shared" si="5"/>
        <v>High Value</v>
      </c>
    </row>
    <row r="175" spans="1:12" x14ac:dyDescent="0.4">
      <c r="A175" s="22" t="str">
        <f>DataSet!A173</f>
        <v>CUST0172</v>
      </c>
      <c r="B175" s="6" t="str">
        <f>DataSet!C173</f>
        <v>South</v>
      </c>
      <c r="C175" s="23" t="str">
        <f t="shared" si="4"/>
        <v>Neha Patel</v>
      </c>
      <c r="D175" s="4"/>
      <c r="E175" s="4"/>
      <c r="F175" s="4"/>
      <c r="G175" s="4"/>
      <c r="H175" s="13"/>
      <c r="J175" s="22" t="str">
        <f>DataSet!A147</f>
        <v>CUST0146</v>
      </c>
      <c r="K175" s="6">
        <f>DataSet!I147</f>
        <v>79830.8</v>
      </c>
      <c r="L175" s="23" t="str">
        <f t="shared" si="5"/>
        <v>High Value</v>
      </c>
    </row>
    <row r="176" spans="1:12" x14ac:dyDescent="0.4">
      <c r="A176" s="22" t="str">
        <f>DataSet!A174</f>
        <v>CUST0173</v>
      </c>
      <c r="B176" s="6" t="str">
        <f>DataSet!C174</f>
        <v>East</v>
      </c>
      <c r="C176" s="23" t="str">
        <f t="shared" si="4"/>
        <v>Riya Mehta</v>
      </c>
      <c r="D176" s="4"/>
      <c r="E176" s="4"/>
      <c r="F176" s="4"/>
      <c r="G176" s="4"/>
      <c r="H176" s="13"/>
      <c r="J176" s="22" t="str">
        <f>DataSet!A148</f>
        <v>CUST0147</v>
      </c>
      <c r="K176" s="6">
        <f>DataSet!I148</f>
        <v>214245.9</v>
      </c>
      <c r="L176" s="23" t="str">
        <f t="shared" si="5"/>
        <v>High Value</v>
      </c>
    </row>
    <row r="177" spans="1:12" x14ac:dyDescent="0.4">
      <c r="A177" s="22" t="str">
        <f>DataSet!A175</f>
        <v>CUST0174</v>
      </c>
      <c r="B177" s="6" t="str">
        <f>DataSet!C175</f>
        <v>West</v>
      </c>
      <c r="C177" s="23" t="str">
        <f t="shared" si="4"/>
        <v>Karan Desai</v>
      </c>
      <c r="D177" s="4"/>
      <c r="E177" s="4"/>
      <c r="F177" s="4"/>
      <c r="G177" s="4"/>
      <c r="H177" s="13"/>
      <c r="J177" s="22" t="str">
        <f>DataSet!A149</f>
        <v>CUST0148</v>
      </c>
      <c r="K177" s="6">
        <f>DataSet!I149</f>
        <v>132915.16</v>
      </c>
      <c r="L177" s="23" t="str">
        <f t="shared" si="5"/>
        <v>High Value</v>
      </c>
    </row>
    <row r="178" spans="1:12" x14ac:dyDescent="0.4">
      <c r="A178" s="22" t="str">
        <f>DataSet!A176</f>
        <v>CUST0175</v>
      </c>
      <c r="B178" s="6" t="str">
        <f>DataSet!C176</f>
        <v>Central</v>
      </c>
      <c r="C178" s="23" t="str">
        <f t="shared" si="4"/>
        <v>Pooja Joshi</v>
      </c>
      <c r="D178" s="4"/>
      <c r="E178" s="4"/>
      <c r="F178" s="4"/>
      <c r="G178" s="4"/>
      <c r="H178" s="13"/>
      <c r="J178" s="22" t="str">
        <f>DataSet!A150</f>
        <v>CUST0149</v>
      </c>
      <c r="K178" s="6">
        <f>DataSet!I150</f>
        <v>56095.199999999997</v>
      </c>
      <c r="L178" s="23" t="str">
        <f t="shared" si="5"/>
        <v>High Value</v>
      </c>
    </row>
    <row r="179" spans="1:12" x14ac:dyDescent="0.4">
      <c r="A179" s="22" t="str">
        <f>DataSet!A177</f>
        <v>CUST0176</v>
      </c>
      <c r="B179" s="6" t="str">
        <f>DataSet!C177</f>
        <v>North</v>
      </c>
      <c r="C179" s="23" t="str">
        <f t="shared" si="4"/>
        <v>Amit Shah</v>
      </c>
      <c r="D179" s="4"/>
      <c r="E179" s="4"/>
      <c r="F179" s="4"/>
      <c r="G179" s="4"/>
      <c r="H179" s="13"/>
      <c r="J179" s="22" t="str">
        <f>DataSet!A151</f>
        <v>CUST0150</v>
      </c>
      <c r="K179" s="6">
        <f>DataSet!I151</f>
        <v>192399.6</v>
      </c>
      <c r="L179" s="23" t="str">
        <f t="shared" si="5"/>
        <v>High Value</v>
      </c>
    </row>
    <row r="180" spans="1:12" x14ac:dyDescent="0.4">
      <c r="A180" s="22" t="str">
        <f>DataSet!A178</f>
        <v>CUST0177</v>
      </c>
      <c r="B180" s="6" t="str">
        <f>DataSet!C178</f>
        <v>South</v>
      </c>
      <c r="C180" s="23" t="str">
        <f t="shared" si="4"/>
        <v>Neha Patel</v>
      </c>
      <c r="D180" s="4"/>
      <c r="E180" s="4"/>
      <c r="F180" s="4"/>
      <c r="G180" s="4"/>
      <c r="H180" s="13"/>
      <c r="J180" s="22" t="str">
        <f>DataSet!A152</f>
        <v>CUST0151</v>
      </c>
      <c r="K180" s="6">
        <f>DataSet!I152</f>
        <v>107355</v>
      </c>
      <c r="L180" s="23" t="str">
        <f t="shared" si="5"/>
        <v>High Value</v>
      </c>
    </row>
    <row r="181" spans="1:12" x14ac:dyDescent="0.4">
      <c r="A181" s="22" t="str">
        <f>DataSet!A179</f>
        <v>CUST0178</v>
      </c>
      <c r="B181" s="6" t="str">
        <f>DataSet!C179</f>
        <v>East</v>
      </c>
      <c r="C181" s="23" t="str">
        <f t="shared" si="4"/>
        <v>Riya Mehta</v>
      </c>
      <c r="D181" s="4"/>
      <c r="E181" s="4"/>
      <c r="F181" s="4"/>
      <c r="G181" s="4"/>
      <c r="H181" s="13"/>
      <c r="J181" s="22" t="str">
        <f>DataSet!A153</f>
        <v>CUST0152</v>
      </c>
      <c r="K181" s="6">
        <f>DataSet!I153</f>
        <v>33899.199999999997</v>
      </c>
      <c r="L181" s="23" t="str">
        <f t="shared" si="5"/>
        <v>High Value</v>
      </c>
    </row>
    <row r="182" spans="1:12" x14ac:dyDescent="0.4">
      <c r="A182" s="22" t="str">
        <f>DataSet!A180</f>
        <v>CUST0179</v>
      </c>
      <c r="B182" s="6" t="str">
        <f>DataSet!C180</f>
        <v>West</v>
      </c>
      <c r="C182" s="23" t="str">
        <f t="shared" si="4"/>
        <v>Karan Desai</v>
      </c>
      <c r="D182" s="4"/>
      <c r="E182" s="4"/>
      <c r="F182" s="4"/>
      <c r="G182" s="4"/>
      <c r="H182" s="13"/>
      <c r="J182" s="22" t="str">
        <f>DataSet!A154</f>
        <v>CUST0153</v>
      </c>
      <c r="K182" s="6">
        <f>DataSet!I154</f>
        <v>191916</v>
      </c>
      <c r="L182" s="23" t="str">
        <f t="shared" si="5"/>
        <v>High Value</v>
      </c>
    </row>
    <row r="183" spans="1:12" x14ac:dyDescent="0.4">
      <c r="A183" s="22" t="str">
        <f>DataSet!A181</f>
        <v>CUST0180</v>
      </c>
      <c r="B183" s="6" t="str">
        <f>DataSet!C181</f>
        <v>Central</v>
      </c>
      <c r="C183" s="23" t="str">
        <f t="shared" si="4"/>
        <v>Pooja Joshi</v>
      </c>
      <c r="D183" s="4"/>
      <c r="E183" s="4"/>
      <c r="F183" s="4"/>
      <c r="G183" s="4"/>
      <c r="H183" s="13"/>
      <c r="J183" s="22" t="str">
        <f>DataSet!A155</f>
        <v>CUST0154</v>
      </c>
      <c r="K183" s="6">
        <f>DataSet!I155</f>
        <v>105158.9</v>
      </c>
      <c r="L183" s="23" t="str">
        <f t="shared" si="5"/>
        <v>High Value</v>
      </c>
    </row>
    <row r="184" spans="1:12" x14ac:dyDescent="0.4">
      <c r="A184" s="22" t="str">
        <f>DataSet!A182</f>
        <v>CUST0181</v>
      </c>
      <c r="B184" s="6" t="str">
        <f>DataSet!C182</f>
        <v>North</v>
      </c>
      <c r="C184" s="23" t="str">
        <f t="shared" si="4"/>
        <v>Amit Shah</v>
      </c>
      <c r="D184" s="4"/>
      <c r="E184" s="4"/>
      <c r="F184" s="4"/>
      <c r="G184" s="4"/>
      <c r="H184" s="13"/>
      <c r="J184" s="22" t="str">
        <f>DataSet!A156</f>
        <v>CUST0155</v>
      </c>
      <c r="K184" s="6">
        <f>DataSet!I156</f>
        <v>20518.099999999999</v>
      </c>
      <c r="L184" s="23" t="str">
        <f t="shared" si="5"/>
        <v>Regular</v>
      </c>
    </row>
    <row r="185" spans="1:12" x14ac:dyDescent="0.4">
      <c r="A185" s="22" t="str">
        <f>DataSet!A183</f>
        <v>CUST0182</v>
      </c>
      <c r="B185" s="6" t="str">
        <f>DataSet!C183</f>
        <v>South</v>
      </c>
      <c r="C185" s="23" t="str">
        <f t="shared" si="4"/>
        <v>Neha Patel</v>
      </c>
      <c r="D185" s="4"/>
      <c r="E185" s="4"/>
      <c r="F185" s="4"/>
      <c r="G185" s="4"/>
      <c r="H185" s="13"/>
      <c r="J185" s="22" t="str">
        <f>DataSet!A157</f>
        <v>CUST0156</v>
      </c>
      <c r="K185" s="6">
        <f>DataSet!I157</f>
        <v>159969.60000000001</v>
      </c>
      <c r="L185" s="23" t="str">
        <f t="shared" si="5"/>
        <v>High Value</v>
      </c>
    </row>
    <row r="186" spans="1:12" x14ac:dyDescent="0.4">
      <c r="A186" s="22" t="str">
        <f>DataSet!A184</f>
        <v>CUST0183</v>
      </c>
      <c r="B186" s="6" t="str">
        <f>DataSet!C184</f>
        <v>East</v>
      </c>
      <c r="C186" s="23" t="str">
        <f t="shared" si="4"/>
        <v>Riya Mehta</v>
      </c>
      <c r="D186" s="4"/>
      <c r="E186" s="4"/>
      <c r="F186" s="4"/>
      <c r="G186" s="4"/>
      <c r="H186" s="13"/>
      <c r="J186" s="22" t="str">
        <f>DataSet!A158</f>
        <v>CUST0157</v>
      </c>
      <c r="K186" s="6">
        <f>DataSet!I158</f>
        <v>78739.199999999997</v>
      </c>
      <c r="L186" s="23" t="str">
        <f t="shared" si="5"/>
        <v>High Value</v>
      </c>
    </row>
    <row r="187" spans="1:12" x14ac:dyDescent="0.4">
      <c r="A187" s="22" t="str">
        <f>DataSet!A185</f>
        <v>CUST0184</v>
      </c>
      <c r="B187" s="6" t="str">
        <f>DataSet!C185</f>
        <v>West</v>
      </c>
      <c r="C187" s="23" t="str">
        <f t="shared" si="4"/>
        <v>Karan Desai</v>
      </c>
      <c r="D187" s="4"/>
      <c r="E187" s="4"/>
      <c r="F187" s="4"/>
      <c r="G187" s="4"/>
      <c r="H187" s="13"/>
      <c r="J187" s="22" t="str">
        <f>DataSet!A159</f>
        <v>CUST0158</v>
      </c>
      <c r="K187" s="6">
        <f>DataSet!I159</f>
        <v>213047.12</v>
      </c>
      <c r="L187" s="23" t="str">
        <f t="shared" si="5"/>
        <v>High Value</v>
      </c>
    </row>
    <row r="188" spans="1:12" x14ac:dyDescent="0.4">
      <c r="A188" s="22" t="str">
        <f>DataSet!A186</f>
        <v>CUST0185</v>
      </c>
      <c r="B188" s="6" t="str">
        <f>DataSet!C186</f>
        <v>Central</v>
      </c>
      <c r="C188" s="23" t="str">
        <f t="shared" si="4"/>
        <v>Pooja Joshi</v>
      </c>
      <c r="D188" s="4"/>
      <c r="E188" s="4"/>
      <c r="F188" s="4"/>
      <c r="G188" s="4"/>
      <c r="H188" s="13"/>
      <c r="J188" s="22" t="str">
        <f>DataSet!A160</f>
        <v>CUST0159</v>
      </c>
      <c r="K188" s="6">
        <f>DataSet!I160</f>
        <v>131768.70000000001</v>
      </c>
      <c r="L188" s="23" t="str">
        <f t="shared" si="5"/>
        <v>High Value</v>
      </c>
    </row>
    <row r="189" spans="1:12" x14ac:dyDescent="0.4">
      <c r="A189" s="22" t="str">
        <f>DataSet!A187</f>
        <v>CUST0186</v>
      </c>
      <c r="B189" s="6" t="str">
        <f>DataSet!C187</f>
        <v>North</v>
      </c>
      <c r="C189" s="23" t="str">
        <f t="shared" si="4"/>
        <v>Amit Shah</v>
      </c>
      <c r="D189" s="4"/>
      <c r="E189" s="4"/>
      <c r="F189" s="4"/>
      <c r="G189" s="4"/>
      <c r="H189" s="13"/>
      <c r="J189" s="22" t="str">
        <f>DataSet!A161</f>
        <v>CUST0160</v>
      </c>
      <c r="K189" s="6">
        <f>DataSet!I161</f>
        <v>53479.199999999997</v>
      </c>
      <c r="L189" s="23" t="str">
        <f t="shared" si="5"/>
        <v>High Value</v>
      </c>
    </row>
    <row r="190" spans="1:12" x14ac:dyDescent="0.4">
      <c r="A190" s="22" t="str">
        <f>DataSet!A188</f>
        <v>CUST0187</v>
      </c>
      <c r="B190" s="6" t="str">
        <f>DataSet!C188</f>
        <v>South</v>
      </c>
      <c r="C190" s="23" t="str">
        <f t="shared" si="4"/>
        <v>Neha Patel</v>
      </c>
      <c r="D190" s="4"/>
      <c r="E190" s="4"/>
      <c r="F190" s="4"/>
      <c r="G190" s="4"/>
      <c r="H190" s="13"/>
      <c r="J190" s="22" t="str">
        <f>DataSet!A162</f>
        <v>CUST0161</v>
      </c>
      <c r="K190" s="6">
        <f>DataSet!I162</f>
        <v>224200</v>
      </c>
      <c r="L190" s="23" t="str">
        <f t="shared" si="5"/>
        <v>High Value</v>
      </c>
    </row>
    <row r="191" spans="1:12" x14ac:dyDescent="0.4">
      <c r="A191" s="22" t="str">
        <f>DataSet!A189</f>
        <v>CUST0188</v>
      </c>
      <c r="B191" s="6" t="str">
        <f>DataSet!C189</f>
        <v>East</v>
      </c>
      <c r="C191" s="23" t="str">
        <f t="shared" si="4"/>
        <v>Riya Mehta</v>
      </c>
      <c r="D191" s="4"/>
      <c r="E191" s="4"/>
      <c r="F191" s="4"/>
      <c r="G191" s="4"/>
      <c r="H191" s="13"/>
      <c r="J191" s="22" t="str">
        <f>DataSet!A163</f>
        <v>CUST0162</v>
      </c>
      <c r="K191" s="6">
        <f>DataSet!I163</f>
        <v>132635.16</v>
      </c>
      <c r="L191" s="23" t="str">
        <f t="shared" si="5"/>
        <v>High Value</v>
      </c>
    </row>
    <row r="192" spans="1:12" x14ac:dyDescent="0.4">
      <c r="A192" s="22" t="str">
        <f>DataSet!A190</f>
        <v>CUST0189</v>
      </c>
      <c r="B192" s="6" t="str">
        <f>DataSet!C190</f>
        <v>West</v>
      </c>
      <c r="C192" s="23" t="str">
        <f t="shared" si="4"/>
        <v>Karan Desai</v>
      </c>
      <c r="D192" s="4"/>
      <c r="E192" s="4"/>
      <c r="F192" s="4"/>
      <c r="G192" s="4"/>
      <c r="H192" s="13"/>
      <c r="J192" s="22" t="str">
        <f>DataSet!A164</f>
        <v>CUST0163</v>
      </c>
      <c r="K192" s="6">
        <f>DataSet!I164</f>
        <v>43118.6</v>
      </c>
      <c r="L192" s="23" t="str">
        <f t="shared" si="5"/>
        <v>High Value</v>
      </c>
    </row>
    <row r="193" spans="1:12" x14ac:dyDescent="0.4">
      <c r="A193" s="22" t="str">
        <f>DataSet!A191</f>
        <v>CUST0190</v>
      </c>
      <c r="B193" s="6" t="str">
        <f>DataSet!C191</f>
        <v>Central</v>
      </c>
      <c r="C193" s="23" t="str">
        <f t="shared" si="4"/>
        <v>Pooja Joshi</v>
      </c>
      <c r="D193" s="4"/>
      <c r="E193" s="4"/>
      <c r="F193" s="4"/>
      <c r="G193" s="4"/>
      <c r="H193" s="13"/>
      <c r="J193" s="22" t="str">
        <f>DataSet!A165</f>
        <v>CUST0164</v>
      </c>
      <c r="K193" s="6">
        <f>DataSet!I165</f>
        <v>189040.68</v>
      </c>
      <c r="L193" s="23" t="str">
        <f t="shared" si="5"/>
        <v>High Value</v>
      </c>
    </row>
    <row r="194" spans="1:12" x14ac:dyDescent="0.4">
      <c r="A194" s="22" t="str">
        <f>DataSet!A192</f>
        <v>CUST0191</v>
      </c>
      <c r="B194" s="6" t="str">
        <f>DataSet!C192</f>
        <v>North</v>
      </c>
      <c r="C194" s="23" t="str">
        <f t="shared" si="4"/>
        <v>Amit Shah</v>
      </c>
      <c r="D194" s="4"/>
      <c r="E194" s="4"/>
      <c r="F194" s="4"/>
      <c r="G194" s="4"/>
      <c r="H194" s="13"/>
      <c r="J194" s="22" t="str">
        <f>DataSet!A166</f>
        <v>CUST0165</v>
      </c>
      <c r="K194" s="6">
        <f>DataSet!I166</f>
        <v>103356</v>
      </c>
      <c r="L194" s="23" t="str">
        <f t="shared" si="5"/>
        <v>High Value</v>
      </c>
    </row>
    <row r="195" spans="1:12" x14ac:dyDescent="0.4">
      <c r="A195" s="22" t="str">
        <f>DataSet!A193</f>
        <v>CUST0192</v>
      </c>
      <c r="B195" s="6" t="str">
        <f>DataSet!C193</f>
        <v>South</v>
      </c>
      <c r="C195" s="23" t="str">
        <f t="shared" si="4"/>
        <v>Neha Patel</v>
      </c>
      <c r="D195" s="4"/>
      <c r="E195" s="4"/>
      <c r="F195" s="4"/>
      <c r="G195" s="4"/>
      <c r="H195" s="13"/>
      <c r="J195" s="22" t="str">
        <f>DataSet!A167</f>
        <v>CUST0166</v>
      </c>
      <c r="K195" s="6">
        <f>DataSet!I167</f>
        <v>20332.400000000001</v>
      </c>
      <c r="L195" s="23" t="str">
        <f t="shared" si="5"/>
        <v>Regular</v>
      </c>
    </row>
    <row r="196" spans="1:12" x14ac:dyDescent="0.4">
      <c r="A196" s="22" t="str">
        <f>DataSet!A194</f>
        <v>CUST0193</v>
      </c>
      <c r="B196" s="6" t="str">
        <f>DataSet!C194</f>
        <v>East</v>
      </c>
      <c r="C196" s="23" t="str">
        <f t="shared" si="4"/>
        <v>Riya Mehta</v>
      </c>
      <c r="D196" s="4"/>
      <c r="E196" s="4"/>
      <c r="F196" s="4"/>
      <c r="G196" s="4"/>
      <c r="H196" s="13"/>
      <c r="J196" s="22" t="str">
        <f>DataSet!A168</f>
        <v>CUST0167</v>
      </c>
      <c r="K196" s="6">
        <f>DataSet!I168</f>
        <v>158045.6</v>
      </c>
      <c r="L196" s="23" t="str">
        <f t="shared" si="5"/>
        <v>High Value</v>
      </c>
    </row>
    <row r="197" spans="1:12" x14ac:dyDescent="0.4">
      <c r="A197" s="22" t="str">
        <f>DataSet!A195</f>
        <v>CUST0194</v>
      </c>
      <c r="B197" s="6" t="str">
        <f>DataSet!C195</f>
        <v>West</v>
      </c>
      <c r="C197" s="23" t="str">
        <f t="shared" ref="C197:C229" si="6">IFERROR(VLOOKUP(B197,$E$4:$F$8,2,FALSE),"Not Found")</f>
        <v>Karan Desai</v>
      </c>
      <c r="D197" s="4"/>
      <c r="E197" s="4"/>
      <c r="F197" s="4"/>
      <c r="G197" s="4"/>
      <c r="H197" s="13"/>
      <c r="J197" s="22" t="str">
        <f>DataSet!A169</f>
        <v>CUST0168</v>
      </c>
      <c r="K197" s="6">
        <f>DataSet!I169</f>
        <v>74812.800000000003</v>
      </c>
      <c r="L197" s="23" t="str">
        <f t="shared" si="5"/>
        <v>High Value</v>
      </c>
    </row>
    <row r="198" spans="1:12" x14ac:dyDescent="0.4">
      <c r="A198" s="22" t="str">
        <f>DataSet!A196</f>
        <v>CUST0195</v>
      </c>
      <c r="B198" s="6" t="str">
        <f>DataSet!C196</f>
        <v>Central</v>
      </c>
      <c r="C198" s="23" t="str">
        <f t="shared" si="6"/>
        <v>Pooja Joshi</v>
      </c>
      <c r="D198" s="4"/>
      <c r="E198" s="4"/>
      <c r="F198" s="4"/>
      <c r="G198" s="4"/>
      <c r="H198" s="13"/>
      <c r="J198" s="22" t="str">
        <f>DataSet!A170</f>
        <v>CUST0169</v>
      </c>
      <c r="K198" s="6">
        <f>DataSet!I170</f>
        <v>258676</v>
      </c>
      <c r="L198" s="23" t="str">
        <f t="shared" si="5"/>
        <v>High Value</v>
      </c>
    </row>
    <row r="199" spans="1:12" x14ac:dyDescent="0.4">
      <c r="A199" s="22" t="str">
        <f>DataSet!A197</f>
        <v>CUST0196</v>
      </c>
      <c r="B199" s="6" t="str">
        <f>DataSet!C197</f>
        <v>North</v>
      </c>
      <c r="C199" s="23" t="str">
        <f t="shared" si="6"/>
        <v>Amit Shah</v>
      </c>
      <c r="D199" s="4"/>
      <c r="E199" s="4"/>
      <c r="F199" s="4"/>
      <c r="G199" s="4"/>
      <c r="H199" s="13"/>
      <c r="J199" s="22" t="str">
        <f>DataSet!A171</f>
        <v>CUST0170</v>
      </c>
      <c r="K199" s="6">
        <f>DataSet!I171</f>
        <v>162259.57999999999</v>
      </c>
      <c r="L199" s="23" t="str">
        <f t="shared" si="5"/>
        <v>High Value</v>
      </c>
    </row>
    <row r="200" spans="1:12" x14ac:dyDescent="0.4">
      <c r="A200" s="22" t="str">
        <f>DataSet!A198</f>
        <v>CUST0197</v>
      </c>
      <c r="B200" s="6" t="str">
        <f>DataSet!C198</f>
        <v>South</v>
      </c>
      <c r="C200" s="23" t="str">
        <f t="shared" si="6"/>
        <v>Neha Patel</v>
      </c>
      <c r="D200" s="4"/>
      <c r="E200" s="4"/>
      <c r="F200" s="4"/>
      <c r="G200" s="4"/>
      <c r="H200" s="13"/>
      <c r="J200" s="22" t="str">
        <f>DataSet!A172</f>
        <v>CUST0171</v>
      </c>
      <c r="K200" s="6">
        <f>DataSet!I172</f>
        <v>67801.5</v>
      </c>
      <c r="L200" s="23" t="str">
        <f t="shared" si="5"/>
        <v>High Value</v>
      </c>
    </row>
    <row r="201" spans="1:12" x14ac:dyDescent="0.4">
      <c r="A201" s="22" t="str">
        <f>DataSet!A199</f>
        <v>CUST0198</v>
      </c>
      <c r="B201" s="6" t="str">
        <f>DataSet!C199</f>
        <v>East</v>
      </c>
      <c r="C201" s="23" t="str">
        <f t="shared" si="6"/>
        <v>Riya Mehta</v>
      </c>
      <c r="D201" s="4"/>
      <c r="E201" s="4"/>
      <c r="F201" s="4"/>
      <c r="G201" s="4"/>
      <c r="H201" s="13"/>
      <c r="J201" s="22" t="str">
        <f>DataSet!A173</f>
        <v>CUST0172</v>
      </c>
      <c r="K201" s="6">
        <f>DataSet!I173</f>
        <v>220128.4</v>
      </c>
      <c r="L201" s="23" t="str">
        <f t="shared" si="5"/>
        <v>High Value</v>
      </c>
    </row>
    <row r="202" spans="1:12" x14ac:dyDescent="0.4">
      <c r="A202" s="22" t="str">
        <f>DataSet!A200</f>
        <v>CUST0199</v>
      </c>
      <c r="B202" s="6" t="str">
        <f>DataSet!C200</f>
        <v>West</v>
      </c>
      <c r="C202" s="23" t="str">
        <f t="shared" si="6"/>
        <v>Karan Desai</v>
      </c>
      <c r="D202" s="4"/>
      <c r="E202" s="4"/>
      <c r="F202" s="4"/>
      <c r="G202" s="4"/>
      <c r="H202" s="13"/>
      <c r="J202" s="22" t="str">
        <f>DataSet!A174</f>
        <v>CUST0173</v>
      </c>
      <c r="K202" s="6">
        <f>DataSet!I174</f>
        <v>129945.60000000001</v>
      </c>
      <c r="L202" s="23" t="str">
        <f t="shared" si="5"/>
        <v>High Value</v>
      </c>
    </row>
    <row r="203" spans="1:12" x14ac:dyDescent="0.4">
      <c r="A203" s="22" t="str">
        <f>DataSet!A201</f>
        <v>CUST0200</v>
      </c>
      <c r="B203" s="6" t="str">
        <f>DataSet!C201</f>
        <v>Central</v>
      </c>
      <c r="C203" s="23" t="str">
        <f t="shared" si="6"/>
        <v>Pooja Joshi</v>
      </c>
      <c r="D203" s="4"/>
      <c r="E203" s="4"/>
      <c r="F203" s="4"/>
      <c r="G203" s="4"/>
      <c r="H203" s="13"/>
      <c r="J203" s="22" t="str">
        <f>DataSet!A175</f>
        <v>CUST0174</v>
      </c>
      <c r="K203" s="6">
        <f>DataSet!I175</f>
        <v>42593.760000000002</v>
      </c>
      <c r="L203" s="23" t="str">
        <f t="shared" si="5"/>
        <v>High Value</v>
      </c>
    </row>
    <row r="204" spans="1:12" x14ac:dyDescent="0.4">
      <c r="A204" s="22" t="str">
        <f>DataSet!A202</f>
        <v>CUST0201</v>
      </c>
      <c r="B204" s="6" t="str">
        <f>DataSet!C202</f>
        <v>North</v>
      </c>
      <c r="C204" s="23" t="str">
        <f t="shared" si="6"/>
        <v>Amit Shah</v>
      </c>
      <c r="D204" s="4"/>
      <c r="E204" s="4"/>
      <c r="F204" s="4"/>
      <c r="G204" s="4"/>
      <c r="H204" s="13"/>
      <c r="J204" s="22" t="str">
        <f>DataSet!A176</f>
        <v>CUST0175</v>
      </c>
      <c r="K204" s="6">
        <f>DataSet!I176</f>
        <v>186185.7</v>
      </c>
      <c r="L204" s="23" t="str">
        <f t="shared" si="5"/>
        <v>High Value</v>
      </c>
    </row>
    <row r="205" spans="1:12" x14ac:dyDescent="0.4">
      <c r="A205" s="22" t="str">
        <f>DataSet!A203</f>
        <v>CUST0202</v>
      </c>
      <c r="B205" s="6" t="str">
        <f>DataSet!C203</f>
        <v>South</v>
      </c>
      <c r="C205" s="23" t="str">
        <f t="shared" si="6"/>
        <v>Neha Patel</v>
      </c>
      <c r="D205" s="4"/>
      <c r="E205" s="4"/>
      <c r="F205" s="4"/>
      <c r="G205" s="4"/>
      <c r="H205" s="13"/>
      <c r="J205" s="22" t="str">
        <f>DataSet!A177</f>
        <v>CUST0176</v>
      </c>
      <c r="K205" s="6">
        <f>DataSet!I177</f>
        <v>97900</v>
      </c>
      <c r="L205" s="23" t="str">
        <f t="shared" si="5"/>
        <v>High Value</v>
      </c>
    </row>
    <row r="206" spans="1:12" x14ac:dyDescent="0.4">
      <c r="A206" s="22" t="str">
        <f>DataSet!A204</f>
        <v>CUST0203</v>
      </c>
      <c r="B206" s="6" t="str">
        <f>DataSet!C204</f>
        <v>East</v>
      </c>
      <c r="C206" s="23" t="str">
        <f t="shared" si="6"/>
        <v>Riya Mehta</v>
      </c>
      <c r="D206" s="4"/>
      <c r="E206" s="4"/>
      <c r="F206" s="4"/>
      <c r="G206" s="4"/>
      <c r="H206" s="13"/>
      <c r="J206" s="22" t="str">
        <f>DataSet!A178</f>
        <v>CUST0177</v>
      </c>
      <c r="K206" s="6">
        <f>DataSet!I178</f>
        <v>24612</v>
      </c>
      <c r="L206" s="23" t="str">
        <f t="shared" si="5"/>
        <v>Regular</v>
      </c>
    </row>
    <row r="207" spans="1:12" x14ac:dyDescent="0.4">
      <c r="A207" s="22" t="str">
        <f>DataSet!A205</f>
        <v>CUST0204</v>
      </c>
      <c r="B207" s="6" t="str">
        <f>DataSet!C205</f>
        <v>West</v>
      </c>
      <c r="C207" s="23" t="str">
        <f t="shared" si="6"/>
        <v>Karan Desai</v>
      </c>
      <c r="D207" s="4"/>
      <c r="E207" s="4"/>
      <c r="F207" s="4"/>
      <c r="G207" s="4"/>
      <c r="H207" s="13"/>
      <c r="J207" s="22" t="str">
        <f>DataSet!A179</f>
        <v>CUST0178</v>
      </c>
      <c r="K207" s="6">
        <f>DataSet!I179</f>
        <v>194032.16</v>
      </c>
      <c r="L207" s="23" t="str">
        <f t="shared" si="5"/>
        <v>High Value</v>
      </c>
    </row>
    <row r="208" spans="1:12" x14ac:dyDescent="0.4">
      <c r="A208" s="22" t="str">
        <f>DataSet!A206</f>
        <v>CUST0205</v>
      </c>
      <c r="B208" s="6" t="str">
        <f>DataSet!C206</f>
        <v>Central</v>
      </c>
      <c r="C208" s="23" t="str">
        <f t="shared" si="6"/>
        <v>Pooja Joshi</v>
      </c>
      <c r="D208" s="4"/>
      <c r="E208" s="4"/>
      <c r="F208" s="4"/>
      <c r="G208" s="4"/>
      <c r="H208" s="13"/>
      <c r="J208" s="22" t="str">
        <f>DataSet!A180</f>
        <v>CUST0179</v>
      </c>
      <c r="K208" s="6">
        <f>DataSet!I180</f>
        <v>94566.8</v>
      </c>
      <c r="L208" s="23" t="str">
        <f t="shared" si="5"/>
        <v>High Value</v>
      </c>
    </row>
    <row r="209" spans="1:12" x14ac:dyDescent="0.4">
      <c r="A209" s="22" t="str">
        <f>DataSet!A207</f>
        <v>CUST0206</v>
      </c>
      <c r="B209" s="6" t="str">
        <f>DataSet!C207</f>
        <v>North</v>
      </c>
      <c r="C209" s="23" t="str">
        <f t="shared" si="6"/>
        <v>Amit Shah</v>
      </c>
      <c r="D209" s="4"/>
      <c r="E209" s="4"/>
      <c r="F209" s="4"/>
      <c r="G209" s="4"/>
      <c r="H209" s="13"/>
      <c r="J209" s="22" t="str">
        <f>DataSet!A181</f>
        <v>CUST0180</v>
      </c>
      <c r="K209" s="6">
        <f>DataSet!I181</f>
        <v>253232.76</v>
      </c>
      <c r="L209" s="23" t="str">
        <f t="shared" si="5"/>
        <v>High Value</v>
      </c>
    </row>
    <row r="210" spans="1:12" x14ac:dyDescent="0.4">
      <c r="A210" s="22" t="str">
        <f>DataSet!A208</f>
        <v>CUST0207</v>
      </c>
      <c r="B210" s="6" t="str">
        <f>DataSet!C208</f>
        <v>South</v>
      </c>
      <c r="C210" s="23" t="str">
        <f t="shared" si="6"/>
        <v>Neha Patel</v>
      </c>
      <c r="D210" s="4"/>
      <c r="E210" s="4"/>
      <c r="F210" s="4"/>
      <c r="G210" s="4"/>
      <c r="H210" s="13"/>
      <c r="J210" s="22" t="str">
        <f>DataSet!A182</f>
        <v>CUST0181</v>
      </c>
      <c r="K210" s="6">
        <f>DataSet!I182</f>
        <v>158508</v>
      </c>
      <c r="L210" s="23" t="str">
        <f t="shared" si="5"/>
        <v>High Value</v>
      </c>
    </row>
    <row r="211" spans="1:12" x14ac:dyDescent="0.4">
      <c r="A211" s="22" t="str">
        <f>DataSet!A209</f>
        <v>CUST0208</v>
      </c>
      <c r="B211" s="6" t="str">
        <f>DataSet!C209</f>
        <v>East</v>
      </c>
      <c r="C211" s="23" t="str">
        <f t="shared" si="6"/>
        <v>Riya Mehta</v>
      </c>
      <c r="D211" s="4"/>
      <c r="E211" s="4"/>
      <c r="F211" s="4"/>
      <c r="G211" s="4"/>
      <c r="H211" s="13"/>
      <c r="J211" s="22" t="str">
        <f>DataSet!A183</f>
        <v>CUST0182</v>
      </c>
      <c r="K211" s="6">
        <f>DataSet!I183</f>
        <v>66784.08</v>
      </c>
      <c r="L211" s="23" t="str">
        <f t="shared" si="5"/>
        <v>High Value</v>
      </c>
    </row>
    <row r="212" spans="1:12" x14ac:dyDescent="0.4">
      <c r="A212" s="22" t="str">
        <f>DataSet!A210</f>
        <v>CUST0209</v>
      </c>
      <c r="B212" s="6" t="str">
        <f>DataSet!C210</f>
        <v>West</v>
      </c>
      <c r="C212" s="23" t="str">
        <f t="shared" si="6"/>
        <v>Karan Desai</v>
      </c>
      <c r="D212" s="4"/>
      <c r="E212" s="4"/>
      <c r="F212" s="4"/>
      <c r="G212" s="4"/>
      <c r="H212" s="13"/>
      <c r="J212" s="22" t="str">
        <f>DataSet!A184</f>
        <v>CUST0183</v>
      </c>
      <c r="K212" s="6">
        <f>DataSet!I184</f>
        <v>216189</v>
      </c>
      <c r="L212" s="23" t="str">
        <f t="shared" si="5"/>
        <v>High Value</v>
      </c>
    </row>
    <row r="213" spans="1:12" x14ac:dyDescent="0.4">
      <c r="A213" s="22" t="str">
        <f>DataSet!A211</f>
        <v>CUST0210</v>
      </c>
      <c r="B213" s="6" t="str">
        <f>DataSet!C211</f>
        <v>Central</v>
      </c>
      <c r="C213" s="23" t="str">
        <f t="shared" si="6"/>
        <v>Pooja Joshi</v>
      </c>
      <c r="D213" s="4"/>
      <c r="E213" s="4"/>
      <c r="F213" s="4"/>
      <c r="G213" s="4"/>
      <c r="H213" s="13"/>
      <c r="J213" s="22" t="str">
        <f>DataSet!A185</f>
        <v>CUST0184</v>
      </c>
      <c r="K213" s="6">
        <f>DataSet!I185</f>
        <v>122740.8</v>
      </c>
      <c r="L213" s="23" t="str">
        <f t="shared" si="5"/>
        <v>High Value</v>
      </c>
    </row>
    <row r="214" spans="1:12" x14ac:dyDescent="0.4">
      <c r="A214" s="22" t="str">
        <f>DataSet!A212</f>
        <v>CUST0211</v>
      </c>
      <c r="B214" s="6" t="str">
        <f>DataSet!C212</f>
        <v>North</v>
      </c>
      <c r="C214" s="23" t="str">
        <f t="shared" si="6"/>
        <v>Amit Shah</v>
      </c>
      <c r="D214" s="4"/>
      <c r="E214" s="4"/>
      <c r="F214" s="4"/>
      <c r="G214" s="4"/>
      <c r="H214" s="13"/>
      <c r="J214" s="22" t="str">
        <f>DataSet!A186</f>
        <v>CUST0185</v>
      </c>
      <c r="K214" s="6">
        <f>DataSet!I186</f>
        <v>51416</v>
      </c>
      <c r="L214" s="23" t="str">
        <f t="shared" si="5"/>
        <v>High Value</v>
      </c>
    </row>
    <row r="215" spans="1:12" x14ac:dyDescent="0.4">
      <c r="A215" s="22" t="str">
        <f>DataSet!A213</f>
        <v>CUST0212</v>
      </c>
      <c r="B215" s="6" t="str">
        <f>DataSet!C213</f>
        <v>South</v>
      </c>
      <c r="C215" s="23" t="str">
        <f t="shared" si="6"/>
        <v>Neha Patel</v>
      </c>
      <c r="D215" s="4"/>
      <c r="E215" s="4"/>
      <c r="F215" s="4"/>
      <c r="G215" s="4"/>
      <c r="H215" s="13"/>
      <c r="J215" s="22" t="str">
        <f>DataSet!A187</f>
        <v>CUST0186</v>
      </c>
      <c r="K215" s="6">
        <f>DataSet!I187</f>
        <v>227952.9</v>
      </c>
      <c r="L215" s="23" t="str">
        <f t="shared" si="5"/>
        <v>High Value</v>
      </c>
    </row>
    <row r="216" spans="1:12" x14ac:dyDescent="0.4">
      <c r="A216" s="22" t="str">
        <f>DataSet!A214</f>
        <v>CUST0213</v>
      </c>
      <c r="B216" s="6" t="str">
        <f>DataSet!C214</f>
        <v>East</v>
      </c>
      <c r="C216" s="23" t="str">
        <f t="shared" si="6"/>
        <v>Riya Mehta</v>
      </c>
      <c r="D216" s="4"/>
      <c r="E216" s="4"/>
      <c r="F216" s="4"/>
      <c r="G216" s="4"/>
      <c r="H216" s="13"/>
      <c r="J216" s="22" t="str">
        <f>DataSet!A188</f>
        <v>CUST0187</v>
      </c>
      <c r="K216" s="6">
        <f>DataSet!I188</f>
        <v>123414.5</v>
      </c>
      <c r="L216" s="23" t="str">
        <f t="shared" si="5"/>
        <v>High Value</v>
      </c>
    </row>
    <row r="217" spans="1:12" x14ac:dyDescent="0.4">
      <c r="A217" s="22" t="str">
        <f>DataSet!A215</f>
        <v>CUST0214</v>
      </c>
      <c r="B217" s="6" t="str">
        <f>DataSet!C215</f>
        <v>West</v>
      </c>
      <c r="C217" s="23" t="str">
        <f t="shared" si="6"/>
        <v>Karan Desai</v>
      </c>
      <c r="D217" s="4"/>
      <c r="E217" s="4"/>
      <c r="F217" s="4"/>
      <c r="G217" s="4"/>
      <c r="H217" s="13"/>
      <c r="J217" s="22" t="str">
        <f>DataSet!A189</f>
        <v>CUST0188</v>
      </c>
      <c r="K217" s="6">
        <f>DataSet!I189</f>
        <v>24029.48</v>
      </c>
      <c r="L217" s="23" t="str">
        <f t="shared" si="5"/>
        <v>Regular</v>
      </c>
    </row>
    <row r="218" spans="1:12" x14ac:dyDescent="0.4">
      <c r="A218" s="22" t="str">
        <f>DataSet!A216</f>
        <v>CUST0215</v>
      </c>
      <c r="B218" s="6" t="str">
        <f>DataSet!C216</f>
        <v>Central</v>
      </c>
      <c r="C218" s="23" t="str">
        <f t="shared" si="6"/>
        <v>Pooja Joshi</v>
      </c>
      <c r="D218" s="4"/>
      <c r="E218" s="4"/>
      <c r="F218" s="4"/>
      <c r="G218" s="4"/>
      <c r="H218" s="13"/>
      <c r="J218" s="22" t="str">
        <f>DataSet!A190</f>
        <v>CUST0189</v>
      </c>
      <c r="K218" s="6">
        <f>DataSet!I190</f>
        <v>189043.20000000001</v>
      </c>
      <c r="L218" s="23" t="str">
        <f t="shared" si="5"/>
        <v>High Value</v>
      </c>
    </row>
    <row r="219" spans="1:12" x14ac:dyDescent="0.4">
      <c r="A219" s="22" t="str">
        <f>DataSet!A217</f>
        <v>CUST0216</v>
      </c>
      <c r="B219" s="6" t="str">
        <f>DataSet!C217</f>
        <v>North</v>
      </c>
      <c r="C219" s="23" t="str">
        <f t="shared" si="6"/>
        <v>Amit Shah</v>
      </c>
      <c r="D219" s="4"/>
      <c r="E219" s="4"/>
      <c r="F219" s="4"/>
      <c r="G219" s="4"/>
      <c r="H219" s="13"/>
      <c r="J219" s="22" t="str">
        <f>DataSet!A191</f>
        <v>CUST0190</v>
      </c>
      <c r="K219" s="6">
        <f>DataSet!I191</f>
        <v>92903.360000000001</v>
      </c>
      <c r="L219" s="23" t="str">
        <f t="shared" si="5"/>
        <v>High Value</v>
      </c>
    </row>
    <row r="220" spans="1:12" x14ac:dyDescent="0.4">
      <c r="A220" s="22" t="str">
        <f>DataSet!A218</f>
        <v>CUST0217</v>
      </c>
      <c r="B220" s="6" t="str">
        <f>DataSet!C218</f>
        <v>South</v>
      </c>
      <c r="C220" s="23" t="str">
        <f t="shared" si="6"/>
        <v>Neha Patel</v>
      </c>
      <c r="D220" s="4"/>
      <c r="E220" s="4"/>
      <c r="F220" s="4"/>
      <c r="G220" s="4"/>
      <c r="H220" s="13"/>
      <c r="J220" s="22" t="str">
        <f>DataSet!A192</f>
        <v>CUST0191</v>
      </c>
      <c r="K220" s="6">
        <f>DataSet!I192</f>
        <v>248055.5</v>
      </c>
      <c r="L220" s="23" t="str">
        <f t="shared" si="5"/>
        <v>High Value</v>
      </c>
    </row>
    <row r="221" spans="1:12" x14ac:dyDescent="0.4">
      <c r="A221" s="22" t="str">
        <f>DataSet!A219</f>
        <v>CUST0218</v>
      </c>
      <c r="B221" s="6" t="str">
        <f>DataSet!C219</f>
        <v>East</v>
      </c>
      <c r="C221" s="23" t="str">
        <f t="shared" si="6"/>
        <v>Riya Mehta</v>
      </c>
      <c r="D221" s="4"/>
      <c r="E221" s="4"/>
      <c r="F221" s="4"/>
      <c r="G221" s="4"/>
      <c r="H221" s="13"/>
      <c r="J221" s="22" t="str">
        <f>DataSet!A193</f>
        <v>CUST0192</v>
      </c>
      <c r="K221" s="6">
        <f>DataSet!I193</f>
        <v>164268.72</v>
      </c>
      <c r="L221" s="23" t="str">
        <f t="shared" si="5"/>
        <v>High Value</v>
      </c>
    </row>
    <row r="222" spans="1:12" x14ac:dyDescent="0.4">
      <c r="A222" s="22" t="str">
        <f>DataSet!A220</f>
        <v>CUST0219</v>
      </c>
      <c r="B222" s="6" t="str">
        <f>DataSet!C220</f>
        <v>West</v>
      </c>
      <c r="C222" s="23" t="str">
        <f t="shared" si="6"/>
        <v>Karan Desai</v>
      </c>
      <c r="D222" s="4"/>
      <c r="E222" s="4"/>
      <c r="F222" s="4"/>
      <c r="G222" s="4"/>
      <c r="H222" s="13"/>
      <c r="J222" s="22" t="str">
        <f>DataSet!A194</f>
        <v>CUST0193</v>
      </c>
      <c r="K222" s="6">
        <f>DataSet!I194</f>
        <v>92742</v>
      </c>
      <c r="L222" s="23" t="str">
        <f t="shared" si="5"/>
        <v>High Value</v>
      </c>
    </row>
    <row r="223" spans="1:12" x14ac:dyDescent="0.4">
      <c r="A223" s="22" t="str">
        <f>DataSet!A221</f>
        <v>CUST0220</v>
      </c>
      <c r="B223" s="6" t="str">
        <f>DataSet!C221</f>
        <v>Central</v>
      </c>
      <c r="C223" s="23" t="str">
        <f t="shared" si="6"/>
        <v>Pooja Joshi</v>
      </c>
      <c r="D223" s="4"/>
      <c r="E223" s="4"/>
      <c r="F223" s="4"/>
      <c r="G223" s="4"/>
      <c r="H223" s="13"/>
      <c r="J223" s="22" t="str">
        <f>DataSet!A195</f>
        <v>CUST0194</v>
      </c>
      <c r="K223" s="6">
        <f>DataSet!I195</f>
        <v>264021.8</v>
      </c>
      <c r="L223" s="23" t="str">
        <f t="shared" ref="L223:L257" si="7">IF(K223&gt;=25000,"High Value","Regular")</f>
        <v>High Value</v>
      </c>
    </row>
    <row r="224" spans="1:12" x14ac:dyDescent="0.4">
      <c r="A224" s="22" t="str">
        <f>DataSet!A222</f>
        <v>CUST0221</v>
      </c>
      <c r="B224" s="6" t="str">
        <f>DataSet!C222</f>
        <v>North</v>
      </c>
      <c r="C224" s="23" t="str">
        <f t="shared" si="6"/>
        <v>Amit Shah</v>
      </c>
      <c r="D224" s="4"/>
      <c r="E224" s="4"/>
      <c r="F224" s="4"/>
      <c r="G224" s="4"/>
      <c r="H224" s="13"/>
      <c r="J224" s="22" t="str">
        <f>DataSet!A196</f>
        <v>CUST0195</v>
      </c>
      <c r="K224" s="6">
        <f>DataSet!I196</f>
        <v>180068.7</v>
      </c>
      <c r="L224" s="23" t="str">
        <f t="shared" si="7"/>
        <v>High Value</v>
      </c>
    </row>
    <row r="225" spans="1:12" x14ac:dyDescent="0.4">
      <c r="A225" s="22" t="str">
        <f>DataSet!A223</f>
        <v>CUST0222</v>
      </c>
      <c r="B225" s="6" t="str">
        <f>DataSet!C223</f>
        <v>South</v>
      </c>
      <c r="C225" s="23" t="str">
        <f t="shared" si="6"/>
        <v>Neha Patel</v>
      </c>
      <c r="D225" s="4"/>
      <c r="E225" s="4"/>
      <c r="F225" s="4"/>
      <c r="G225" s="4"/>
      <c r="H225" s="13"/>
      <c r="J225" s="22" t="str">
        <f>DataSet!A197</f>
        <v>CUST0196</v>
      </c>
      <c r="K225" s="6">
        <f>DataSet!I197</f>
        <v>50075.6</v>
      </c>
      <c r="L225" s="23" t="str">
        <f t="shared" si="7"/>
        <v>High Value</v>
      </c>
    </row>
    <row r="226" spans="1:12" x14ac:dyDescent="0.4">
      <c r="A226" s="22" t="str">
        <f>DataSet!A224</f>
        <v>CUST0223</v>
      </c>
      <c r="B226" s="6" t="str">
        <f>DataSet!C224</f>
        <v>East</v>
      </c>
      <c r="C226" s="23" t="str">
        <f t="shared" si="6"/>
        <v>Riya Mehta</v>
      </c>
      <c r="D226" s="4"/>
      <c r="E226" s="4"/>
      <c r="F226" s="4"/>
      <c r="G226" s="4"/>
      <c r="H226" s="13"/>
      <c r="J226" s="22" t="str">
        <f>DataSet!A198</f>
        <v>CUST0197</v>
      </c>
      <c r="K226" s="6">
        <f>DataSet!I198</f>
        <v>221551.2</v>
      </c>
      <c r="L226" s="23" t="str">
        <f t="shared" si="7"/>
        <v>High Value</v>
      </c>
    </row>
    <row r="227" spans="1:12" x14ac:dyDescent="0.4">
      <c r="A227" s="22" t="str">
        <f>DataSet!A225</f>
        <v>CUST0019</v>
      </c>
      <c r="B227" s="6" t="str">
        <f>DataSet!C225</f>
        <v>West</v>
      </c>
      <c r="C227" s="23" t="str">
        <f t="shared" si="6"/>
        <v>Karan Desai</v>
      </c>
      <c r="D227" s="4"/>
      <c r="E227" s="4"/>
      <c r="F227" s="4"/>
      <c r="G227" s="4"/>
      <c r="H227" s="13"/>
      <c r="J227" s="22" t="str">
        <f>DataSet!A199</f>
        <v>CUST0198</v>
      </c>
      <c r="K227" s="6">
        <f>DataSet!I199</f>
        <v>120951.6</v>
      </c>
      <c r="L227" s="23" t="str">
        <f t="shared" si="7"/>
        <v>High Value</v>
      </c>
    </row>
    <row r="228" spans="1:12" x14ac:dyDescent="0.4">
      <c r="A228" s="22" t="str">
        <f>DataSet!A226</f>
        <v>CUST0044</v>
      </c>
      <c r="B228" s="6" t="str">
        <f>DataSet!C226</f>
        <v>West</v>
      </c>
      <c r="C228" s="23" t="str">
        <f t="shared" si="6"/>
        <v>Karan Desai</v>
      </c>
      <c r="D228" s="4"/>
      <c r="E228" s="4"/>
      <c r="F228" s="4"/>
      <c r="G228" s="4"/>
      <c r="H228" s="13"/>
      <c r="J228" s="22" t="str">
        <f>DataSet!A200</f>
        <v>CUST0199</v>
      </c>
      <c r="K228" s="6">
        <f>DataSet!I200</f>
        <v>23482.1</v>
      </c>
      <c r="L228" s="23" t="str">
        <f t="shared" si="7"/>
        <v>Regular</v>
      </c>
    </row>
    <row r="229" spans="1:12" ht="21.6" thickBot="1" x14ac:dyDescent="0.45">
      <c r="A229" s="24" t="str">
        <f>DataSet!A227</f>
        <v>CUST0079</v>
      </c>
      <c r="B229" s="29" t="str">
        <f>DataSet!C227</f>
        <v>West</v>
      </c>
      <c r="C229" s="25" t="str">
        <f t="shared" si="6"/>
        <v>Karan Desai</v>
      </c>
      <c r="D229" s="4"/>
      <c r="E229" s="4"/>
      <c r="F229" s="4"/>
      <c r="G229" s="4"/>
      <c r="H229" s="13"/>
      <c r="J229" s="22" t="str">
        <f>DataSet!A201</f>
        <v>CUST0200</v>
      </c>
      <c r="K229" s="6">
        <f>DataSet!I201</f>
        <v>177683.20000000001</v>
      </c>
      <c r="L229" s="23" t="str">
        <f t="shared" si="7"/>
        <v>High Value</v>
      </c>
    </row>
    <row r="230" spans="1:12" x14ac:dyDescent="0.4">
      <c r="H230" s="13"/>
      <c r="J230" s="22" t="str">
        <f>DataSet!A202</f>
        <v>CUST0201</v>
      </c>
      <c r="K230" s="6">
        <f>DataSet!I202</f>
        <v>111600</v>
      </c>
      <c r="L230" s="23" t="str">
        <f t="shared" si="7"/>
        <v>High Value</v>
      </c>
    </row>
    <row r="231" spans="1:12" ht="21.6" thickBot="1" x14ac:dyDescent="0.45">
      <c r="H231" s="13"/>
      <c r="J231" s="22" t="str">
        <f>DataSet!A203</f>
        <v>CUST0202</v>
      </c>
      <c r="K231" s="6">
        <f>DataSet!I203</f>
        <v>302238.86</v>
      </c>
      <c r="L231" s="23" t="str">
        <f t="shared" si="7"/>
        <v>High Value</v>
      </c>
    </row>
    <row r="232" spans="1:12" ht="21.6" thickBot="1" x14ac:dyDescent="0.45">
      <c r="A232" s="70" t="s">
        <v>64</v>
      </c>
      <c r="B232" s="71"/>
      <c r="C232" s="71"/>
      <c r="D232" s="71"/>
      <c r="E232" s="71"/>
      <c r="F232" s="72"/>
      <c r="H232" s="13"/>
      <c r="J232" s="22" t="str">
        <f>DataSet!A204</f>
        <v>CUST0203</v>
      </c>
      <c r="K232" s="6">
        <f>DataSet!I204</f>
        <v>187357.1</v>
      </c>
      <c r="L232" s="23" t="str">
        <f t="shared" si="7"/>
        <v>High Value</v>
      </c>
    </row>
    <row r="233" spans="1:12" ht="21.6" thickBot="1" x14ac:dyDescent="0.45">
      <c r="H233" s="13"/>
      <c r="J233" s="22" t="str">
        <f>DataSet!A205</f>
        <v>CUST0204</v>
      </c>
      <c r="K233" s="6">
        <f>DataSet!I205</f>
        <v>78138.36</v>
      </c>
      <c r="L233" s="23" t="str">
        <f t="shared" si="7"/>
        <v>High Value</v>
      </c>
    </row>
    <row r="234" spans="1:12" x14ac:dyDescent="0.4">
      <c r="A234" s="34" t="s">
        <v>0</v>
      </c>
      <c r="B234" s="35" t="s">
        <v>8</v>
      </c>
      <c r="C234" s="36" t="s">
        <v>61</v>
      </c>
      <c r="H234" s="13"/>
      <c r="J234" s="22" t="str">
        <f>DataSet!A206</f>
        <v>CUST0205</v>
      </c>
      <c r="K234" s="6">
        <f>DataSet!I206</f>
        <v>256032</v>
      </c>
      <c r="L234" s="23" t="str">
        <f t="shared" si="7"/>
        <v>High Value</v>
      </c>
    </row>
    <row r="235" spans="1:12" x14ac:dyDescent="0.4">
      <c r="A235" s="22" t="str">
        <f>DataSet!A2</f>
        <v>CUST0001</v>
      </c>
      <c r="B235" s="6" t="str">
        <f>DataSet!C2</f>
        <v>North</v>
      </c>
      <c r="C235" s="23">
        <f>IFERROR(INDEX($G$4:$G$8,MATCH(B235,$E$4:$E$8,0)),"Not Found")</f>
        <v>500000</v>
      </c>
      <c r="H235" s="13"/>
      <c r="J235" s="22" t="str">
        <f>DataSet!A207</f>
        <v>CUST0206</v>
      </c>
      <c r="K235" s="6">
        <f>DataSet!I207</f>
        <v>150928.79999999999</v>
      </c>
      <c r="L235" s="23" t="str">
        <f t="shared" si="7"/>
        <v>High Value</v>
      </c>
    </row>
    <row r="236" spans="1:12" x14ac:dyDescent="0.4">
      <c r="A236" s="22" t="str">
        <f>DataSet!A3</f>
        <v>CUST0002</v>
      </c>
      <c r="B236" s="6" t="str">
        <f>DataSet!C3</f>
        <v>South</v>
      </c>
      <c r="C236" s="23">
        <f t="shared" ref="C236:C299" si="8">IFERROR(INDEX($G$4:$G$8,MATCH(B236,$E$4:$E$8,0)),"Not Found")</f>
        <v>450000</v>
      </c>
      <c r="H236" s="13"/>
      <c r="J236" s="22" t="str">
        <f>DataSet!A208</f>
        <v>CUST0207</v>
      </c>
      <c r="K236" s="6">
        <f>DataSet!I208</f>
        <v>48827.4</v>
      </c>
      <c r="L236" s="23" t="str">
        <f t="shared" si="7"/>
        <v>High Value</v>
      </c>
    </row>
    <row r="237" spans="1:12" x14ac:dyDescent="0.4">
      <c r="A237" s="22" t="str">
        <f>DataSet!A4</f>
        <v>CUST0003</v>
      </c>
      <c r="B237" s="6" t="str">
        <f>DataSet!C4</f>
        <v>East</v>
      </c>
      <c r="C237" s="23">
        <f t="shared" si="8"/>
        <v>400000</v>
      </c>
      <c r="H237" s="13"/>
      <c r="J237" s="22" t="str">
        <f>DataSet!A209</f>
        <v>CUST0208</v>
      </c>
      <c r="K237" s="6">
        <f>DataSet!I209</f>
        <v>207784.8</v>
      </c>
      <c r="L237" s="23" t="str">
        <f t="shared" si="7"/>
        <v>High Value</v>
      </c>
    </row>
    <row r="238" spans="1:12" x14ac:dyDescent="0.4">
      <c r="A238" s="22" t="str">
        <f>DataSet!A5</f>
        <v>CUST0004</v>
      </c>
      <c r="B238" s="6" t="str">
        <f>DataSet!C5</f>
        <v>West</v>
      </c>
      <c r="C238" s="23">
        <f t="shared" si="8"/>
        <v>550000</v>
      </c>
      <c r="H238" s="13"/>
      <c r="J238" s="22" t="str">
        <f>DataSet!A210</f>
        <v>CUST0209</v>
      </c>
      <c r="K238" s="6">
        <f>DataSet!I210</f>
        <v>144980</v>
      </c>
      <c r="L238" s="23" t="str">
        <f t="shared" si="7"/>
        <v>High Value</v>
      </c>
    </row>
    <row r="239" spans="1:12" x14ac:dyDescent="0.4">
      <c r="A239" s="22" t="str">
        <f>DataSet!A6</f>
        <v>CUST0005</v>
      </c>
      <c r="B239" s="6" t="str">
        <f>DataSet!C6</f>
        <v>Central</v>
      </c>
      <c r="C239" s="23">
        <f t="shared" si="8"/>
        <v>480000</v>
      </c>
      <c r="H239" s="13"/>
      <c r="J239" s="22" t="str">
        <f>DataSet!A211</f>
        <v>CUST0210</v>
      </c>
      <c r="K239" s="6">
        <f>DataSet!I211</f>
        <v>28550.34</v>
      </c>
      <c r="L239" s="23" t="str">
        <f t="shared" si="7"/>
        <v>High Value</v>
      </c>
    </row>
    <row r="240" spans="1:12" x14ac:dyDescent="0.4">
      <c r="A240" s="22" t="str">
        <f>DataSet!A7</f>
        <v>CUST0006</v>
      </c>
      <c r="B240" s="6" t="str">
        <f>DataSet!C7</f>
        <v>North</v>
      </c>
      <c r="C240" s="23">
        <f t="shared" si="8"/>
        <v>500000</v>
      </c>
      <c r="H240" s="13"/>
      <c r="J240" s="22" t="str">
        <f>DataSet!A212</f>
        <v>CUST0211</v>
      </c>
      <c r="K240" s="6">
        <f>DataSet!I212</f>
        <v>222452</v>
      </c>
      <c r="L240" s="23" t="str">
        <f t="shared" si="7"/>
        <v>High Value</v>
      </c>
    </row>
    <row r="241" spans="1:12" x14ac:dyDescent="0.4">
      <c r="A241" s="22" t="str">
        <f>DataSet!A8</f>
        <v>CUST0007</v>
      </c>
      <c r="B241" s="6" t="str">
        <f>DataSet!C8</f>
        <v>South</v>
      </c>
      <c r="C241" s="23">
        <f t="shared" si="8"/>
        <v>450000</v>
      </c>
      <c r="H241" s="13"/>
      <c r="J241" s="22" t="str">
        <f>DataSet!A213</f>
        <v>CUST0212</v>
      </c>
      <c r="K241" s="6">
        <f>DataSet!I213</f>
        <v>108217.76</v>
      </c>
      <c r="L241" s="23" t="str">
        <f t="shared" si="7"/>
        <v>High Value</v>
      </c>
    </row>
    <row r="242" spans="1:12" x14ac:dyDescent="0.4">
      <c r="A242" s="22" t="str">
        <f>DataSet!A9</f>
        <v>CUST0008</v>
      </c>
      <c r="B242" s="6" t="str">
        <f>DataSet!C9</f>
        <v>East</v>
      </c>
      <c r="C242" s="23">
        <f t="shared" si="8"/>
        <v>400000</v>
      </c>
      <c r="H242" s="13"/>
      <c r="J242" s="22" t="str">
        <f>DataSet!A214</f>
        <v>CUST0213</v>
      </c>
      <c r="K242" s="6">
        <f>DataSet!I214</f>
        <v>292485.59999999998</v>
      </c>
      <c r="L242" s="23" t="str">
        <f t="shared" si="7"/>
        <v>High Value</v>
      </c>
    </row>
    <row r="243" spans="1:12" x14ac:dyDescent="0.4">
      <c r="A243" s="22" t="str">
        <f>DataSet!A10</f>
        <v>CUST0009</v>
      </c>
      <c r="B243" s="6" t="str">
        <f>DataSet!C10</f>
        <v>West</v>
      </c>
      <c r="C243" s="23">
        <f t="shared" si="8"/>
        <v>550000</v>
      </c>
      <c r="H243" s="13"/>
      <c r="J243" s="22" t="str">
        <f>DataSet!A215</f>
        <v>CUST0214</v>
      </c>
      <c r="K243" s="6">
        <f>DataSet!I215</f>
        <v>182834.96</v>
      </c>
      <c r="L243" s="23" t="str">
        <f t="shared" si="7"/>
        <v>High Value</v>
      </c>
    </row>
    <row r="244" spans="1:12" x14ac:dyDescent="0.4">
      <c r="A244" s="22" t="str">
        <f>DataSet!A11</f>
        <v>CUST0010</v>
      </c>
      <c r="B244" s="6" t="str">
        <f>DataSet!C11</f>
        <v>Central</v>
      </c>
      <c r="C244" s="23">
        <f t="shared" si="8"/>
        <v>480000</v>
      </c>
      <c r="H244" s="13"/>
      <c r="J244" s="22" t="str">
        <f>DataSet!A216</f>
        <v>CUST0215</v>
      </c>
      <c r="K244" s="6">
        <f>DataSet!I216</f>
        <v>76035.899999999994</v>
      </c>
      <c r="L244" s="23" t="str">
        <f t="shared" si="7"/>
        <v>High Value</v>
      </c>
    </row>
    <row r="245" spans="1:12" x14ac:dyDescent="0.4">
      <c r="A245" s="22" t="str">
        <f>DataSet!A12</f>
        <v>CUST0011</v>
      </c>
      <c r="B245" s="6" t="str">
        <f>DataSet!C12</f>
        <v>North</v>
      </c>
      <c r="C245" s="23">
        <f t="shared" si="8"/>
        <v>500000</v>
      </c>
      <c r="H245" s="13"/>
      <c r="J245" s="22" t="str">
        <f>DataSet!A217</f>
        <v>CUST0216</v>
      </c>
      <c r="K245" s="6">
        <f>DataSet!I217</f>
        <v>239640</v>
      </c>
      <c r="L245" s="23" t="str">
        <f t="shared" si="7"/>
        <v>High Value</v>
      </c>
    </row>
    <row r="246" spans="1:12" x14ac:dyDescent="0.4">
      <c r="A246" s="22" t="str">
        <f>DataSet!A13</f>
        <v>CUST0012</v>
      </c>
      <c r="B246" s="6" t="str">
        <f>DataSet!C13</f>
        <v>South</v>
      </c>
      <c r="C246" s="23">
        <f t="shared" si="8"/>
        <v>450000</v>
      </c>
      <c r="H246" s="13"/>
      <c r="J246" s="22" t="str">
        <f>DataSet!A218</f>
        <v>CUST0217</v>
      </c>
      <c r="K246" s="6">
        <f>DataSet!I218</f>
        <v>180552</v>
      </c>
      <c r="L246" s="23" t="str">
        <f t="shared" si="7"/>
        <v>High Value</v>
      </c>
    </row>
    <row r="247" spans="1:12" x14ac:dyDescent="0.4">
      <c r="A247" s="22" t="str">
        <f>DataSet!A14</f>
        <v>CUST0013</v>
      </c>
      <c r="B247" s="6" t="str">
        <f>DataSet!C14</f>
        <v>East</v>
      </c>
      <c r="C247" s="23">
        <f t="shared" si="8"/>
        <v>400000</v>
      </c>
      <c r="H247" s="13"/>
      <c r="J247" s="22" t="str">
        <f>DataSet!A219</f>
        <v>CUST0218</v>
      </c>
      <c r="K247" s="6">
        <f>DataSet!I219</f>
        <v>59248.84</v>
      </c>
      <c r="L247" s="23" t="str">
        <f t="shared" si="7"/>
        <v>High Value</v>
      </c>
    </row>
    <row r="248" spans="1:12" x14ac:dyDescent="0.4">
      <c r="A248" s="22" t="str">
        <f>DataSet!A15</f>
        <v>CUST0014</v>
      </c>
      <c r="B248" s="6" t="str">
        <f>DataSet!C15</f>
        <v>West</v>
      </c>
      <c r="C248" s="23">
        <f t="shared" si="8"/>
        <v>550000</v>
      </c>
      <c r="H248" s="13"/>
      <c r="J248" s="22" t="str">
        <f>DataSet!A220</f>
        <v>CUST0219</v>
      </c>
      <c r="K248" s="6">
        <f>DataSet!I220</f>
        <v>259629.3</v>
      </c>
      <c r="L248" s="23" t="str">
        <f t="shared" si="7"/>
        <v>High Value</v>
      </c>
    </row>
    <row r="249" spans="1:12" x14ac:dyDescent="0.4">
      <c r="A249" s="22" t="str">
        <f>DataSet!A16</f>
        <v>CUST0015</v>
      </c>
      <c r="B249" s="6" t="str">
        <f>DataSet!C16</f>
        <v>Central</v>
      </c>
      <c r="C249" s="23">
        <f t="shared" si="8"/>
        <v>480000</v>
      </c>
      <c r="H249" s="13"/>
      <c r="J249" s="22" t="str">
        <f>DataSet!A221</f>
        <v>CUST0220</v>
      </c>
      <c r="K249" s="6">
        <f>DataSet!I221</f>
        <v>140313.79999999999</v>
      </c>
      <c r="L249" s="23" t="str">
        <f t="shared" si="7"/>
        <v>High Value</v>
      </c>
    </row>
    <row r="250" spans="1:12" x14ac:dyDescent="0.4">
      <c r="A250" s="22" t="str">
        <f>DataSet!A17</f>
        <v>CUST0016</v>
      </c>
      <c r="B250" s="6" t="str">
        <f>DataSet!C17</f>
        <v>North</v>
      </c>
      <c r="C250" s="23">
        <f t="shared" si="8"/>
        <v>500000</v>
      </c>
      <c r="H250" s="13"/>
      <c r="J250" s="22" t="str">
        <f>DataSet!A222</f>
        <v>CUST0221</v>
      </c>
      <c r="K250" s="6">
        <f>DataSet!I222</f>
        <v>27576</v>
      </c>
      <c r="L250" s="23" t="str">
        <f t="shared" si="7"/>
        <v>High Value</v>
      </c>
    </row>
    <row r="251" spans="1:12" x14ac:dyDescent="0.4">
      <c r="A251" s="22" t="str">
        <f>DataSet!A18</f>
        <v>CUST0017</v>
      </c>
      <c r="B251" s="6" t="str">
        <f>DataSet!C18</f>
        <v>South</v>
      </c>
      <c r="C251" s="23">
        <f t="shared" si="8"/>
        <v>450000</v>
      </c>
      <c r="H251" s="13"/>
      <c r="J251" s="22" t="str">
        <f>DataSet!A223</f>
        <v>CUST0222</v>
      </c>
      <c r="K251" s="6">
        <f>DataSet!I223</f>
        <v>216670.07999999999</v>
      </c>
      <c r="L251" s="23" t="str">
        <f t="shared" si="7"/>
        <v>High Value</v>
      </c>
    </row>
    <row r="252" spans="1:12" x14ac:dyDescent="0.4">
      <c r="A252" s="22" t="str">
        <f>DataSet!A19</f>
        <v>CUST0018</v>
      </c>
      <c r="B252" s="6" t="str">
        <f>DataSet!C19</f>
        <v>East</v>
      </c>
      <c r="C252" s="23">
        <f t="shared" si="8"/>
        <v>400000</v>
      </c>
      <c r="H252" s="13"/>
      <c r="J252" s="22" t="str">
        <f>DataSet!A224</f>
        <v>CUST0223</v>
      </c>
      <c r="K252" s="6">
        <f>DataSet!I224</f>
        <v>105107.6</v>
      </c>
      <c r="L252" s="23" t="str">
        <f t="shared" si="7"/>
        <v>High Value</v>
      </c>
    </row>
    <row r="253" spans="1:12" x14ac:dyDescent="0.4">
      <c r="A253" s="22" t="str">
        <f>DataSet!A20</f>
        <v>CUST0019</v>
      </c>
      <c r="B253" s="6" t="str">
        <f>DataSet!C20</f>
        <v>West</v>
      </c>
      <c r="C253" s="23">
        <f t="shared" si="8"/>
        <v>550000</v>
      </c>
      <c r="H253" s="13"/>
      <c r="J253" s="22" t="str">
        <f>DataSet!A225</f>
        <v>CUST0019</v>
      </c>
      <c r="K253" s="6">
        <f>DataSet!I225</f>
        <v>16906.2</v>
      </c>
      <c r="L253" s="23" t="str">
        <f t="shared" si="7"/>
        <v>Regular</v>
      </c>
    </row>
    <row r="254" spans="1:12" x14ac:dyDescent="0.4">
      <c r="A254" s="22" t="str">
        <f>DataSet!A21</f>
        <v>CUST0020</v>
      </c>
      <c r="B254" s="6" t="str">
        <f>DataSet!C21</f>
        <v>Central</v>
      </c>
      <c r="C254" s="23">
        <f t="shared" si="8"/>
        <v>480000</v>
      </c>
      <c r="H254" s="13"/>
      <c r="J254" s="22" t="str">
        <f>DataSet!A226</f>
        <v>CUST0044</v>
      </c>
      <c r="K254" s="6">
        <f>DataSet!I226</f>
        <v>29398.6</v>
      </c>
      <c r="L254" s="23" t="str">
        <f t="shared" si="7"/>
        <v>High Value</v>
      </c>
    </row>
    <row r="255" spans="1:12" x14ac:dyDescent="0.4">
      <c r="A255" s="22" t="str">
        <f>DataSet!A22</f>
        <v>CUST0021</v>
      </c>
      <c r="B255" s="6" t="str">
        <f>DataSet!C22</f>
        <v>North</v>
      </c>
      <c r="C255" s="23">
        <f t="shared" si="8"/>
        <v>500000</v>
      </c>
      <c r="H255" s="13"/>
      <c r="J255" s="22" t="str">
        <f>DataSet!A227</f>
        <v>CUST0079</v>
      </c>
      <c r="K255" s="6">
        <f>DataSet!I227</f>
        <v>76064.800000000003</v>
      </c>
      <c r="L255" s="23" t="str">
        <f t="shared" si="7"/>
        <v>High Value</v>
      </c>
    </row>
    <row r="256" spans="1:12" x14ac:dyDescent="0.4">
      <c r="A256" s="22" t="str">
        <f>DataSet!A23</f>
        <v>CUST0022</v>
      </c>
      <c r="B256" s="6" t="str">
        <f>DataSet!C23</f>
        <v>South</v>
      </c>
      <c r="C256" s="23">
        <f t="shared" si="8"/>
        <v>450000</v>
      </c>
      <c r="H256" s="13"/>
      <c r="J256" s="22" t="str">
        <f>DataSet!A228</f>
        <v>CUST0119</v>
      </c>
      <c r="K256" s="6">
        <f>DataSet!I228</f>
        <v>28332.2</v>
      </c>
      <c r="L256" s="23" t="str">
        <f t="shared" si="7"/>
        <v>High Value</v>
      </c>
    </row>
    <row r="257" spans="1:16" ht="21.6" thickBot="1" x14ac:dyDescent="0.45">
      <c r="A257" s="22" t="str">
        <f>DataSet!A24</f>
        <v>CUST0023</v>
      </c>
      <c r="B257" s="6" t="str">
        <f>DataSet!C24</f>
        <v>East</v>
      </c>
      <c r="C257" s="23">
        <f t="shared" si="8"/>
        <v>400000</v>
      </c>
      <c r="H257" s="13"/>
      <c r="J257" s="24" t="str">
        <f>DataSet!A229</f>
        <v>CUST0159</v>
      </c>
      <c r="K257" s="29">
        <f>DataSet!I229</f>
        <v>131768.70000000001</v>
      </c>
      <c r="L257" s="25" t="str">
        <f t="shared" si="7"/>
        <v>High Value</v>
      </c>
    </row>
    <row r="258" spans="1:16" x14ac:dyDescent="0.4">
      <c r="A258" s="22" t="str">
        <f>DataSet!A25</f>
        <v>CUST0024</v>
      </c>
      <c r="B258" s="6" t="str">
        <f>DataSet!C25</f>
        <v>West</v>
      </c>
      <c r="C258" s="23">
        <f t="shared" si="8"/>
        <v>550000</v>
      </c>
      <c r="H258" s="13"/>
    </row>
    <row r="259" spans="1:16" ht="21.6" thickBot="1" x14ac:dyDescent="0.45">
      <c r="A259" s="22" t="str">
        <f>DataSet!A26</f>
        <v>CUST0025</v>
      </c>
      <c r="B259" s="6" t="str">
        <f>DataSet!C26</f>
        <v>Central</v>
      </c>
      <c r="C259" s="23">
        <f t="shared" si="8"/>
        <v>480000</v>
      </c>
      <c r="H259" s="13"/>
    </row>
    <row r="260" spans="1:16" ht="21.6" thickBot="1" x14ac:dyDescent="0.45">
      <c r="A260" s="22" t="str">
        <f>DataSet!A27</f>
        <v>CUST0026</v>
      </c>
      <c r="B260" s="6" t="str">
        <f>DataSet!C27</f>
        <v>North</v>
      </c>
      <c r="C260" s="23">
        <f t="shared" si="8"/>
        <v>500000</v>
      </c>
      <c r="H260" s="13"/>
      <c r="J260" s="70" t="s">
        <v>72</v>
      </c>
      <c r="K260" s="71"/>
      <c r="L260" s="71"/>
      <c r="M260" s="71"/>
      <c r="N260" s="71"/>
      <c r="O260" s="71"/>
      <c r="P260" s="72"/>
    </row>
    <row r="261" spans="1:16" ht="21.6" thickBot="1" x14ac:dyDescent="0.45">
      <c r="A261" s="22" t="str">
        <f>DataSet!A28</f>
        <v>CUST0027</v>
      </c>
      <c r="B261" s="6" t="str">
        <f>DataSet!C28</f>
        <v>South</v>
      </c>
      <c r="C261" s="23">
        <f t="shared" si="8"/>
        <v>450000</v>
      </c>
      <c r="H261" s="13"/>
    </row>
    <row r="262" spans="1:16" x14ac:dyDescent="0.4">
      <c r="A262" s="22" t="str">
        <f>DataSet!A29</f>
        <v>CUST0028</v>
      </c>
      <c r="B262" s="6" t="str">
        <f>DataSet!C29</f>
        <v>East</v>
      </c>
      <c r="C262" s="23">
        <f t="shared" si="8"/>
        <v>400000</v>
      </c>
      <c r="H262" s="13"/>
      <c r="J262" s="34" t="s">
        <v>14</v>
      </c>
      <c r="K262" s="35" t="s">
        <v>70</v>
      </c>
      <c r="L262" s="36" t="s">
        <v>73</v>
      </c>
    </row>
    <row r="263" spans="1:16" x14ac:dyDescent="0.4">
      <c r="A263" s="22" t="str">
        <f>DataSet!A30</f>
        <v>CUST0029</v>
      </c>
      <c r="B263" s="6" t="str">
        <f>DataSet!C30</f>
        <v>West</v>
      </c>
      <c r="C263" s="23">
        <f t="shared" si="8"/>
        <v>550000</v>
      </c>
      <c r="H263" s="13"/>
      <c r="J263" s="22" t="s">
        <v>15</v>
      </c>
      <c r="K263" s="6">
        <f>SUMIF(DataSet!$D$2:$D$230,J263,DataSet!$I$2:$I$230)</f>
        <v>3866226.5</v>
      </c>
      <c r="L263" s="23">
        <f>SUMIF(DataSet!$D$2:$D$230,J263,DataSet!$J$2:$J$230)</f>
        <v>769795.44000000018</v>
      </c>
    </row>
    <row r="264" spans="1:16" x14ac:dyDescent="0.4">
      <c r="A264" s="22" t="str">
        <f>DataSet!A31</f>
        <v>CUST0030</v>
      </c>
      <c r="B264" s="6" t="str">
        <f>DataSet!C31</f>
        <v>Central</v>
      </c>
      <c r="C264" s="23">
        <f t="shared" si="8"/>
        <v>480000</v>
      </c>
      <c r="H264" s="13"/>
      <c r="J264" s="22" t="s">
        <v>16</v>
      </c>
      <c r="K264" s="6">
        <f>SUMIF(DataSet!$D$2:$D$230,J264,DataSet!$I$2:$I$230)</f>
        <v>3919562.1399999997</v>
      </c>
      <c r="L264" s="23">
        <f>SUMIF(DataSet!$D$2:$D$230,J264,DataSet!$J$2:$J$230)</f>
        <v>746508.07000000007</v>
      </c>
    </row>
    <row r="265" spans="1:16" x14ac:dyDescent="0.4">
      <c r="A265" s="22" t="str">
        <f>DataSet!A32</f>
        <v>CUST0031</v>
      </c>
      <c r="B265" s="6" t="str">
        <f>DataSet!C32</f>
        <v>North</v>
      </c>
      <c r="C265" s="23">
        <f t="shared" si="8"/>
        <v>500000</v>
      </c>
      <c r="H265" s="13"/>
      <c r="J265" s="22" t="s">
        <v>17</v>
      </c>
      <c r="K265" s="6">
        <f>SUMIF(DataSet!$D$2:$D$230,J265,DataSet!$I$2:$I$230)</f>
        <v>3891741.7</v>
      </c>
      <c r="L265" s="23">
        <f>SUMIF(DataSet!$D$2:$D$230,J265,DataSet!$J$2:$J$230)</f>
        <v>729963.8</v>
      </c>
    </row>
    <row r="266" spans="1:16" x14ac:dyDescent="0.4">
      <c r="A266" s="22" t="str">
        <f>DataSet!A33</f>
        <v>CUST0032</v>
      </c>
      <c r="B266" s="6" t="str">
        <f>DataSet!C33</f>
        <v>South</v>
      </c>
      <c r="C266" s="23">
        <f t="shared" si="8"/>
        <v>450000</v>
      </c>
      <c r="H266" s="13"/>
      <c r="J266" s="22" t="s">
        <v>18</v>
      </c>
      <c r="K266" s="6">
        <f>SUMIF(DataSet!$D$2:$D$230,J266,DataSet!$I$2:$I$230)</f>
        <v>4097279.9199999995</v>
      </c>
      <c r="L266" s="23">
        <f>SUMIF(DataSet!$D$2:$D$230,J266,DataSet!$J$2:$J$230)</f>
        <v>726304.07000000007</v>
      </c>
    </row>
    <row r="267" spans="1:16" ht="21.6" thickBot="1" x14ac:dyDescent="0.45">
      <c r="A267" s="22" t="str">
        <f>DataSet!A34</f>
        <v>CUST0033</v>
      </c>
      <c r="B267" s="6" t="str">
        <f>DataSet!C34</f>
        <v>East</v>
      </c>
      <c r="C267" s="23">
        <f t="shared" si="8"/>
        <v>400000</v>
      </c>
      <c r="H267" s="13"/>
      <c r="J267" s="24" t="s">
        <v>19</v>
      </c>
      <c r="K267" s="29">
        <f>SUMIF(DataSet!$D$2:$D$230,J267,DataSet!$I$2:$I$230)</f>
        <v>3678973.0600000005</v>
      </c>
      <c r="L267" s="23">
        <f>SUMIF(DataSet!$D$2:$D$230,J267,DataSet!$J$2:$J$230)</f>
        <v>682854.52000000037</v>
      </c>
    </row>
    <row r="268" spans="1:16" x14ac:dyDescent="0.4">
      <c r="A268" s="22" t="str">
        <f>DataSet!A35</f>
        <v>CUST0034</v>
      </c>
      <c r="B268" s="6" t="str">
        <f>DataSet!C35</f>
        <v>West</v>
      </c>
      <c r="C268" s="23">
        <f t="shared" si="8"/>
        <v>550000</v>
      </c>
      <c r="H268" s="13"/>
    </row>
    <row r="269" spans="1:16" x14ac:dyDescent="0.4">
      <c r="A269" s="22" t="str">
        <f>DataSet!A36</f>
        <v>CUST0035</v>
      </c>
      <c r="B269" s="6" t="str">
        <f>DataSet!C36</f>
        <v>Central</v>
      </c>
      <c r="C269" s="23">
        <f t="shared" si="8"/>
        <v>480000</v>
      </c>
      <c r="H269" s="13"/>
    </row>
    <row r="270" spans="1:16" x14ac:dyDescent="0.4">
      <c r="A270" s="22" t="str">
        <f>DataSet!A37</f>
        <v>CUST0036</v>
      </c>
      <c r="B270" s="6" t="str">
        <f>DataSet!C37</f>
        <v>North</v>
      </c>
      <c r="C270" s="23">
        <f t="shared" si="8"/>
        <v>500000</v>
      </c>
      <c r="H270" s="13"/>
    </row>
    <row r="271" spans="1:16" x14ac:dyDescent="0.4">
      <c r="A271" s="22" t="str">
        <f>DataSet!A38</f>
        <v>CUST0037</v>
      </c>
      <c r="B271" s="6" t="str">
        <f>DataSet!C38</f>
        <v>South</v>
      </c>
      <c r="C271" s="23">
        <f t="shared" si="8"/>
        <v>450000</v>
      </c>
      <c r="H271" s="13"/>
    </row>
    <row r="272" spans="1:16" x14ac:dyDescent="0.4">
      <c r="A272" s="22" t="str">
        <f>DataSet!A39</f>
        <v>CUST0038</v>
      </c>
      <c r="B272" s="6" t="str">
        <f>DataSet!C39</f>
        <v>East</v>
      </c>
      <c r="C272" s="23">
        <f t="shared" si="8"/>
        <v>400000</v>
      </c>
      <c r="H272" s="13"/>
    </row>
    <row r="273" spans="1:14" x14ac:dyDescent="0.4">
      <c r="A273" s="22" t="str">
        <f>DataSet!A40</f>
        <v>CUST0039</v>
      </c>
      <c r="B273" s="6" t="str">
        <f>DataSet!C40</f>
        <v>West</v>
      </c>
      <c r="C273" s="23">
        <f t="shared" si="8"/>
        <v>550000</v>
      </c>
      <c r="H273" s="13"/>
    </row>
    <row r="274" spans="1:14" x14ac:dyDescent="0.4">
      <c r="A274" s="22" t="str">
        <f>DataSet!A41</f>
        <v>CUST0040</v>
      </c>
      <c r="B274" s="6" t="str">
        <f>DataSet!C41</f>
        <v>Central</v>
      </c>
      <c r="C274" s="23">
        <f t="shared" si="8"/>
        <v>480000</v>
      </c>
      <c r="H274" s="13"/>
    </row>
    <row r="275" spans="1:14" x14ac:dyDescent="0.4">
      <c r="A275" s="22" t="str">
        <f>DataSet!A42</f>
        <v>CUST0041</v>
      </c>
      <c r="B275" s="6" t="str">
        <f>DataSet!C42</f>
        <v>North</v>
      </c>
      <c r="C275" s="23">
        <f t="shared" si="8"/>
        <v>500000</v>
      </c>
      <c r="H275" s="13"/>
    </row>
    <row r="276" spans="1:14" x14ac:dyDescent="0.4">
      <c r="A276" s="22" t="str">
        <f>DataSet!A43</f>
        <v>CUST0042</v>
      </c>
      <c r="B276" s="6" t="str">
        <f>DataSet!C43</f>
        <v>South</v>
      </c>
      <c r="C276" s="23">
        <f t="shared" si="8"/>
        <v>450000</v>
      </c>
      <c r="H276" s="13"/>
    </row>
    <row r="277" spans="1:14" x14ac:dyDescent="0.4">
      <c r="A277" s="22" t="str">
        <f>DataSet!A44</f>
        <v>CUST0043</v>
      </c>
      <c r="B277" s="6" t="str">
        <f>DataSet!C44</f>
        <v>East</v>
      </c>
      <c r="C277" s="23">
        <f t="shared" si="8"/>
        <v>400000</v>
      </c>
      <c r="H277" s="13"/>
    </row>
    <row r="278" spans="1:14" x14ac:dyDescent="0.4">
      <c r="A278" s="22" t="str">
        <f>DataSet!A45</f>
        <v>CUST0044</v>
      </c>
      <c r="B278" s="6" t="str">
        <f>DataSet!C45</f>
        <v>West</v>
      </c>
      <c r="C278" s="23">
        <f t="shared" si="8"/>
        <v>550000</v>
      </c>
      <c r="H278" s="13"/>
    </row>
    <row r="279" spans="1:14" x14ac:dyDescent="0.4">
      <c r="A279" s="22" t="str">
        <f>DataSet!A46</f>
        <v>CUST0045</v>
      </c>
      <c r="B279" s="6" t="str">
        <f>DataSet!C46</f>
        <v>Central</v>
      </c>
      <c r="C279" s="23">
        <f t="shared" si="8"/>
        <v>480000</v>
      </c>
      <c r="H279" s="13"/>
    </row>
    <row r="280" spans="1:14" x14ac:dyDescent="0.4">
      <c r="A280" s="22" t="str">
        <f>DataSet!A47</f>
        <v>CUST0046</v>
      </c>
      <c r="B280" s="6" t="str">
        <f>DataSet!C47</f>
        <v>North</v>
      </c>
      <c r="C280" s="23">
        <f t="shared" si="8"/>
        <v>500000</v>
      </c>
      <c r="H280" s="13"/>
    </row>
    <row r="281" spans="1:14" x14ac:dyDescent="0.4">
      <c r="A281" s="22" t="str">
        <f>DataSet!A48</f>
        <v>CUST0047</v>
      </c>
      <c r="B281" s="6" t="str">
        <f>DataSet!C48</f>
        <v>South</v>
      </c>
      <c r="C281" s="23">
        <f t="shared" si="8"/>
        <v>450000</v>
      </c>
      <c r="H281" s="13"/>
    </row>
    <row r="282" spans="1:14" x14ac:dyDescent="0.4">
      <c r="A282" s="22" t="str">
        <f>DataSet!A49</f>
        <v>CUST0048</v>
      </c>
      <c r="B282" s="6" t="str">
        <f>DataSet!C49</f>
        <v>East</v>
      </c>
      <c r="C282" s="23">
        <f t="shared" si="8"/>
        <v>400000</v>
      </c>
      <c r="H282" s="13"/>
    </row>
    <row r="283" spans="1:14" x14ac:dyDescent="0.4">
      <c r="A283" s="22" t="str">
        <f>DataSet!A50</f>
        <v>CUST0049</v>
      </c>
      <c r="B283" s="6" t="str">
        <f>DataSet!C50</f>
        <v>West</v>
      </c>
      <c r="C283" s="23">
        <f t="shared" si="8"/>
        <v>550000</v>
      </c>
      <c r="H283" s="13"/>
    </row>
    <row r="284" spans="1:14" x14ac:dyDescent="0.4">
      <c r="A284" s="22" t="str">
        <f>DataSet!A51</f>
        <v>CUST0050</v>
      </c>
      <c r="B284" s="6" t="str">
        <f>DataSet!C51</f>
        <v>Central</v>
      </c>
      <c r="C284" s="23">
        <f t="shared" si="8"/>
        <v>480000</v>
      </c>
      <c r="H284" s="13"/>
    </row>
    <row r="285" spans="1:14" ht="21.6" thickBot="1" x14ac:dyDescent="0.45">
      <c r="A285" s="22" t="str">
        <f>DataSet!A52</f>
        <v>CUST0051</v>
      </c>
      <c r="B285" s="6" t="str">
        <f>DataSet!C52</f>
        <v>North</v>
      </c>
      <c r="C285" s="23">
        <f t="shared" si="8"/>
        <v>500000</v>
      </c>
      <c r="H285" s="13"/>
    </row>
    <row r="286" spans="1:14" ht="21.6" thickBot="1" x14ac:dyDescent="0.45">
      <c r="A286" s="22" t="str">
        <f>DataSet!A53</f>
        <v>CUST0052</v>
      </c>
      <c r="B286" s="6" t="str">
        <f>DataSet!C53</f>
        <v>South</v>
      </c>
      <c r="C286" s="23">
        <f t="shared" si="8"/>
        <v>450000</v>
      </c>
      <c r="H286" s="13"/>
      <c r="J286" s="70" t="s">
        <v>74</v>
      </c>
      <c r="K286" s="71"/>
      <c r="L286" s="71"/>
      <c r="M286" s="71"/>
      <c r="N286" s="72"/>
    </row>
    <row r="287" spans="1:14" ht="21.6" thickBot="1" x14ac:dyDescent="0.45">
      <c r="A287" s="22" t="str">
        <f>DataSet!A54</f>
        <v>CUST0053</v>
      </c>
      <c r="B287" s="6" t="str">
        <f>DataSet!C54</f>
        <v>East</v>
      </c>
      <c r="C287" s="23">
        <f t="shared" si="8"/>
        <v>400000</v>
      </c>
      <c r="H287" s="13"/>
    </row>
    <row r="288" spans="1:14" x14ac:dyDescent="0.4">
      <c r="A288" s="22" t="str">
        <f>DataSet!A55</f>
        <v>CUST0054</v>
      </c>
      <c r="B288" s="6" t="str">
        <f>DataSet!C55</f>
        <v>West</v>
      </c>
      <c r="C288" s="23">
        <f t="shared" si="8"/>
        <v>550000</v>
      </c>
      <c r="H288" s="13"/>
      <c r="K288" s="34" t="s">
        <v>26</v>
      </c>
      <c r="L288" s="36" t="s">
        <v>75</v>
      </c>
    </row>
    <row r="289" spans="1:12" x14ac:dyDescent="0.4">
      <c r="A289" s="22" t="str">
        <f>DataSet!A56</f>
        <v>CUST0055</v>
      </c>
      <c r="B289" s="6" t="str">
        <f>DataSet!C56</f>
        <v>Central</v>
      </c>
      <c r="C289" s="23">
        <f t="shared" si="8"/>
        <v>480000</v>
      </c>
      <c r="H289" s="13"/>
      <c r="K289" s="22" t="s">
        <v>45</v>
      </c>
      <c r="L289" s="23">
        <f>SUMIF(DataSet!$K$2:$K$230,K289,DataSet!$F$2:$F$230)</f>
        <v>153</v>
      </c>
    </row>
    <row r="290" spans="1:12" x14ac:dyDescent="0.4">
      <c r="A290" s="22" t="str">
        <f>DataSet!A57</f>
        <v>CUST0056</v>
      </c>
      <c r="B290" s="6" t="str">
        <f>DataSet!C57</f>
        <v>North</v>
      </c>
      <c r="C290" s="23">
        <f t="shared" si="8"/>
        <v>500000</v>
      </c>
      <c r="H290" s="13"/>
      <c r="K290" s="22" t="s">
        <v>46</v>
      </c>
      <c r="L290" s="23">
        <v>172</v>
      </c>
    </row>
    <row r="291" spans="1:12" x14ac:dyDescent="0.4">
      <c r="A291" s="22" t="str">
        <f>DataSet!A58</f>
        <v>CUST0057</v>
      </c>
      <c r="B291" s="6" t="str">
        <f>DataSet!C58</f>
        <v>South</v>
      </c>
      <c r="C291" s="23">
        <f t="shared" si="8"/>
        <v>450000</v>
      </c>
      <c r="H291" s="13"/>
      <c r="K291" s="22" t="s">
        <v>31</v>
      </c>
      <c r="L291" s="23">
        <f>SUMIF(DataSet!$K$2:$K$230,K291,DataSet!$F$2:$F$230)</f>
        <v>179</v>
      </c>
    </row>
    <row r="292" spans="1:12" x14ac:dyDescent="0.4">
      <c r="A292" s="22" t="str">
        <f>DataSet!A59</f>
        <v>CUST0058</v>
      </c>
      <c r="B292" s="6" t="str">
        <f>DataSet!C59</f>
        <v>East</v>
      </c>
      <c r="C292" s="23">
        <f t="shared" si="8"/>
        <v>400000</v>
      </c>
      <c r="H292" s="13"/>
      <c r="K292" s="22" t="s">
        <v>34</v>
      </c>
      <c r="L292" s="23">
        <f>SUMIF(DataSet!$K$2:$K$230,K292,DataSet!$F$2:$F$230)</f>
        <v>163</v>
      </c>
    </row>
    <row r="293" spans="1:12" x14ac:dyDescent="0.4">
      <c r="A293" s="22" t="str">
        <f>DataSet!A60</f>
        <v>CUST0059</v>
      </c>
      <c r="B293" s="6" t="str">
        <f>DataSet!C60</f>
        <v>West</v>
      </c>
      <c r="C293" s="23">
        <f t="shared" si="8"/>
        <v>550000</v>
      </c>
      <c r="H293" s="13"/>
      <c r="K293" s="22" t="s">
        <v>47</v>
      </c>
      <c r="L293" s="23">
        <f>SUMIF(DataSet!$K$2:$K$230,K293,DataSet!$F$2:$F$230)</f>
        <v>179</v>
      </c>
    </row>
    <row r="294" spans="1:12" x14ac:dyDescent="0.4">
      <c r="A294" s="22" t="str">
        <f>DataSet!A61</f>
        <v>CUST0060</v>
      </c>
      <c r="B294" s="6" t="str">
        <f>DataSet!C61</f>
        <v>Central</v>
      </c>
      <c r="C294" s="23">
        <f t="shared" si="8"/>
        <v>480000</v>
      </c>
      <c r="H294" s="13"/>
      <c r="K294" s="22" t="s">
        <v>48</v>
      </c>
      <c r="L294" s="23">
        <f>SUMIF(DataSet!$K$2:$K$230,K294,DataSet!$F$2:$F$230)</f>
        <v>165</v>
      </c>
    </row>
    <row r="295" spans="1:12" x14ac:dyDescent="0.4">
      <c r="A295" s="22" t="str">
        <f>DataSet!A62</f>
        <v>CUST0061</v>
      </c>
      <c r="B295" s="6" t="str">
        <f>DataSet!C62</f>
        <v>North</v>
      </c>
      <c r="C295" s="23">
        <f t="shared" si="8"/>
        <v>500000</v>
      </c>
      <c r="H295" s="13"/>
      <c r="K295" s="22" t="s">
        <v>36</v>
      </c>
      <c r="L295" s="23">
        <f>SUMIF(DataSet!$K$2:$K$230,K295,DataSet!$F$2:$F$230)</f>
        <v>180</v>
      </c>
    </row>
    <row r="296" spans="1:12" ht="21.6" thickBot="1" x14ac:dyDescent="0.45">
      <c r="A296" s="22" t="str">
        <f>DataSet!A63</f>
        <v>CUST0062</v>
      </c>
      <c r="B296" s="6" t="str">
        <f>DataSet!C63</f>
        <v>South</v>
      </c>
      <c r="C296" s="23">
        <f t="shared" si="8"/>
        <v>450000</v>
      </c>
      <c r="H296" s="13"/>
      <c r="K296" s="24" t="s">
        <v>49</v>
      </c>
      <c r="L296" s="25">
        <f>SUMIF(DataSet!$K$2:$K$230,K296,DataSet!$F$2:$F$230)</f>
        <v>173</v>
      </c>
    </row>
    <row r="297" spans="1:12" x14ac:dyDescent="0.4">
      <c r="A297" s="22" t="str">
        <f>DataSet!A64</f>
        <v>CUST0063</v>
      </c>
      <c r="B297" s="6" t="str">
        <f>DataSet!C64</f>
        <v>East</v>
      </c>
      <c r="C297" s="23">
        <f t="shared" si="8"/>
        <v>400000</v>
      </c>
      <c r="H297" s="13"/>
    </row>
    <row r="298" spans="1:12" x14ac:dyDescent="0.4">
      <c r="A298" s="22" t="str">
        <f>DataSet!A65</f>
        <v>CUST0064</v>
      </c>
      <c r="B298" s="6" t="str">
        <f>DataSet!C65</f>
        <v>West</v>
      </c>
      <c r="C298" s="23">
        <f t="shared" si="8"/>
        <v>550000</v>
      </c>
      <c r="H298" s="13"/>
    </row>
    <row r="299" spans="1:12" x14ac:dyDescent="0.4">
      <c r="A299" s="22" t="str">
        <f>DataSet!A66</f>
        <v>CUST0065</v>
      </c>
      <c r="B299" s="6" t="str">
        <f>DataSet!C66</f>
        <v>Central</v>
      </c>
      <c r="C299" s="23">
        <f t="shared" si="8"/>
        <v>480000</v>
      </c>
      <c r="H299" s="13"/>
    </row>
    <row r="300" spans="1:12" x14ac:dyDescent="0.4">
      <c r="A300" s="22" t="str">
        <f>DataSet!A67</f>
        <v>CUST0066</v>
      </c>
      <c r="B300" s="6" t="str">
        <f>DataSet!C67</f>
        <v>North</v>
      </c>
      <c r="C300" s="23">
        <f t="shared" ref="C300:C363" si="9">IFERROR(INDEX($G$4:$G$8,MATCH(B300,$E$4:$E$8,0)),"Not Found")</f>
        <v>500000</v>
      </c>
      <c r="H300" s="13"/>
    </row>
    <row r="301" spans="1:12" x14ac:dyDescent="0.4">
      <c r="A301" s="22" t="str">
        <f>DataSet!A68</f>
        <v>CUST0067</v>
      </c>
      <c r="B301" s="6" t="str">
        <f>DataSet!C68</f>
        <v>South</v>
      </c>
      <c r="C301" s="23">
        <f t="shared" si="9"/>
        <v>450000</v>
      </c>
      <c r="H301" s="13"/>
    </row>
    <row r="302" spans="1:12" x14ac:dyDescent="0.4">
      <c r="A302" s="22" t="str">
        <f>DataSet!A69</f>
        <v>CUST0068</v>
      </c>
      <c r="B302" s="6" t="str">
        <f>DataSet!C69</f>
        <v>East</v>
      </c>
      <c r="C302" s="23">
        <f t="shared" si="9"/>
        <v>400000</v>
      </c>
      <c r="H302" s="13"/>
    </row>
    <row r="303" spans="1:12" x14ac:dyDescent="0.4">
      <c r="A303" s="22" t="str">
        <f>DataSet!A70</f>
        <v>CUST0069</v>
      </c>
      <c r="B303" s="6" t="str">
        <f>DataSet!C70</f>
        <v>West</v>
      </c>
      <c r="C303" s="23">
        <f t="shared" si="9"/>
        <v>550000</v>
      </c>
      <c r="H303" s="13"/>
    </row>
    <row r="304" spans="1:12" x14ac:dyDescent="0.4">
      <c r="A304" s="22" t="str">
        <f>DataSet!A71</f>
        <v>CUST0070</v>
      </c>
      <c r="B304" s="6" t="str">
        <f>DataSet!C71</f>
        <v>Central</v>
      </c>
      <c r="C304" s="23">
        <f t="shared" si="9"/>
        <v>480000</v>
      </c>
      <c r="H304" s="13"/>
    </row>
    <row r="305" spans="1:8" x14ac:dyDescent="0.4">
      <c r="A305" s="22" t="str">
        <f>DataSet!A72</f>
        <v>CUST0071</v>
      </c>
      <c r="B305" s="6" t="str">
        <f>DataSet!C72</f>
        <v>North</v>
      </c>
      <c r="C305" s="23">
        <f t="shared" si="9"/>
        <v>500000</v>
      </c>
      <c r="H305" s="13"/>
    </row>
    <row r="306" spans="1:8" x14ac:dyDescent="0.4">
      <c r="A306" s="22" t="str">
        <f>DataSet!A73</f>
        <v>CUST0072</v>
      </c>
      <c r="B306" s="6" t="str">
        <f>DataSet!C73</f>
        <v>South</v>
      </c>
      <c r="C306" s="23">
        <f t="shared" si="9"/>
        <v>450000</v>
      </c>
      <c r="H306" s="13"/>
    </row>
    <row r="307" spans="1:8" x14ac:dyDescent="0.4">
      <c r="A307" s="22" t="str">
        <f>DataSet!A74</f>
        <v>CUST0073</v>
      </c>
      <c r="B307" s="6" t="str">
        <f>DataSet!C74</f>
        <v>East</v>
      </c>
      <c r="C307" s="23">
        <f t="shared" si="9"/>
        <v>400000</v>
      </c>
      <c r="H307" s="13"/>
    </row>
    <row r="308" spans="1:8" x14ac:dyDescent="0.4">
      <c r="A308" s="22" t="str">
        <f>DataSet!A75</f>
        <v>CUST0074</v>
      </c>
      <c r="B308" s="6" t="str">
        <f>DataSet!C75</f>
        <v>West</v>
      </c>
      <c r="C308" s="23">
        <f t="shared" si="9"/>
        <v>550000</v>
      </c>
      <c r="H308" s="13"/>
    </row>
    <row r="309" spans="1:8" x14ac:dyDescent="0.4">
      <c r="A309" s="22" t="str">
        <f>DataSet!A76</f>
        <v>CUST0075</v>
      </c>
      <c r="B309" s="6" t="str">
        <f>DataSet!C76</f>
        <v>Central</v>
      </c>
      <c r="C309" s="23">
        <f t="shared" si="9"/>
        <v>480000</v>
      </c>
      <c r="H309" s="13"/>
    </row>
    <row r="310" spans="1:8" x14ac:dyDescent="0.4">
      <c r="A310" s="22" t="str">
        <f>DataSet!A77</f>
        <v>CUST0076</v>
      </c>
      <c r="B310" s="6" t="str">
        <f>DataSet!C77</f>
        <v>North</v>
      </c>
      <c r="C310" s="23">
        <f t="shared" si="9"/>
        <v>500000</v>
      </c>
      <c r="H310" s="13"/>
    </row>
    <row r="311" spans="1:8" x14ac:dyDescent="0.4">
      <c r="A311" s="22" t="str">
        <f>DataSet!A78</f>
        <v>CUST0077</v>
      </c>
      <c r="B311" s="6" t="str">
        <f>DataSet!C78</f>
        <v>South</v>
      </c>
      <c r="C311" s="23">
        <f t="shared" si="9"/>
        <v>450000</v>
      </c>
      <c r="H311" s="13"/>
    </row>
    <row r="312" spans="1:8" x14ac:dyDescent="0.4">
      <c r="A312" s="22" t="str">
        <f>DataSet!A79</f>
        <v>CUST0078</v>
      </c>
      <c r="B312" s="6" t="str">
        <f>DataSet!C79</f>
        <v>East</v>
      </c>
      <c r="C312" s="23">
        <f t="shared" si="9"/>
        <v>400000</v>
      </c>
      <c r="H312" s="13"/>
    </row>
    <row r="313" spans="1:8" x14ac:dyDescent="0.4">
      <c r="A313" s="22" t="str">
        <f>DataSet!A80</f>
        <v>CUST0079</v>
      </c>
      <c r="B313" s="6" t="str">
        <f>DataSet!C80</f>
        <v>West</v>
      </c>
      <c r="C313" s="23">
        <f t="shared" si="9"/>
        <v>550000</v>
      </c>
      <c r="H313" s="13"/>
    </row>
    <row r="314" spans="1:8" x14ac:dyDescent="0.4">
      <c r="A314" s="22" t="str">
        <f>DataSet!A81</f>
        <v>CUST0080</v>
      </c>
      <c r="B314" s="6" t="str">
        <f>DataSet!C81</f>
        <v>Central</v>
      </c>
      <c r="C314" s="23">
        <f t="shared" si="9"/>
        <v>480000</v>
      </c>
      <c r="H314" s="13"/>
    </row>
    <row r="315" spans="1:8" x14ac:dyDescent="0.4">
      <c r="A315" s="22" t="str">
        <f>DataSet!A82</f>
        <v>CUST0081</v>
      </c>
      <c r="B315" s="6" t="str">
        <f>DataSet!C82</f>
        <v>North</v>
      </c>
      <c r="C315" s="23">
        <f t="shared" si="9"/>
        <v>500000</v>
      </c>
      <c r="H315" s="13"/>
    </row>
    <row r="316" spans="1:8" x14ac:dyDescent="0.4">
      <c r="A316" s="22" t="str">
        <f>DataSet!A83</f>
        <v>CUST0082</v>
      </c>
      <c r="B316" s="6" t="str">
        <f>DataSet!C83</f>
        <v>South</v>
      </c>
      <c r="C316" s="23">
        <f t="shared" si="9"/>
        <v>450000</v>
      </c>
      <c r="H316" s="13"/>
    </row>
    <row r="317" spans="1:8" x14ac:dyDescent="0.4">
      <c r="A317" s="22" t="str">
        <f>DataSet!A84</f>
        <v>CUST0083</v>
      </c>
      <c r="B317" s="6" t="str">
        <f>DataSet!C84</f>
        <v>East</v>
      </c>
      <c r="C317" s="23">
        <f t="shared" si="9"/>
        <v>400000</v>
      </c>
      <c r="H317" s="13"/>
    </row>
    <row r="318" spans="1:8" x14ac:dyDescent="0.4">
      <c r="A318" s="22" t="str">
        <f>DataSet!A85</f>
        <v>CUST0084</v>
      </c>
      <c r="B318" s="6" t="str">
        <f>DataSet!C85</f>
        <v>West</v>
      </c>
      <c r="C318" s="23">
        <f t="shared" si="9"/>
        <v>550000</v>
      </c>
      <c r="H318" s="13"/>
    </row>
    <row r="319" spans="1:8" x14ac:dyDescent="0.4">
      <c r="A319" s="22" t="str">
        <f>DataSet!A86</f>
        <v>CUST0085</v>
      </c>
      <c r="B319" s="6" t="str">
        <f>DataSet!C86</f>
        <v>Central</v>
      </c>
      <c r="C319" s="23">
        <f t="shared" si="9"/>
        <v>480000</v>
      </c>
      <c r="H319" s="13"/>
    </row>
    <row r="320" spans="1:8" x14ac:dyDescent="0.4">
      <c r="A320" s="22" t="str">
        <f>DataSet!A87</f>
        <v>CUST0086</v>
      </c>
      <c r="B320" s="6" t="str">
        <f>DataSet!C87</f>
        <v>North</v>
      </c>
      <c r="C320" s="23">
        <f t="shared" si="9"/>
        <v>500000</v>
      </c>
      <c r="H320" s="13"/>
    </row>
    <row r="321" spans="1:8" x14ac:dyDescent="0.4">
      <c r="A321" s="22" t="str">
        <f>DataSet!A88</f>
        <v>CUST0087</v>
      </c>
      <c r="B321" s="6" t="str">
        <f>DataSet!C88</f>
        <v>South</v>
      </c>
      <c r="C321" s="23">
        <f t="shared" si="9"/>
        <v>450000</v>
      </c>
      <c r="H321" s="13"/>
    </row>
    <row r="322" spans="1:8" x14ac:dyDescent="0.4">
      <c r="A322" s="22" t="str">
        <f>DataSet!A89</f>
        <v>CUST0088</v>
      </c>
      <c r="B322" s="6" t="str">
        <f>DataSet!C89</f>
        <v>East</v>
      </c>
      <c r="C322" s="23">
        <f t="shared" si="9"/>
        <v>400000</v>
      </c>
      <c r="H322" s="13"/>
    </row>
    <row r="323" spans="1:8" x14ac:dyDescent="0.4">
      <c r="A323" s="22" t="str">
        <f>DataSet!A90</f>
        <v>CUST0089</v>
      </c>
      <c r="B323" s="6" t="str">
        <f>DataSet!C90</f>
        <v>West</v>
      </c>
      <c r="C323" s="23">
        <f t="shared" si="9"/>
        <v>550000</v>
      </c>
      <c r="H323" s="13"/>
    </row>
    <row r="324" spans="1:8" x14ac:dyDescent="0.4">
      <c r="A324" s="22" t="str">
        <f>DataSet!A91</f>
        <v>CUST0090</v>
      </c>
      <c r="B324" s="6" t="str">
        <f>DataSet!C91</f>
        <v>Central</v>
      </c>
      <c r="C324" s="23">
        <f t="shared" si="9"/>
        <v>480000</v>
      </c>
      <c r="H324" s="13"/>
    </row>
    <row r="325" spans="1:8" x14ac:dyDescent="0.4">
      <c r="A325" s="22" t="str">
        <f>DataSet!A92</f>
        <v>CUST0091</v>
      </c>
      <c r="B325" s="6" t="str">
        <f>DataSet!C92</f>
        <v>North</v>
      </c>
      <c r="C325" s="23">
        <f t="shared" si="9"/>
        <v>500000</v>
      </c>
      <c r="H325" s="13"/>
    </row>
    <row r="326" spans="1:8" x14ac:dyDescent="0.4">
      <c r="A326" s="22" t="str">
        <f>DataSet!A93</f>
        <v>CUST0092</v>
      </c>
      <c r="B326" s="6" t="str">
        <f>DataSet!C93</f>
        <v>South</v>
      </c>
      <c r="C326" s="23">
        <f t="shared" si="9"/>
        <v>450000</v>
      </c>
      <c r="H326" s="13"/>
    </row>
    <row r="327" spans="1:8" x14ac:dyDescent="0.4">
      <c r="A327" s="22" t="str">
        <f>DataSet!A94</f>
        <v>CUST0093</v>
      </c>
      <c r="B327" s="6" t="str">
        <f>DataSet!C94</f>
        <v>East</v>
      </c>
      <c r="C327" s="23">
        <f t="shared" si="9"/>
        <v>400000</v>
      </c>
      <c r="H327" s="13"/>
    </row>
    <row r="328" spans="1:8" x14ac:dyDescent="0.4">
      <c r="A328" s="22" t="str">
        <f>DataSet!A95</f>
        <v>CUST0094</v>
      </c>
      <c r="B328" s="6" t="str">
        <f>DataSet!C95</f>
        <v>West</v>
      </c>
      <c r="C328" s="23">
        <f t="shared" si="9"/>
        <v>550000</v>
      </c>
      <c r="H328" s="13"/>
    </row>
    <row r="329" spans="1:8" x14ac:dyDescent="0.4">
      <c r="A329" s="22" t="str">
        <f>DataSet!A96</f>
        <v>CUST0095</v>
      </c>
      <c r="B329" s="6" t="str">
        <f>DataSet!C96</f>
        <v>Central</v>
      </c>
      <c r="C329" s="23">
        <f t="shared" si="9"/>
        <v>480000</v>
      </c>
      <c r="H329" s="13"/>
    </row>
    <row r="330" spans="1:8" x14ac:dyDescent="0.4">
      <c r="A330" s="22" t="str">
        <f>DataSet!A97</f>
        <v>CUST0096</v>
      </c>
      <c r="B330" s="6" t="str">
        <f>DataSet!C97</f>
        <v>North</v>
      </c>
      <c r="C330" s="23">
        <f t="shared" si="9"/>
        <v>500000</v>
      </c>
      <c r="H330" s="13"/>
    </row>
    <row r="331" spans="1:8" x14ac:dyDescent="0.4">
      <c r="A331" s="22" t="str">
        <f>DataSet!A98</f>
        <v>CUST0097</v>
      </c>
      <c r="B331" s="6" t="str">
        <f>DataSet!C98</f>
        <v>South</v>
      </c>
      <c r="C331" s="23">
        <f t="shared" si="9"/>
        <v>450000</v>
      </c>
      <c r="H331" s="13"/>
    </row>
    <row r="332" spans="1:8" x14ac:dyDescent="0.4">
      <c r="A332" s="22" t="str">
        <f>DataSet!A99</f>
        <v>CUST0098</v>
      </c>
      <c r="B332" s="6" t="str">
        <f>DataSet!C99</f>
        <v>East</v>
      </c>
      <c r="C332" s="23">
        <f t="shared" si="9"/>
        <v>400000</v>
      </c>
      <c r="H332" s="13"/>
    </row>
    <row r="333" spans="1:8" x14ac:dyDescent="0.4">
      <c r="A333" s="22" t="str">
        <f>DataSet!A100</f>
        <v>CUST0099</v>
      </c>
      <c r="B333" s="6" t="str">
        <f>DataSet!C100</f>
        <v>West</v>
      </c>
      <c r="C333" s="23">
        <f t="shared" si="9"/>
        <v>550000</v>
      </c>
      <c r="H333" s="13"/>
    </row>
    <row r="334" spans="1:8" x14ac:dyDescent="0.4">
      <c r="A334" s="22" t="str">
        <f>DataSet!A101</f>
        <v>CUST0100</v>
      </c>
      <c r="B334" s="6" t="str">
        <f>DataSet!C101</f>
        <v>Central</v>
      </c>
      <c r="C334" s="23">
        <f t="shared" si="9"/>
        <v>480000</v>
      </c>
      <c r="H334" s="13"/>
    </row>
    <row r="335" spans="1:8" x14ac:dyDescent="0.4">
      <c r="A335" s="22" t="str">
        <f>DataSet!A102</f>
        <v>CUST0101</v>
      </c>
      <c r="B335" s="6" t="str">
        <f>DataSet!C102</f>
        <v>North</v>
      </c>
      <c r="C335" s="23">
        <f t="shared" si="9"/>
        <v>500000</v>
      </c>
      <c r="H335" s="13"/>
    </row>
    <row r="336" spans="1:8" x14ac:dyDescent="0.4">
      <c r="A336" s="22" t="str">
        <f>DataSet!A103</f>
        <v>CUST0102</v>
      </c>
      <c r="B336" s="6" t="str">
        <f>DataSet!C103</f>
        <v>South</v>
      </c>
      <c r="C336" s="23">
        <f t="shared" si="9"/>
        <v>450000</v>
      </c>
      <c r="H336" s="13"/>
    </row>
    <row r="337" spans="1:8" x14ac:dyDescent="0.4">
      <c r="A337" s="22" t="str">
        <f>DataSet!A104</f>
        <v>CUST0103</v>
      </c>
      <c r="B337" s="6" t="str">
        <f>DataSet!C104</f>
        <v>East</v>
      </c>
      <c r="C337" s="23">
        <f t="shared" si="9"/>
        <v>400000</v>
      </c>
      <c r="H337" s="13"/>
    </row>
    <row r="338" spans="1:8" x14ac:dyDescent="0.4">
      <c r="A338" s="22" t="str">
        <f>DataSet!A105</f>
        <v>CUST0104</v>
      </c>
      <c r="B338" s="6" t="str">
        <f>DataSet!C105</f>
        <v>West</v>
      </c>
      <c r="C338" s="23">
        <f t="shared" si="9"/>
        <v>550000</v>
      </c>
      <c r="H338" s="13"/>
    </row>
    <row r="339" spans="1:8" x14ac:dyDescent="0.4">
      <c r="A339" s="22" t="str">
        <f>DataSet!A106</f>
        <v>CUST0105</v>
      </c>
      <c r="B339" s="6" t="str">
        <f>DataSet!C106</f>
        <v>Central</v>
      </c>
      <c r="C339" s="23">
        <f t="shared" si="9"/>
        <v>480000</v>
      </c>
      <c r="H339" s="13"/>
    </row>
    <row r="340" spans="1:8" x14ac:dyDescent="0.4">
      <c r="A340" s="22" t="str">
        <f>DataSet!A107</f>
        <v>CUST0106</v>
      </c>
      <c r="B340" s="6" t="str">
        <f>DataSet!C107</f>
        <v>North</v>
      </c>
      <c r="C340" s="23">
        <f t="shared" si="9"/>
        <v>500000</v>
      </c>
      <c r="H340" s="13"/>
    </row>
    <row r="341" spans="1:8" x14ac:dyDescent="0.4">
      <c r="A341" s="22" t="str">
        <f>DataSet!A108</f>
        <v>CUST0107</v>
      </c>
      <c r="B341" s="6" t="str">
        <f>DataSet!C108</f>
        <v>South</v>
      </c>
      <c r="C341" s="23">
        <f t="shared" si="9"/>
        <v>450000</v>
      </c>
      <c r="H341" s="13"/>
    </row>
    <row r="342" spans="1:8" x14ac:dyDescent="0.4">
      <c r="A342" s="22" t="str">
        <f>DataSet!A109</f>
        <v>CUST0108</v>
      </c>
      <c r="B342" s="6" t="str">
        <f>DataSet!C109</f>
        <v>East</v>
      </c>
      <c r="C342" s="23">
        <f t="shared" si="9"/>
        <v>400000</v>
      </c>
      <c r="H342" s="13"/>
    </row>
    <row r="343" spans="1:8" x14ac:dyDescent="0.4">
      <c r="A343" s="22" t="str">
        <f>DataSet!A110</f>
        <v>CUST0109</v>
      </c>
      <c r="B343" s="6" t="str">
        <f>DataSet!C110</f>
        <v>West</v>
      </c>
      <c r="C343" s="23">
        <f t="shared" si="9"/>
        <v>550000</v>
      </c>
      <c r="H343" s="13"/>
    </row>
    <row r="344" spans="1:8" x14ac:dyDescent="0.4">
      <c r="A344" s="22" t="str">
        <f>DataSet!A111</f>
        <v>CUST0110</v>
      </c>
      <c r="B344" s="6" t="str">
        <f>DataSet!C111</f>
        <v>Central</v>
      </c>
      <c r="C344" s="23">
        <f t="shared" si="9"/>
        <v>480000</v>
      </c>
      <c r="H344" s="13"/>
    </row>
    <row r="345" spans="1:8" x14ac:dyDescent="0.4">
      <c r="A345" s="22" t="str">
        <f>DataSet!A112</f>
        <v>CUST0111</v>
      </c>
      <c r="B345" s="6" t="str">
        <f>DataSet!C112</f>
        <v>North</v>
      </c>
      <c r="C345" s="23">
        <f t="shared" si="9"/>
        <v>500000</v>
      </c>
      <c r="H345" s="13"/>
    </row>
    <row r="346" spans="1:8" x14ac:dyDescent="0.4">
      <c r="A346" s="22" t="str">
        <f>DataSet!A113</f>
        <v>CUST0112</v>
      </c>
      <c r="B346" s="6" t="str">
        <f>DataSet!C113</f>
        <v>South</v>
      </c>
      <c r="C346" s="23">
        <f t="shared" si="9"/>
        <v>450000</v>
      </c>
      <c r="H346" s="13"/>
    </row>
    <row r="347" spans="1:8" x14ac:dyDescent="0.4">
      <c r="A347" s="22" t="str">
        <f>DataSet!A114</f>
        <v>CUST0113</v>
      </c>
      <c r="B347" s="6" t="str">
        <f>DataSet!C114</f>
        <v>East</v>
      </c>
      <c r="C347" s="23">
        <f t="shared" si="9"/>
        <v>400000</v>
      </c>
      <c r="H347" s="13"/>
    </row>
    <row r="348" spans="1:8" x14ac:dyDescent="0.4">
      <c r="A348" s="22" t="str">
        <f>DataSet!A115</f>
        <v>CUST0114</v>
      </c>
      <c r="B348" s="6" t="str">
        <f>DataSet!C115</f>
        <v>West</v>
      </c>
      <c r="C348" s="23">
        <f t="shared" si="9"/>
        <v>550000</v>
      </c>
      <c r="H348" s="13"/>
    </row>
    <row r="349" spans="1:8" x14ac:dyDescent="0.4">
      <c r="A349" s="22" t="str">
        <f>DataSet!A116</f>
        <v>CUST0115</v>
      </c>
      <c r="B349" s="6" t="str">
        <f>DataSet!C116</f>
        <v>Central</v>
      </c>
      <c r="C349" s="23">
        <f t="shared" si="9"/>
        <v>480000</v>
      </c>
      <c r="H349" s="13"/>
    </row>
    <row r="350" spans="1:8" x14ac:dyDescent="0.4">
      <c r="A350" s="22" t="str">
        <f>DataSet!A117</f>
        <v>CUST0116</v>
      </c>
      <c r="B350" s="6" t="str">
        <f>DataSet!C117</f>
        <v>North</v>
      </c>
      <c r="C350" s="23">
        <f t="shared" si="9"/>
        <v>500000</v>
      </c>
      <c r="H350" s="13"/>
    </row>
    <row r="351" spans="1:8" x14ac:dyDescent="0.4">
      <c r="A351" s="22" t="str">
        <f>DataSet!A118</f>
        <v>CUST0117</v>
      </c>
      <c r="B351" s="6" t="str">
        <f>DataSet!C118</f>
        <v>South</v>
      </c>
      <c r="C351" s="23">
        <f t="shared" si="9"/>
        <v>450000</v>
      </c>
      <c r="H351" s="13"/>
    </row>
    <row r="352" spans="1:8" x14ac:dyDescent="0.4">
      <c r="A352" s="22" t="str">
        <f>DataSet!A119</f>
        <v>CUST0118</v>
      </c>
      <c r="B352" s="6" t="str">
        <f>DataSet!C119</f>
        <v>East</v>
      </c>
      <c r="C352" s="23">
        <f t="shared" si="9"/>
        <v>400000</v>
      </c>
      <c r="H352" s="13"/>
    </row>
    <row r="353" spans="1:8" x14ac:dyDescent="0.4">
      <c r="A353" s="22" t="str">
        <f>DataSet!A120</f>
        <v>CUST0119</v>
      </c>
      <c r="B353" s="6" t="str">
        <f>DataSet!C120</f>
        <v>West</v>
      </c>
      <c r="C353" s="23">
        <f t="shared" si="9"/>
        <v>550000</v>
      </c>
      <c r="H353" s="13"/>
    </row>
    <row r="354" spans="1:8" x14ac:dyDescent="0.4">
      <c r="A354" s="22" t="str">
        <f>DataSet!A121</f>
        <v>CUST0120</v>
      </c>
      <c r="B354" s="6" t="str">
        <f>DataSet!C121</f>
        <v>Central</v>
      </c>
      <c r="C354" s="23">
        <f t="shared" si="9"/>
        <v>480000</v>
      </c>
      <c r="H354" s="13"/>
    </row>
    <row r="355" spans="1:8" x14ac:dyDescent="0.4">
      <c r="A355" s="22" t="str">
        <f>DataSet!A122</f>
        <v>CUST0121</v>
      </c>
      <c r="B355" s="6" t="str">
        <f>DataSet!C122</f>
        <v>North</v>
      </c>
      <c r="C355" s="23">
        <f t="shared" si="9"/>
        <v>500000</v>
      </c>
      <c r="H355" s="13"/>
    </row>
    <row r="356" spans="1:8" x14ac:dyDescent="0.4">
      <c r="A356" s="22" t="str">
        <f>DataSet!A123</f>
        <v>CUST0122</v>
      </c>
      <c r="B356" s="6" t="str">
        <f>DataSet!C123</f>
        <v>South</v>
      </c>
      <c r="C356" s="23">
        <f t="shared" si="9"/>
        <v>450000</v>
      </c>
      <c r="H356" s="13"/>
    </row>
    <row r="357" spans="1:8" x14ac:dyDescent="0.4">
      <c r="A357" s="22" t="str">
        <f>DataSet!A124</f>
        <v>CUST0123</v>
      </c>
      <c r="B357" s="6" t="str">
        <f>DataSet!C124</f>
        <v>East</v>
      </c>
      <c r="C357" s="23">
        <f t="shared" si="9"/>
        <v>400000</v>
      </c>
      <c r="H357" s="13"/>
    </row>
    <row r="358" spans="1:8" x14ac:dyDescent="0.4">
      <c r="A358" s="22" t="str">
        <f>DataSet!A125</f>
        <v>CUST0124</v>
      </c>
      <c r="B358" s="6" t="str">
        <f>DataSet!C125</f>
        <v>West</v>
      </c>
      <c r="C358" s="23">
        <f t="shared" si="9"/>
        <v>550000</v>
      </c>
      <c r="H358" s="13"/>
    </row>
    <row r="359" spans="1:8" x14ac:dyDescent="0.4">
      <c r="A359" s="22" t="str">
        <f>DataSet!A126</f>
        <v>CUST0125</v>
      </c>
      <c r="B359" s="6" t="str">
        <f>DataSet!C126</f>
        <v>Central</v>
      </c>
      <c r="C359" s="23">
        <f t="shared" si="9"/>
        <v>480000</v>
      </c>
      <c r="H359" s="13"/>
    </row>
    <row r="360" spans="1:8" x14ac:dyDescent="0.4">
      <c r="A360" s="22" t="str">
        <f>DataSet!A127</f>
        <v>CUST0126</v>
      </c>
      <c r="B360" s="6" t="str">
        <f>DataSet!C127</f>
        <v>North</v>
      </c>
      <c r="C360" s="23">
        <f t="shared" si="9"/>
        <v>500000</v>
      </c>
      <c r="H360" s="13"/>
    </row>
    <row r="361" spans="1:8" x14ac:dyDescent="0.4">
      <c r="A361" s="22" t="str">
        <f>DataSet!A128</f>
        <v>CUST0127</v>
      </c>
      <c r="B361" s="6" t="str">
        <f>DataSet!C128</f>
        <v>South</v>
      </c>
      <c r="C361" s="23">
        <f t="shared" si="9"/>
        <v>450000</v>
      </c>
      <c r="H361" s="13"/>
    </row>
    <row r="362" spans="1:8" x14ac:dyDescent="0.4">
      <c r="A362" s="22" t="str">
        <f>DataSet!A129</f>
        <v>CUST0128</v>
      </c>
      <c r="B362" s="6" t="str">
        <f>DataSet!C129</f>
        <v>East</v>
      </c>
      <c r="C362" s="23">
        <f t="shared" si="9"/>
        <v>400000</v>
      </c>
      <c r="H362" s="13"/>
    </row>
    <row r="363" spans="1:8" x14ac:dyDescent="0.4">
      <c r="A363" s="22" t="str">
        <f>DataSet!A130</f>
        <v>CUST0129</v>
      </c>
      <c r="B363" s="6" t="str">
        <f>DataSet!C130</f>
        <v>West</v>
      </c>
      <c r="C363" s="23">
        <f t="shared" si="9"/>
        <v>550000</v>
      </c>
      <c r="H363" s="13"/>
    </row>
    <row r="364" spans="1:8" x14ac:dyDescent="0.4">
      <c r="A364" s="22" t="str">
        <f>DataSet!A131</f>
        <v>CUST0130</v>
      </c>
      <c r="B364" s="6" t="str">
        <f>DataSet!C131</f>
        <v>Central</v>
      </c>
      <c r="C364" s="23">
        <f t="shared" ref="C364:C427" si="10">IFERROR(INDEX($G$4:$G$8,MATCH(B364,$E$4:$E$8,0)),"Not Found")</f>
        <v>480000</v>
      </c>
      <c r="H364" s="13"/>
    </row>
    <row r="365" spans="1:8" x14ac:dyDescent="0.4">
      <c r="A365" s="22" t="str">
        <f>DataSet!A132</f>
        <v>CUST0131</v>
      </c>
      <c r="B365" s="6" t="str">
        <f>DataSet!C132</f>
        <v>North</v>
      </c>
      <c r="C365" s="23">
        <f t="shared" si="10"/>
        <v>500000</v>
      </c>
      <c r="H365" s="13"/>
    </row>
    <row r="366" spans="1:8" x14ac:dyDescent="0.4">
      <c r="A366" s="22" t="str">
        <f>DataSet!A133</f>
        <v>CUST0132</v>
      </c>
      <c r="B366" s="6" t="str">
        <f>DataSet!C133</f>
        <v>South</v>
      </c>
      <c r="C366" s="23">
        <f t="shared" si="10"/>
        <v>450000</v>
      </c>
      <c r="H366" s="13"/>
    </row>
    <row r="367" spans="1:8" x14ac:dyDescent="0.4">
      <c r="A367" s="22" t="str">
        <f>DataSet!A134</f>
        <v>CUST0133</v>
      </c>
      <c r="B367" s="6" t="str">
        <f>DataSet!C134</f>
        <v>East</v>
      </c>
      <c r="C367" s="23">
        <f t="shared" si="10"/>
        <v>400000</v>
      </c>
      <c r="H367" s="13"/>
    </row>
    <row r="368" spans="1:8" x14ac:dyDescent="0.4">
      <c r="A368" s="22" t="str">
        <f>DataSet!A135</f>
        <v>CUST0134</v>
      </c>
      <c r="B368" s="6" t="str">
        <f>DataSet!C135</f>
        <v>West</v>
      </c>
      <c r="C368" s="23">
        <f t="shared" si="10"/>
        <v>550000</v>
      </c>
      <c r="H368" s="13"/>
    </row>
    <row r="369" spans="1:8" x14ac:dyDescent="0.4">
      <c r="A369" s="22" t="str">
        <f>DataSet!A136</f>
        <v>CUST0135</v>
      </c>
      <c r="B369" s="6" t="str">
        <f>DataSet!C136</f>
        <v>Central</v>
      </c>
      <c r="C369" s="23">
        <f t="shared" si="10"/>
        <v>480000</v>
      </c>
      <c r="H369" s="13"/>
    </row>
    <row r="370" spans="1:8" x14ac:dyDescent="0.4">
      <c r="A370" s="22" t="str">
        <f>DataSet!A137</f>
        <v>CUST0136</v>
      </c>
      <c r="B370" s="6" t="str">
        <f>DataSet!C137</f>
        <v>North</v>
      </c>
      <c r="C370" s="23">
        <f t="shared" si="10"/>
        <v>500000</v>
      </c>
      <c r="H370" s="13"/>
    </row>
    <row r="371" spans="1:8" x14ac:dyDescent="0.4">
      <c r="A371" s="22" t="str">
        <f>DataSet!A138</f>
        <v>CUST0137</v>
      </c>
      <c r="B371" s="6" t="str">
        <f>DataSet!C138</f>
        <v>South</v>
      </c>
      <c r="C371" s="23">
        <f t="shared" si="10"/>
        <v>450000</v>
      </c>
      <c r="H371" s="13"/>
    </row>
    <row r="372" spans="1:8" x14ac:dyDescent="0.4">
      <c r="A372" s="22" t="str">
        <f>DataSet!A139</f>
        <v>CUST0138</v>
      </c>
      <c r="B372" s="6" t="str">
        <f>DataSet!C139</f>
        <v>East</v>
      </c>
      <c r="C372" s="23">
        <f t="shared" si="10"/>
        <v>400000</v>
      </c>
      <c r="H372" s="13"/>
    </row>
    <row r="373" spans="1:8" x14ac:dyDescent="0.4">
      <c r="A373" s="22" t="str">
        <f>DataSet!A140</f>
        <v>CUST0139</v>
      </c>
      <c r="B373" s="6" t="str">
        <f>DataSet!C140</f>
        <v>West</v>
      </c>
      <c r="C373" s="23">
        <f t="shared" si="10"/>
        <v>550000</v>
      </c>
      <c r="H373" s="13"/>
    </row>
    <row r="374" spans="1:8" x14ac:dyDescent="0.4">
      <c r="A374" s="22" t="str">
        <f>DataSet!A141</f>
        <v>CUST0140</v>
      </c>
      <c r="B374" s="6" t="str">
        <f>DataSet!C141</f>
        <v>Central</v>
      </c>
      <c r="C374" s="23">
        <f t="shared" si="10"/>
        <v>480000</v>
      </c>
      <c r="H374" s="13"/>
    </row>
    <row r="375" spans="1:8" x14ac:dyDescent="0.4">
      <c r="A375" s="22" t="str">
        <f>DataSet!A142</f>
        <v>CUST0141</v>
      </c>
      <c r="B375" s="6" t="str">
        <f>DataSet!C142</f>
        <v>North</v>
      </c>
      <c r="C375" s="23">
        <f t="shared" si="10"/>
        <v>500000</v>
      </c>
      <c r="H375" s="13"/>
    </row>
    <row r="376" spans="1:8" x14ac:dyDescent="0.4">
      <c r="A376" s="22" t="str">
        <f>DataSet!A143</f>
        <v>CUST0142</v>
      </c>
      <c r="B376" s="6" t="str">
        <f>DataSet!C143</f>
        <v>South</v>
      </c>
      <c r="C376" s="23">
        <f t="shared" si="10"/>
        <v>450000</v>
      </c>
      <c r="H376" s="13"/>
    </row>
    <row r="377" spans="1:8" x14ac:dyDescent="0.4">
      <c r="A377" s="22" t="str">
        <f>DataSet!A144</f>
        <v>CUST0143</v>
      </c>
      <c r="B377" s="6" t="str">
        <f>DataSet!C144</f>
        <v>East</v>
      </c>
      <c r="C377" s="23">
        <f t="shared" si="10"/>
        <v>400000</v>
      </c>
      <c r="H377" s="13"/>
    </row>
    <row r="378" spans="1:8" x14ac:dyDescent="0.4">
      <c r="A378" s="22" t="str">
        <f>DataSet!A145</f>
        <v>CUST0144</v>
      </c>
      <c r="B378" s="6" t="str">
        <f>DataSet!C145</f>
        <v>West</v>
      </c>
      <c r="C378" s="23">
        <f t="shared" si="10"/>
        <v>550000</v>
      </c>
      <c r="H378" s="13"/>
    </row>
    <row r="379" spans="1:8" x14ac:dyDescent="0.4">
      <c r="A379" s="22" t="str">
        <f>DataSet!A146</f>
        <v>CUST0145</v>
      </c>
      <c r="B379" s="6" t="str">
        <f>DataSet!C146</f>
        <v>Central</v>
      </c>
      <c r="C379" s="23">
        <f t="shared" si="10"/>
        <v>480000</v>
      </c>
      <c r="H379" s="13"/>
    </row>
    <row r="380" spans="1:8" x14ac:dyDescent="0.4">
      <c r="A380" s="22" t="str">
        <f>DataSet!A147</f>
        <v>CUST0146</v>
      </c>
      <c r="B380" s="6" t="str">
        <f>DataSet!C147</f>
        <v>North</v>
      </c>
      <c r="C380" s="23">
        <f t="shared" si="10"/>
        <v>500000</v>
      </c>
      <c r="H380" s="13"/>
    </row>
    <row r="381" spans="1:8" x14ac:dyDescent="0.4">
      <c r="A381" s="22" t="str">
        <f>DataSet!A148</f>
        <v>CUST0147</v>
      </c>
      <c r="B381" s="6" t="str">
        <f>DataSet!C148</f>
        <v>South</v>
      </c>
      <c r="C381" s="23">
        <f t="shared" si="10"/>
        <v>450000</v>
      </c>
      <c r="H381" s="13"/>
    </row>
    <row r="382" spans="1:8" x14ac:dyDescent="0.4">
      <c r="A382" s="22" t="str">
        <f>DataSet!A149</f>
        <v>CUST0148</v>
      </c>
      <c r="B382" s="6" t="str">
        <f>DataSet!C149</f>
        <v>East</v>
      </c>
      <c r="C382" s="23">
        <f t="shared" si="10"/>
        <v>400000</v>
      </c>
      <c r="H382" s="13"/>
    </row>
    <row r="383" spans="1:8" x14ac:dyDescent="0.4">
      <c r="A383" s="22" t="str">
        <f>DataSet!A150</f>
        <v>CUST0149</v>
      </c>
      <c r="B383" s="6" t="str">
        <f>DataSet!C150</f>
        <v>West</v>
      </c>
      <c r="C383" s="23">
        <f t="shared" si="10"/>
        <v>550000</v>
      </c>
      <c r="H383" s="13"/>
    </row>
    <row r="384" spans="1:8" x14ac:dyDescent="0.4">
      <c r="A384" s="22" t="str">
        <f>DataSet!A151</f>
        <v>CUST0150</v>
      </c>
      <c r="B384" s="6" t="str">
        <f>DataSet!C151</f>
        <v>Central</v>
      </c>
      <c r="C384" s="23">
        <f t="shared" si="10"/>
        <v>480000</v>
      </c>
      <c r="H384" s="13"/>
    </row>
    <row r="385" spans="1:8" x14ac:dyDescent="0.4">
      <c r="A385" s="22" t="str">
        <f>DataSet!A152</f>
        <v>CUST0151</v>
      </c>
      <c r="B385" s="6" t="str">
        <f>DataSet!C152</f>
        <v>North</v>
      </c>
      <c r="C385" s="23">
        <f t="shared" si="10"/>
        <v>500000</v>
      </c>
      <c r="H385" s="13"/>
    </row>
    <row r="386" spans="1:8" x14ac:dyDescent="0.4">
      <c r="A386" s="22" t="str">
        <f>DataSet!A153</f>
        <v>CUST0152</v>
      </c>
      <c r="B386" s="6" t="str">
        <f>DataSet!C153</f>
        <v>South</v>
      </c>
      <c r="C386" s="23">
        <f t="shared" si="10"/>
        <v>450000</v>
      </c>
      <c r="H386" s="13"/>
    </row>
    <row r="387" spans="1:8" x14ac:dyDescent="0.4">
      <c r="A387" s="22" t="str">
        <f>DataSet!A154</f>
        <v>CUST0153</v>
      </c>
      <c r="B387" s="6" t="str">
        <f>DataSet!C154</f>
        <v>East</v>
      </c>
      <c r="C387" s="23">
        <f t="shared" si="10"/>
        <v>400000</v>
      </c>
      <c r="H387" s="13"/>
    </row>
    <row r="388" spans="1:8" x14ac:dyDescent="0.4">
      <c r="A388" s="22" t="str">
        <f>DataSet!A155</f>
        <v>CUST0154</v>
      </c>
      <c r="B388" s="6" t="str">
        <f>DataSet!C155</f>
        <v>West</v>
      </c>
      <c r="C388" s="23">
        <f t="shared" si="10"/>
        <v>550000</v>
      </c>
      <c r="H388" s="13"/>
    </row>
    <row r="389" spans="1:8" x14ac:dyDescent="0.4">
      <c r="A389" s="22" t="str">
        <f>DataSet!A156</f>
        <v>CUST0155</v>
      </c>
      <c r="B389" s="6" t="str">
        <f>DataSet!C156</f>
        <v>Central</v>
      </c>
      <c r="C389" s="23">
        <f t="shared" si="10"/>
        <v>480000</v>
      </c>
      <c r="H389" s="13"/>
    </row>
    <row r="390" spans="1:8" x14ac:dyDescent="0.4">
      <c r="A390" s="22" t="str">
        <f>DataSet!A157</f>
        <v>CUST0156</v>
      </c>
      <c r="B390" s="6" t="str">
        <f>DataSet!C157</f>
        <v>North</v>
      </c>
      <c r="C390" s="23">
        <f t="shared" si="10"/>
        <v>500000</v>
      </c>
      <c r="H390" s="13"/>
    </row>
    <row r="391" spans="1:8" x14ac:dyDescent="0.4">
      <c r="A391" s="22" t="str">
        <f>DataSet!A158</f>
        <v>CUST0157</v>
      </c>
      <c r="B391" s="6" t="str">
        <f>DataSet!C158</f>
        <v>South</v>
      </c>
      <c r="C391" s="23">
        <f t="shared" si="10"/>
        <v>450000</v>
      </c>
      <c r="H391" s="13"/>
    </row>
    <row r="392" spans="1:8" x14ac:dyDescent="0.4">
      <c r="A392" s="22" t="str">
        <f>DataSet!A159</f>
        <v>CUST0158</v>
      </c>
      <c r="B392" s="6" t="str">
        <f>DataSet!C159</f>
        <v>East</v>
      </c>
      <c r="C392" s="23">
        <f t="shared" si="10"/>
        <v>400000</v>
      </c>
      <c r="H392" s="13"/>
    </row>
    <row r="393" spans="1:8" x14ac:dyDescent="0.4">
      <c r="A393" s="22" t="str">
        <f>DataSet!A160</f>
        <v>CUST0159</v>
      </c>
      <c r="B393" s="6" t="str">
        <f>DataSet!C160</f>
        <v>West</v>
      </c>
      <c r="C393" s="23">
        <f t="shared" si="10"/>
        <v>550000</v>
      </c>
      <c r="H393" s="13"/>
    </row>
    <row r="394" spans="1:8" x14ac:dyDescent="0.4">
      <c r="A394" s="22" t="str">
        <f>DataSet!A161</f>
        <v>CUST0160</v>
      </c>
      <c r="B394" s="6" t="str">
        <f>DataSet!C161</f>
        <v>Central</v>
      </c>
      <c r="C394" s="23">
        <f t="shared" si="10"/>
        <v>480000</v>
      </c>
      <c r="H394" s="13"/>
    </row>
    <row r="395" spans="1:8" x14ac:dyDescent="0.4">
      <c r="A395" s="22" t="str">
        <f>DataSet!A162</f>
        <v>CUST0161</v>
      </c>
      <c r="B395" s="6" t="str">
        <f>DataSet!C162</f>
        <v>North</v>
      </c>
      <c r="C395" s="23">
        <f t="shared" si="10"/>
        <v>500000</v>
      </c>
      <c r="H395" s="13"/>
    </row>
    <row r="396" spans="1:8" x14ac:dyDescent="0.4">
      <c r="A396" s="22" t="str">
        <f>DataSet!A163</f>
        <v>CUST0162</v>
      </c>
      <c r="B396" s="6" t="str">
        <f>DataSet!C163</f>
        <v>South</v>
      </c>
      <c r="C396" s="23">
        <f t="shared" si="10"/>
        <v>450000</v>
      </c>
      <c r="H396" s="13"/>
    </row>
    <row r="397" spans="1:8" x14ac:dyDescent="0.4">
      <c r="A397" s="22" t="str">
        <f>DataSet!A164</f>
        <v>CUST0163</v>
      </c>
      <c r="B397" s="6" t="str">
        <f>DataSet!C164</f>
        <v>East</v>
      </c>
      <c r="C397" s="23">
        <f t="shared" si="10"/>
        <v>400000</v>
      </c>
      <c r="H397" s="13"/>
    </row>
    <row r="398" spans="1:8" x14ac:dyDescent="0.4">
      <c r="A398" s="22" t="str">
        <f>DataSet!A165</f>
        <v>CUST0164</v>
      </c>
      <c r="B398" s="6" t="str">
        <f>DataSet!C165</f>
        <v>West</v>
      </c>
      <c r="C398" s="23">
        <f t="shared" si="10"/>
        <v>550000</v>
      </c>
      <c r="H398" s="13"/>
    </row>
    <row r="399" spans="1:8" x14ac:dyDescent="0.4">
      <c r="A399" s="22" t="str">
        <f>DataSet!A166</f>
        <v>CUST0165</v>
      </c>
      <c r="B399" s="6" t="str">
        <f>DataSet!C166</f>
        <v>Central</v>
      </c>
      <c r="C399" s="23">
        <f t="shared" si="10"/>
        <v>480000</v>
      </c>
      <c r="H399" s="13"/>
    </row>
    <row r="400" spans="1:8" x14ac:dyDescent="0.4">
      <c r="A400" s="22" t="str">
        <f>DataSet!A167</f>
        <v>CUST0166</v>
      </c>
      <c r="B400" s="6" t="str">
        <f>DataSet!C167</f>
        <v>North</v>
      </c>
      <c r="C400" s="23">
        <f t="shared" si="10"/>
        <v>500000</v>
      </c>
      <c r="H400" s="13"/>
    </row>
    <row r="401" spans="1:8" x14ac:dyDescent="0.4">
      <c r="A401" s="22" t="str">
        <f>DataSet!A168</f>
        <v>CUST0167</v>
      </c>
      <c r="B401" s="6" t="str">
        <f>DataSet!C168</f>
        <v>South</v>
      </c>
      <c r="C401" s="23">
        <f t="shared" si="10"/>
        <v>450000</v>
      </c>
      <c r="H401" s="13"/>
    </row>
    <row r="402" spans="1:8" x14ac:dyDescent="0.4">
      <c r="A402" s="22" t="str">
        <f>DataSet!A169</f>
        <v>CUST0168</v>
      </c>
      <c r="B402" s="6" t="str">
        <f>DataSet!C169</f>
        <v>East</v>
      </c>
      <c r="C402" s="23">
        <f t="shared" si="10"/>
        <v>400000</v>
      </c>
      <c r="H402" s="13"/>
    </row>
    <row r="403" spans="1:8" x14ac:dyDescent="0.4">
      <c r="A403" s="22" t="str">
        <f>DataSet!A170</f>
        <v>CUST0169</v>
      </c>
      <c r="B403" s="6" t="str">
        <f>DataSet!C170</f>
        <v>West</v>
      </c>
      <c r="C403" s="23">
        <f t="shared" si="10"/>
        <v>550000</v>
      </c>
      <c r="H403" s="13"/>
    </row>
    <row r="404" spans="1:8" x14ac:dyDescent="0.4">
      <c r="A404" s="22" t="str">
        <f>DataSet!A171</f>
        <v>CUST0170</v>
      </c>
      <c r="B404" s="6" t="str">
        <f>DataSet!C171</f>
        <v>Central</v>
      </c>
      <c r="C404" s="23">
        <f t="shared" si="10"/>
        <v>480000</v>
      </c>
      <c r="H404" s="13"/>
    </row>
    <row r="405" spans="1:8" x14ac:dyDescent="0.4">
      <c r="A405" s="22" t="str">
        <f>DataSet!A172</f>
        <v>CUST0171</v>
      </c>
      <c r="B405" s="6" t="str">
        <f>DataSet!C172</f>
        <v>North</v>
      </c>
      <c r="C405" s="23">
        <f t="shared" si="10"/>
        <v>500000</v>
      </c>
      <c r="H405" s="13"/>
    </row>
    <row r="406" spans="1:8" x14ac:dyDescent="0.4">
      <c r="A406" s="22" t="str">
        <f>DataSet!A173</f>
        <v>CUST0172</v>
      </c>
      <c r="B406" s="6" t="str">
        <f>DataSet!C173</f>
        <v>South</v>
      </c>
      <c r="C406" s="23">
        <f t="shared" si="10"/>
        <v>450000</v>
      </c>
      <c r="H406" s="13"/>
    </row>
    <row r="407" spans="1:8" x14ac:dyDescent="0.4">
      <c r="A407" s="22" t="str">
        <f>DataSet!A174</f>
        <v>CUST0173</v>
      </c>
      <c r="B407" s="6" t="str">
        <f>DataSet!C174</f>
        <v>East</v>
      </c>
      <c r="C407" s="23">
        <f t="shared" si="10"/>
        <v>400000</v>
      </c>
      <c r="H407" s="13"/>
    </row>
    <row r="408" spans="1:8" x14ac:dyDescent="0.4">
      <c r="A408" s="22" t="str">
        <f>DataSet!A175</f>
        <v>CUST0174</v>
      </c>
      <c r="B408" s="6" t="str">
        <f>DataSet!C175</f>
        <v>West</v>
      </c>
      <c r="C408" s="23">
        <f t="shared" si="10"/>
        <v>550000</v>
      </c>
      <c r="H408" s="13"/>
    </row>
    <row r="409" spans="1:8" x14ac:dyDescent="0.4">
      <c r="A409" s="22" t="str">
        <f>DataSet!A176</f>
        <v>CUST0175</v>
      </c>
      <c r="B409" s="6" t="str">
        <f>DataSet!C176</f>
        <v>Central</v>
      </c>
      <c r="C409" s="23">
        <f t="shared" si="10"/>
        <v>480000</v>
      </c>
      <c r="H409" s="13"/>
    </row>
    <row r="410" spans="1:8" x14ac:dyDescent="0.4">
      <c r="A410" s="22" t="str">
        <f>DataSet!A177</f>
        <v>CUST0176</v>
      </c>
      <c r="B410" s="6" t="str">
        <f>DataSet!C177</f>
        <v>North</v>
      </c>
      <c r="C410" s="23">
        <f t="shared" si="10"/>
        <v>500000</v>
      </c>
      <c r="H410" s="13"/>
    </row>
    <row r="411" spans="1:8" x14ac:dyDescent="0.4">
      <c r="A411" s="22" t="str">
        <f>DataSet!A178</f>
        <v>CUST0177</v>
      </c>
      <c r="B411" s="6" t="str">
        <f>DataSet!C178</f>
        <v>South</v>
      </c>
      <c r="C411" s="23">
        <f t="shared" si="10"/>
        <v>450000</v>
      </c>
      <c r="H411" s="13"/>
    </row>
    <row r="412" spans="1:8" x14ac:dyDescent="0.4">
      <c r="A412" s="22" t="str">
        <f>DataSet!A179</f>
        <v>CUST0178</v>
      </c>
      <c r="B412" s="6" t="str">
        <f>DataSet!C179</f>
        <v>East</v>
      </c>
      <c r="C412" s="23">
        <f t="shared" si="10"/>
        <v>400000</v>
      </c>
      <c r="H412" s="13"/>
    </row>
    <row r="413" spans="1:8" x14ac:dyDescent="0.4">
      <c r="A413" s="22" t="str">
        <f>DataSet!A180</f>
        <v>CUST0179</v>
      </c>
      <c r="B413" s="6" t="str">
        <f>DataSet!C180</f>
        <v>West</v>
      </c>
      <c r="C413" s="23">
        <f t="shared" si="10"/>
        <v>550000</v>
      </c>
      <c r="H413" s="13"/>
    </row>
    <row r="414" spans="1:8" x14ac:dyDescent="0.4">
      <c r="A414" s="22" t="str">
        <f>DataSet!A181</f>
        <v>CUST0180</v>
      </c>
      <c r="B414" s="6" t="str">
        <f>DataSet!C181</f>
        <v>Central</v>
      </c>
      <c r="C414" s="23">
        <f t="shared" si="10"/>
        <v>480000</v>
      </c>
      <c r="H414" s="13"/>
    </row>
    <row r="415" spans="1:8" x14ac:dyDescent="0.4">
      <c r="A415" s="22" t="str">
        <f>DataSet!A182</f>
        <v>CUST0181</v>
      </c>
      <c r="B415" s="6" t="str">
        <f>DataSet!C182</f>
        <v>North</v>
      </c>
      <c r="C415" s="23">
        <f t="shared" si="10"/>
        <v>500000</v>
      </c>
      <c r="H415" s="13"/>
    </row>
    <row r="416" spans="1:8" x14ac:dyDescent="0.4">
      <c r="A416" s="22" t="str">
        <f>DataSet!A183</f>
        <v>CUST0182</v>
      </c>
      <c r="B416" s="6" t="str">
        <f>DataSet!C183</f>
        <v>South</v>
      </c>
      <c r="C416" s="23">
        <f t="shared" si="10"/>
        <v>450000</v>
      </c>
      <c r="H416" s="13"/>
    </row>
    <row r="417" spans="1:8" x14ac:dyDescent="0.4">
      <c r="A417" s="22" t="str">
        <f>DataSet!A184</f>
        <v>CUST0183</v>
      </c>
      <c r="B417" s="6" t="str">
        <f>DataSet!C184</f>
        <v>East</v>
      </c>
      <c r="C417" s="23">
        <f t="shared" si="10"/>
        <v>400000</v>
      </c>
      <c r="H417" s="13"/>
    </row>
    <row r="418" spans="1:8" x14ac:dyDescent="0.4">
      <c r="A418" s="22" t="str">
        <f>DataSet!A185</f>
        <v>CUST0184</v>
      </c>
      <c r="B418" s="6" t="str">
        <f>DataSet!C185</f>
        <v>West</v>
      </c>
      <c r="C418" s="23">
        <f t="shared" si="10"/>
        <v>550000</v>
      </c>
      <c r="H418" s="13"/>
    </row>
    <row r="419" spans="1:8" x14ac:dyDescent="0.4">
      <c r="A419" s="22" t="str">
        <f>DataSet!A186</f>
        <v>CUST0185</v>
      </c>
      <c r="B419" s="6" t="str">
        <f>DataSet!C186</f>
        <v>Central</v>
      </c>
      <c r="C419" s="23">
        <f t="shared" si="10"/>
        <v>480000</v>
      </c>
      <c r="H419" s="13"/>
    </row>
    <row r="420" spans="1:8" x14ac:dyDescent="0.4">
      <c r="A420" s="22" t="str">
        <f>DataSet!A187</f>
        <v>CUST0186</v>
      </c>
      <c r="B420" s="6" t="str">
        <f>DataSet!C187</f>
        <v>North</v>
      </c>
      <c r="C420" s="23">
        <f t="shared" si="10"/>
        <v>500000</v>
      </c>
      <c r="H420" s="13"/>
    </row>
    <row r="421" spans="1:8" x14ac:dyDescent="0.4">
      <c r="A421" s="22" t="str">
        <f>DataSet!A188</f>
        <v>CUST0187</v>
      </c>
      <c r="B421" s="6" t="str">
        <f>DataSet!C188</f>
        <v>South</v>
      </c>
      <c r="C421" s="23">
        <f t="shared" si="10"/>
        <v>450000</v>
      </c>
      <c r="H421" s="13"/>
    </row>
    <row r="422" spans="1:8" x14ac:dyDescent="0.4">
      <c r="A422" s="22" t="str">
        <f>DataSet!A189</f>
        <v>CUST0188</v>
      </c>
      <c r="B422" s="6" t="str">
        <f>DataSet!C189</f>
        <v>East</v>
      </c>
      <c r="C422" s="23">
        <f t="shared" si="10"/>
        <v>400000</v>
      </c>
      <c r="H422" s="13"/>
    </row>
    <row r="423" spans="1:8" x14ac:dyDescent="0.4">
      <c r="A423" s="22" t="str">
        <f>DataSet!A190</f>
        <v>CUST0189</v>
      </c>
      <c r="B423" s="6" t="str">
        <f>DataSet!C190</f>
        <v>West</v>
      </c>
      <c r="C423" s="23">
        <f t="shared" si="10"/>
        <v>550000</v>
      </c>
      <c r="H423" s="13"/>
    </row>
    <row r="424" spans="1:8" x14ac:dyDescent="0.4">
      <c r="A424" s="22" t="str">
        <f>DataSet!A191</f>
        <v>CUST0190</v>
      </c>
      <c r="B424" s="6" t="str">
        <f>DataSet!C191</f>
        <v>Central</v>
      </c>
      <c r="C424" s="23">
        <f t="shared" si="10"/>
        <v>480000</v>
      </c>
      <c r="H424" s="13"/>
    </row>
    <row r="425" spans="1:8" x14ac:dyDescent="0.4">
      <c r="A425" s="22" t="str">
        <f>DataSet!A192</f>
        <v>CUST0191</v>
      </c>
      <c r="B425" s="6" t="str">
        <f>DataSet!C192</f>
        <v>North</v>
      </c>
      <c r="C425" s="23">
        <f t="shared" si="10"/>
        <v>500000</v>
      </c>
      <c r="H425" s="13"/>
    </row>
    <row r="426" spans="1:8" x14ac:dyDescent="0.4">
      <c r="A426" s="22" t="str">
        <f>DataSet!A193</f>
        <v>CUST0192</v>
      </c>
      <c r="B426" s="6" t="str">
        <f>DataSet!C193</f>
        <v>South</v>
      </c>
      <c r="C426" s="23">
        <f t="shared" si="10"/>
        <v>450000</v>
      </c>
      <c r="H426" s="13"/>
    </row>
    <row r="427" spans="1:8" x14ac:dyDescent="0.4">
      <c r="A427" s="22" t="str">
        <f>DataSet!A194</f>
        <v>CUST0193</v>
      </c>
      <c r="B427" s="6" t="str">
        <f>DataSet!C194</f>
        <v>East</v>
      </c>
      <c r="C427" s="23">
        <f t="shared" si="10"/>
        <v>400000</v>
      </c>
      <c r="H427" s="13"/>
    </row>
    <row r="428" spans="1:8" x14ac:dyDescent="0.4">
      <c r="A428" s="22" t="str">
        <f>DataSet!A195</f>
        <v>CUST0194</v>
      </c>
      <c r="B428" s="6" t="str">
        <f>DataSet!C195</f>
        <v>West</v>
      </c>
      <c r="C428" s="23">
        <f t="shared" ref="C428:C462" si="11">IFERROR(INDEX($G$4:$G$8,MATCH(B428,$E$4:$E$8,0)),"Not Found")</f>
        <v>550000</v>
      </c>
      <c r="H428" s="13"/>
    </row>
    <row r="429" spans="1:8" x14ac:dyDescent="0.4">
      <c r="A429" s="22" t="str">
        <f>DataSet!A196</f>
        <v>CUST0195</v>
      </c>
      <c r="B429" s="6" t="str">
        <f>DataSet!C196</f>
        <v>Central</v>
      </c>
      <c r="C429" s="23">
        <f t="shared" si="11"/>
        <v>480000</v>
      </c>
      <c r="H429" s="13"/>
    </row>
    <row r="430" spans="1:8" x14ac:dyDescent="0.4">
      <c r="A430" s="22" t="str">
        <f>DataSet!A197</f>
        <v>CUST0196</v>
      </c>
      <c r="B430" s="6" t="str">
        <f>DataSet!C197</f>
        <v>North</v>
      </c>
      <c r="C430" s="23">
        <f t="shared" si="11"/>
        <v>500000</v>
      </c>
      <c r="H430" s="13"/>
    </row>
    <row r="431" spans="1:8" x14ac:dyDescent="0.4">
      <c r="A431" s="22" t="str">
        <f>DataSet!A198</f>
        <v>CUST0197</v>
      </c>
      <c r="B431" s="6" t="str">
        <f>DataSet!C198</f>
        <v>South</v>
      </c>
      <c r="C431" s="23">
        <f t="shared" si="11"/>
        <v>450000</v>
      </c>
      <c r="H431" s="13"/>
    </row>
    <row r="432" spans="1:8" x14ac:dyDescent="0.4">
      <c r="A432" s="22" t="str">
        <f>DataSet!A199</f>
        <v>CUST0198</v>
      </c>
      <c r="B432" s="6" t="str">
        <f>DataSet!C199</f>
        <v>East</v>
      </c>
      <c r="C432" s="23">
        <f t="shared" si="11"/>
        <v>400000</v>
      </c>
      <c r="H432" s="13"/>
    </row>
    <row r="433" spans="1:8" x14ac:dyDescent="0.4">
      <c r="A433" s="22" t="str">
        <f>DataSet!A200</f>
        <v>CUST0199</v>
      </c>
      <c r="B433" s="6" t="str">
        <f>DataSet!C200</f>
        <v>West</v>
      </c>
      <c r="C433" s="23">
        <f t="shared" si="11"/>
        <v>550000</v>
      </c>
      <c r="H433" s="13"/>
    </row>
    <row r="434" spans="1:8" x14ac:dyDescent="0.4">
      <c r="A434" s="22" t="str">
        <f>DataSet!A201</f>
        <v>CUST0200</v>
      </c>
      <c r="B434" s="6" t="str">
        <f>DataSet!C201</f>
        <v>Central</v>
      </c>
      <c r="C434" s="23">
        <f t="shared" si="11"/>
        <v>480000</v>
      </c>
      <c r="H434" s="13"/>
    </row>
    <row r="435" spans="1:8" x14ac:dyDescent="0.4">
      <c r="A435" s="22" t="str">
        <f>DataSet!A202</f>
        <v>CUST0201</v>
      </c>
      <c r="B435" s="6" t="str">
        <f>DataSet!C202</f>
        <v>North</v>
      </c>
      <c r="C435" s="23">
        <f t="shared" si="11"/>
        <v>500000</v>
      </c>
      <c r="H435" s="13"/>
    </row>
    <row r="436" spans="1:8" x14ac:dyDescent="0.4">
      <c r="A436" s="22" t="str">
        <f>DataSet!A203</f>
        <v>CUST0202</v>
      </c>
      <c r="B436" s="6" t="str">
        <f>DataSet!C203</f>
        <v>South</v>
      </c>
      <c r="C436" s="23">
        <f t="shared" si="11"/>
        <v>450000</v>
      </c>
      <c r="H436" s="13"/>
    </row>
    <row r="437" spans="1:8" x14ac:dyDescent="0.4">
      <c r="A437" s="22" t="str">
        <f>DataSet!A204</f>
        <v>CUST0203</v>
      </c>
      <c r="B437" s="6" t="str">
        <f>DataSet!C204</f>
        <v>East</v>
      </c>
      <c r="C437" s="23">
        <f t="shared" si="11"/>
        <v>400000</v>
      </c>
      <c r="H437" s="13"/>
    </row>
    <row r="438" spans="1:8" x14ac:dyDescent="0.4">
      <c r="A438" s="22" t="str">
        <f>DataSet!A205</f>
        <v>CUST0204</v>
      </c>
      <c r="B438" s="6" t="str">
        <f>DataSet!C205</f>
        <v>West</v>
      </c>
      <c r="C438" s="23">
        <f t="shared" si="11"/>
        <v>550000</v>
      </c>
      <c r="H438" s="13"/>
    </row>
    <row r="439" spans="1:8" x14ac:dyDescent="0.4">
      <c r="A439" s="22" t="str">
        <f>DataSet!A206</f>
        <v>CUST0205</v>
      </c>
      <c r="B439" s="6" t="str">
        <f>DataSet!C206</f>
        <v>Central</v>
      </c>
      <c r="C439" s="23">
        <f t="shared" si="11"/>
        <v>480000</v>
      </c>
      <c r="H439" s="13"/>
    </row>
    <row r="440" spans="1:8" x14ac:dyDescent="0.4">
      <c r="A440" s="22" t="str">
        <f>DataSet!A207</f>
        <v>CUST0206</v>
      </c>
      <c r="B440" s="6" t="str">
        <f>DataSet!C207</f>
        <v>North</v>
      </c>
      <c r="C440" s="23">
        <f t="shared" si="11"/>
        <v>500000</v>
      </c>
      <c r="H440" s="13"/>
    </row>
    <row r="441" spans="1:8" x14ac:dyDescent="0.4">
      <c r="A441" s="22" t="str">
        <f>DataSet!A208</f>
        <v>CUST0207</v>
      </c>
      <c r="B441" s="6" t="str">
        <f>DataSet!C208</f>
        <v>South</v>
      </c>
      <c r="C441" s="23">
        <f t="shared" si="11"/>
        <v>450000</v>
      </c>
      <c r="H441" s="13"/>
    </row>
    <row r="442" spans="1:8" x14ac:dyDescent="0.4">
      <c r="A442" s="22" t="str">
        <f>DataSet!A209</f>
        <v>CUST0208</v>
      </c>
      <c r="B442" s="6" t="str">
        <f>DataSet!C209</f>
        <v>East</v>
      </c>
      <c r="C442" s="23">
        <f t="shared" si="11"/>
        <v>400000</v>
      </c>
      <c r="H442" s="13"/>
    </row>
    <row r="443" spans="1:8" x14ac:dyDescent="0.4">
      <c r="A443" s="22" t="str">
        <f>DataSet!A210</f>
        <v>CUST0209</v>
      </c>
      <c r="B443" s="6" t="str">
        <f>DataSet!C210</f>
        <v>West</v>
      </c>
      <c r="C443" s="23">
        <f t="shared" si="11"/>
        <v>550000</v>
      </c>
      <c r="H443" s="13"/>
    </row>
    <row r="444" spans="1:8" x14ac:dyDescent="0.4">
      <c r="A444" s="22" t="str">
        <f>DataSet!A211</f>
        <v>CUST0210</v>
      </c>
      <c r="B444" s="6" t="str">
        <f>DataSet!C211</f>
        <v>Central</v>
      </c>
      <c r="C444" s="23">
        <f t="shared" si="11"/>
        <v>480000</v>
      </c>
      <c r="H444" s="13"/>
    </row>
    <row r="445" spans="1:8" x14ac:dyDescent="0.4">
      <c r="A445" s="22" t="str">
        <f>DataSet!A212</f>
        <v>CUST0211</v>
      </c>
      <c r="B445" s="6" t="str">
        <f>DataSet!C212</f>
        <v>North</v>
      </c>
      <c r="C445" s="23">
        <f t="shared" si="11"/>
        <v>500000</v>
      </c>
      <c r="H445" s="13"/>
    </row>
    <row r="446" spans="1:8" x14ac:dyDescent="0.4">
      <c r="A446" s="22" t="str">
        <f>DataSet!A213</f>
        <v>CUST0212</v>
      </c>
      <c r="B446" s="6" t="str">
        <f>DataSet!C213</f>
        <v>South</v>
      </c>
      <c r="C446" s="23">
        <f t="shared" si="11"/>
        <v>450000</v>
      </c>
      <c r="H446" s="13"/>
    </row>
    <row r="447" spans="1:8" x14ac:dyDescent="0.4">
      <c r="A447" s="22" t="str">
        <f>DataSet!A214</f>
        <v>CUST0213</v>
      </c>
      <c r="B447" s="6" t="str">
        <f>DataSet!C214</f>
        <v>East</v>
      </c>
      <c r="C447" s="23">
        <f t="shared" si="11"/>
        <v>400000</v>
      </c>
      <c r="H447" s="13"/>
    </row>
    <row r="448" spans="1:8" x14ac:dyDescent="0.4">
      <c r="A448" s="22" t="str">
        <f>DataSet!A215</f>
        <v>CUST0214</v>
      </c>
      <c r="B448" s="6" t="str">
        <f>DataSet!C215</f>
        <v>West</v>
      </c>
      <c r="C448" s="23">
        <f t="shared" si="11"/>
        <v>550000</v>
      </c>
      <c r="H448" s="13"/>
    </row>
    <row r="449" spans="1:8" x14ac:dyDescent="0.4">
      <c r="A449" s="22" t="str">
        <f>DataSet!A216</f>
        <v>CUST0215</v>
      </c>
      <c r="B449" s="6" t="str">
        <f>DataSet!C216</f>
        <v>Central</v>
      </c>
      <c r="C449" s="23">
        <f t="shared" si="11"/>
        <v>480000</v>
      </c>
      <c r="H449" s="13"/>
    </row>
    <row r="450" spans="1:8" x14ac:dyDescent="0.4">
      <c r="A450" s="22" t="str">
        <f>DataSet!A217</f>
        <v>CUST0216</v>
      </c>
      <c r="B450" s="6" t="str">
        <f>DataSet!C217</f>
        <v>North</v>
      </c>
      <c r="C450" s="23">
        <f t="shared" si="11"/>
        <v>500000</v>
      </c>
      <c r="H450" s="13"/>
    </row>
    <row r="451" spans="1:8" x14ac:dyDescent="0.4">
      <c r="A451" s="22" t="str">
        <f>DataSet!A218</f>
        <v>CUST0217</v>
      </c>
      <c r="B451" s="6" t="str">
        <f>DataSet!C218</f>
        <v>South</v>
      </c>
      <c r="C451" s="23">
        <f t="shared" si="11"/>
        <v>450000</v>
      </c>
      <c r="H451" s="13"/>
    </row>
    <row r="452" spans="1:8" x14ac:dyDescent="0.4">
      <c r="A452" s="22" t="str">
        <f>DataSet!A219</f>
        <v>CUST0218</v>
      </c>
      <c r="B452" s="6" t="str">
        <f>DataSet!C219</f>
        <v>East</v>
      </c>
      <c r="C452" s="23">
        <f t="shared" si="11"/>
        <v>400000</v>
      </c>
      <c r="H452" s="13"/>
    </row>
    <row r="453" spans="1:8" x14ac:dyDescent="0.4">
      <c r="A453" s="22" t="str">
        <f>DataSet!A220</f>
        <v>CUST0219</v>
      </c>
      <c r="B453" s="6" t="str">
        <f>DataSet!C220</f>
        <v>West</v>
      </c>
      <c r="C453" s="23">
        <f t="shared" si="11"/>
        <v>550000</v>
      </c>
      <c r="H453" s="13"/>
    </row>
    <row r="454" spans="1:8" x14ac:dyDescent="0.4">
      <c r="A454" s="22" t="str">
        <f>DataSet!A221</f>
        <v>CUST0220</v>
      </c>
      <c r="B454" s="6" t="str">
        <f>DataSet!C221</f>
        <v>Central</v>
      </c>
      <c r="C454" s="23">
        <f t="shared" si="11"/>
        <v>480000</v>
      </c>
      <c r="H454" s="13"/>
    </row>
    <row r="455" spans="1:8" x14ac:dyDescent="0.4">
      <c r="A455" s="22" t="str">
        <f>DataSet!A222</f>
        <v>CUST0221</v>
      </c>
      <c r="B455" s="6" t="str">
        <f>DataSet!C222</f>
        <v>North</v>
      </c>
      <c r="C455" s="23">
        <f t="shared" si="11"/>
        <v>500000</v>
      </c>
      <c r="H455" s="13"/>
    </row>
    <row r="456" spans="1:8" x14ac:dyDescent="0.4">
      <c r="A456" s="22" t="str">
        <f>DataSet!A223</f>
        <v>CUST0222</v>
      </c>
      <c r="B456" s="6" t="str">
        <f>DataSet!C223</f>
        <v>South</v>
      </c>
      <c r="C456" s="23">
        <f t="shared" si="11"/>
        <v>450000</v>
      </c>
      <c r="H456" s="13"/>
    </row>
    <row r="457" spans="1:8" x14ac:dyDescent="0.4">
      <c r="A457" s="22" t="str">
        <f>DataSet!A224</f>
        <v>CUST0223</v>
      </c>
      <c r="B457" s="6" t="str">
        <f>DataSet!C224</f>
        <v>East</v>
      </c>
      <c r="C457" s="23">
        <f t="shared" si="11"/>
        <v>400000</v>
      </c>
      <c r="H457" s="13"/>
    </row>
    <row r="458" spans="1:8" x14ac:dyDescent="0.4">
      <c r="A458" s="22" t="str">
        <f>DataSet!A225</f>
        <v>CUST0019</v>
      </c>
      <c r="B458" s="6" t="str">
        <f>DataSet!C225</f>
        <v>West</v>
      </c>
      <c r="C458" s="23">
        <f t="shared" si="11"/>
        <v>550000</v>
      </c>
      <c r="H458" s="13"/>
    </row>
    <row r="459" spans="1:8" x14ac:dyDescent="0.4">
      <c r="A459" s="22" t="str">
        <f>DataSet!A226</f>
        <v>CUST0044</v>
      </c>
      <c r="B459" s="6" t="str">
        <f>DataSet!C226</f>
        <v>West</v>
      </c>
      <c r="C459" s="23">
        <f t="shared" si="11"/>
        <v>550000</v>
      </c>
      <c r="H459" s="13"/>
    </row>
    <row r="460" spans="1:8" x14ac:dyDescent="0.4">
      <c r="A460" s="22" t="str">
        <f>DataSet!A227</f>
        <v>CUST0079</v>
      </c>
      <c r="B460" s="6" t="str">
        <f>DataSet!C227</f>
        <v>West</v>
      </c>
      <c r="C460" s="23">
        <f t="shared" si="11"/>
        <v>550000</v>
      </c>
      <c r="H460" s="13"/>
    </row>
    <row r="461" spans="1:8" x14ac:dyDescent="0.4">
      <c r="A461" s="22" t="str">
        <f>DataSet!A228</f>
        <v>CUST0119</v>
      </c>
      <c r="B461" s="6" t="str">
        <f>DataSet!C228</f>
        <v>West</v>
      </c>
      <c r="C461" s="23">
        <f t="shared" si="11"/>
        <v>550000</v>
      </c>
      <c r="H461" s="13"/>
    </row>
    <row r="462" spans="1:8" ht="21.6" thickBot="1" x14ac:dyDescent="0.45">
      <c r="A462" s="24" t="str">
        <f>DataSet!A229</f>
        <v>CUST0159</v>
      </c>
      <c r="B462" s="29" t="str">
        <f>DataSet!C229</f>
        <v>West</v>
      </c>
      <c r="C462" s="25">
        <f t="shared" si="11"/>
        <v>550000</v>
      </c>
      <c r="H462" s="13"/>
    </row>
    <row r="463" spans="1:8" ht="21.6" thickBot="1" x14ac:dyDescent="0.45">
      <c r="H463" s="13"/>
    </row>
    <row r="464" spans="1:8" ht="21.6" thickBot="1" x14ac:dyDescent="0.45">
      <c r="A464" s="70" t="s">
        <v>65</v>
      </c>
      <c r="B464" s="71"/>
      <c r="C464" s="71"/>
      <c r="D464" s="71"/>
      <c r="E464" s="71"/>
      <c r="F464" s="72"/>
      <c r="H464" s="13"/>
    </row>
    <row r="465" spans="1:8" ht="21.6" thickBot="1" x14ac:dyDescent="0.45">
      <c r="H465" s="13"/>
    </row>
    <row r="466" spans="1:8" x14ac:dyDescent="0.4">
      <c r="A466" s="34" t="s">
        <v>0</v>
      </c>
      <c r="B466" s="35" t="s">
        <v>24</v>
      </c>
      <c r="C466" s="36" t="s">
        <v>66</v>
      </c>
      <c r="H466" s="13"/>
    </row>
    <row r="467" spans="1:8" x14ac:dyDescent="0.4">
      <c r="A467" s="22" t="str">
        <f>DataSet!A2</f>
        <v>CUST0001</v>
      </c>
      <c r="B467" s="6">
        <f>DataSet!I2</f>
        <v>500</v>
      </c>
      <c r="C467" s="23" t="str">
        <f>IF(B467&gt;=25000,"High Value","Regular")</f>
        <v>Regular</v>
      </c>
      <c r="H467" s="13"/>
    </row>
    <row r="468" spans="1:8" x14ac:dyDescent="0.4">
      <c r="A468" s="22" t="str">
        <f>DataSet!A3</f>
        <v>CUST0002</v>
      </c>
      <c r="B468" s="6">
        <f>DataSet!I3</f>
        <v>4994.08</v>
      </c>
      <c r="C468" s="23" t="str">
        <f t="shared" ref="C468:C531" si="12">IF(B468&gt;=25000,"High Value","Regular")</f>
        <v>Regular</v>
      </c>
      <c r="H468" s="13"/>
    </row>
    <row r="469" spans="1:8" x14ac:dyDescent="0.4">
      <c r="A469" s="22" t="str">
        <f>DataSet!A4</f>
        <v>CUST0003</v>
      </c>
      <c r="B469" s="6">
        <f>DataSet!I4</f>
        <v>2941.2</v>
      </c>
      <c r="C469" s="23" t="str">
        <f t="shared" si="12"/>
        <v>Regular</v>
      </c>
      <c r="H469" s="13"/>
    </row>
    <row r="470" spans="1:8" x14ac:dyDescent="0.4">
      <c r="A470" s="22" t="str">
        <f>DataSet!A5</f>
        <v>CUST0004</v>
      </c>
      <c r="B470" s="6">
        <f>DataSet!I5</f>
        <v>9219.32</v>
      </c>
      <c r="C470" s="23" t="str">
        <f t="shared" si="12"/>
        <v>Regular</v>
      </c>
      <c r="H470" s="13"/>
    </row>
    <row r="471" spans="1:8" x14ac:dyDescent="0.4">
      <c r="A471" s="22" t="str">
        <f>DataSet!A6</f>
        <v>CUST0005</v>
      </c>
      <c r="B471" s="6">
        <f>DataSet!I6</f>
        <v>6602.4</v>
      </c>
      <c r="C471" s="23" t="str">
        <f t="shared" si="12"/>
        <v>Regular</v>
      </c>
      <c r="H471" s="13"/>
    </row>
    <row r="472" spans="1:8" x14ac:dyDescent="0.4">
      <c r="A472" s="22" t="str">
        <f>DataSet!A7</f>
        <v>CUST0006</v>
      </c>
      <c r="B472" s="6">
        <f>DataSet!I7</f>
        <v>3128.4</v>
      </c>
      <c r="C472" s="23" t="str">
        <f t="shared" si="12"/>
        <v>Regular</v>
      </c>
      <c r="H472" s="13"/>
    </row>
    <row r="473" spans="1:8" x14ac:dyDescent="0.4">
      <c r="A473" s="22" t="str">
        <f>DataSet!A8</f>
        <v>CUST0007</v>
      </c>
      <c r="B473" s="6">
        <f>DataSet!I8</f>
        <v>11237</v>
      </c>
      <c r="C473" s="23" t="str">
        <f t="shared" si="12"/>
        <v>Regular</v>
      </c>
      <c r="H473" s="13"/>
    </row>
    <row r="474" spans="1:8" x14ac:dyDescent="0.4">
      <c r="A474" s="22" t="str">
        <f>DataSet!A9</f>
        <v>CUST0008</v>
      </c>
      <c r="B474" s="6">
        <f>DataSet!I9</f>
        <v>7003.2</v>
      </c>
      <c r="C474" s="23" t="str">
        <f t="shared" si="12"/>
        <v>Regular</v>
      </c>
      <c r="H474" s="13"/>
    </row>
    <row r="475" spans="1:8" x14ac:dyDescent="0.4">
      <c r="A475" s="22" t="str">
        <f>DataSet!A10</f>
        <v>CUST0009</v>
      </c>
      <c r="B475" s="6">
        <f>DataSet!I10</f>
        <v>3192</v>
      </c>
      <c r="C475" s="23" t="str">
        <f t="shared" si="12"/>
        <v>Regular</v>
      </c>
      <c r="H475" s="13"/>
    </row>
    <row r="476" spans="1:8" x14ac:dyDescent="0.4">
      <c r="A476" s="22" t="str">
        <f>DataSet!A11</f>
        <v>CUST0010</v>
      </c>
      <c r="B476" s="6">
        <f>DataSet!I11</f>
        <v>15285.06</v>
      </c>
      <c r="C476" s="23" t="str">
        <f t="shared" si="12"/>
        <v>Regular</v>
      </c>
      <c r="H476" s="13"/>
    </row>
    <row r="477" spans="1:8" x14ac:dyDescent="0.4">
      <c r="A477" s="22" t="str">
        <f>DataSet!A12</f>
        <v>CUST0011</v>
      </c>
      <c r="B477" s="6">
        <f>DataSet!I12</f>
        <v>8882.5</v>
      </c>
      <c r="C477" s="23" t="str">
        <f t="shared" si="12"/>
        <v>Regular</v>
      </c>
      <c r="H477" s="13"/>
    </row>
    <row r="478" spans="1:8" x14ac:dyDescent="0.4">
      <c r="A478" s="22" t="str">
        <f>DataSet!A13</f>
        <v>CUST0012</v>
      </c>
      <c r="B478" s="6">
        <f>DataSet!I13</f>
        <v>1846.44</v>
      </c>
      <c r="C478" s="23" t="str">
        <f t="shared" si="12"/>
        <v>Regular</v>
      </c>
      <c r="H478" s="13"/>
    </row>
    <row r="479" spans="1:8" x14ac:dyDescent="0.4">
      <c r="A479" s="22" t="str">
        <f>DataSet!A14</f>
        <v>CUST0013</v>
      </c>
      <c r="B479" s="6">
        <f>DataSet!I14</f>
        <v>15436.8</v>
      </c>
      <c r="C479" s="23" t="str">
        <f t="shared" si="12"/>
        <v>Regular</v>
      </c>
      <c r="H479" s="13"/>
    </row>
    <row r="480" spans="1:8" x14ac:dyDescent="0.4">
      <c r="A480" s="22" t="str">
        <f>DataSet!A15</f>
        <v>CUST0014</v>
      </c>
      <c r="B480" s="6">
        <f>DataSet!I15</f>
        <v>8029.12</v>
      </c>
      <c r="C480" s="23" t="str">
        <f t="shared" si="12"/>
        <v>Regular</v>
      </c>
      <c r="H480" s="13"/>
    </row>
    <row r="481" spans="1:8" x14ac:dyDescent="0.4">
      <c r="A481" s="22" t="str">
        <f>DataSet!A16</f>
        <v>CUST0015</v>
      </c>
      <c r="B481" s="6">
        <f>DataSet!I16</f>
        <v>22608.3</v>
      </c>
      <c r="C481" s="23" t="str">
        <f t="shared" si="12"/>
        <v>Regular</v>
      </c>
      <c r="H481" s="13"/>
    </row>
    <row r="482" spans="1:8" x14ac:dyDescent="0.4">
      <c r="A482" s="22" t="str">
        <f>DataSet!A17</f>
        <v>CUST0016</v>
      </c>
      <c r="B482" s="6">
        <f>DataSet!I17</f>
        <v>14308</v>
      </c>
      <c r="C482" s="23" t="str">
        <f t="shared" si="12"/>
        <v>Regular</v>
      </c>
      <c r="H482" s="13"/>
    </row>
    <row r="483" spans="1:8" x14ac:dyDescent="0.4">
      <c r="A483" s="22" t="str">
        <f>DataSet!A18</f>
        <v>CUST0017</v>
      </c>
      <c r="B483" s="6">
        <f>DataSet!I18</f>
        <v>20406</v>
      </c>
      <c r="C483" s="23" t="str">
        <f t="shared" si="12"/>
        <v>Regular</v>
      </c>
      <c r="H483" s="13"/>
    </row>
    <row r="484" spans="1:8" x14ac:dyDescent="0.4">
      <c r="A484" s="22" t="str">
        <f>DataSet!A19</f>
        <v>CUST0018</v>
      </c>
      <c r="B484" s="6">
        <f>DataSet!I19</f>
        <v>27724.2</v>
      </c>
      <c r="C484" s="23" t="str">
        <f t="shared" si="12"/>
        <v>High Value</v>
      </c>
      <c r="H484" s="13"/>
    </row>
    <row r="485" spans="1:8" x14ac:dyDescent="0.4">
      <c r="A485" s="22" t="str">
        <f>DataSet!A20</f>
        <v>CUST0019</v>
      </c>
      <c r="B485" s="6">
        <f>DataSet!I20</f>
        <v>16906.2</v>
      </c>
      <c r="C485" s="23" t="str">
        <f t="shared" si="12"/>
        <v>Regular</v>
      </c>
      <c r="H485" s="13"/>
    </row>
    <row r="486" spans="1:8" x14ac:dyDescent="0.4">
      <c r="A486" s="22" t="str">
        <f>DataSet!A21</f>
        <v>CUST0020</v>
      </c>
      <c r="B486" s="6">
        <f>DataSet!I21</f>
        <v>5709.52</v>
      </c>
      <c r="C486" s="23" t="str">
        <f t="shared" si="12"/>
        <v>Regular</v>
      </c>
      <c r="H486" s="13"/>
    </row>
    <row r="487" spans="1:8" x14ac:dyDescent="0.4">
      <c r="A487" s="22" t="str">
        <f>DataSet!A22</f>
        <v>CUST0021</v>
      </c>
      <c r="B487" s="6">
        <f>DataSet!I22</f>
        <v>26244</v>
      </c>
      <c r="C487" s="23" t="str">
        <f t="shared" si="12"/>
        <v>High Value</v>
      </c>
      <c r="H487" s="13"/>
    </row>
    <row r="488" spans="1:8" x14ac:dyDescent="0.4">
      <c r="A488" s="22" t="str">
        <f>DataSet!A23</f>
        <v>CUST0022</v>
      </c>
      <c r="B488" s="6">
        <f>DataSet!I23</f>
        <v>14858.8</v>
      </c>
      <c r="C488" s="23" t="str">
        <f t="shared" si="12"/>
        <v>Regular</v>
      </c>
      <c r="H488" s="13"/>
    </row>
    <row r="489" spans="1:8" x14ac:dyDescent="0.4">
      <c r="A489" s="22" t="str">
        <f>DataSet!A24</f>
        <v>CUST0023</v>
      </c>
      <c r="B489" s="6">
        <f>DataSet!I24</f>
        <v>2986.9</v>
      </c>
      <c r="C489" s="23" t="str">
        <f t="shared" si="12"/>
        <v>Regular</v>
      </c>
      <c r="H489" s="13"/>
    </row>
    <row r="490" spans="1:8" x14ac:dyDescent="0.4">
      <c r="A490" s="22" t="str">
        <f>DataSet!A25</f>
        <v>CUST0024</v>
      </c>
      <c r="B490" s="6">
        <f>DataSet!I25</f>
        <v>26287.200000000001</v>
      </c>
      <c r="C490" s="23" t="str">
        <f t="shared" si="12"/>
        <v>High Value</v>
      </c>
      <c r="H490" s="13"/>
    </row>
    <row r="491" spans="1:8" x14ac:dyDescent="0.4">
      <c r="A491" s="22" t="str">
        <f>DataSet!A26</f>
        <v>CUST0025</v>
      </c>
      <c r="B491" s="6">
        <f>DataSet!I26</f>
        <v>15152</v>
      </c>
      <c r="C491" s="23" t="str">
        <f t="shared" si="12"/>
        <v>Regular</v>
      </c>
      <c r="H491" s="13"/>
    </row>
    <row r="492" spans="1:8" x14ac:dyDescent="0.4">
      <c r="A492" s="22" t="str">
        <f>DataSet!A27</f>
        <v>CUST0026</v>
      </c>
      <c r="B492" s="6">
        <f>DataSet!I27</f>
        <v>42311.5</v>
      </c>
      <c r="C492" s="23" t="str">
        <f t="shared" si="12"/>
        <v>High Value</v>
      </c>
      <c r="H492" s="13"/>
    </row>
    <row r="493" spans="1:8" x14ac:dyDescent="0.4">
      <c r="A493" s="22" t="str">
        <f>DataSet!A28</f>
        <v>CUST0027</v>
      </c>
      <c r="B493" s="6">
        <f>DataSet!I28</f>
        <v>27012.3</v>
      </c>
      <c r="C493" s="23" t="str">
        <f t="shared" si="12"/>
        <v>High Value</v>
      </c>
      <c r="H493" s="13"/>
    </row>
    <row r="494" spans="1:8" x14ac:dyDescent="0.4">
      <c r="A494" s="22" t="str">
        <f>DataSet!A29</f>
        <v>CUST0028</v>
      </c>
      <c r="B494" s="6">
        <f>DataSet!I29</f>
        <v>11589.24</v>
      </c>
      <c r="C494" s="23" t="str">
        <f t="shared" si="12"/>
        <v>Regular</v>
      </c>
      <c r="H494" s="13"/>
    </row>
    <row r="495" spans="1:8" x14ac:dyDescent="0.4">
      <c r="A495" s="22" t="str">
        <f>DataSet!A30</f>
        <v>CUST0029</v>
      </c>
      <c r="B495" s="6">
        <f>DataSet!I30</f>
        <v>39024</v>
      </c>
      <c r="C495" s="23" t="str">
        <f t="shared" si="12"/>
        <v>High Value</v>
      </c>
      <c r="H495" s="13"/>
    </row>
    <row r="496" spans="1:8" x14ac:dyDescent="0.4">
      <c r="A496" s="22" t="str">
        <f>DataSet!A31</f>
        <v>CUST0030</v>
      </c>
      <c r="B496" s="6">
        <f>DataSet!I31</f>
        <v>23617.439999999999</v>
      </c>
      <c r="C496" s="23" t="str">
        <f t="shared" si="12"/>
        <v>Regular</v>
      </c>
      <c r="H496" s="13"/>
    </row>
    <row r="497" spans="1:8" x14ac:dyDescent="0.4">
      <c r="A497" s="22" t="str">
        <f>DataSet!A32</f>
        <v>CUST0031</v>
      </c>
      <c r="B497" s="6">
        <f>DataSet!I32</f>
        <v>7837</v>
      </c>
      <c r="C497" s="23" t="str">
        <f t="shared" si="12"/>
        <v>Regular</v>
      </c>
      <c r="H497" s="13"/>
    </row>
    <row r="498" spans="1:8" x14ac:dyDescent="0.4">
      <c r="A498" s="22" t="str">
        <f>DataSet!A33</f>
        <v>CUST0032</v>
      </c>
      <c r="B498" s="6">
        <f>DataSet!I33</f>
        <v>34178.400000000001</v>
      </c>
      <c r="C498" s="23" t="str">
        <f t="shared" si="12"/>
        <v>High Value</v>
      </c>
      <c r="H498" s="13"/>
    </row>
    <row r="499" spans="1:8" x14ac:dyDescent="0.4">
      <c r="A499" s="22" t="str">
        <f>DataSet!A34</f>
        <v>CUST0033</v>
      </c>
      <c r="B499" s="6">
        <f>DataSet!I34</f>
        <v>24420</v>
      </c>
      <c r="C499" s="23" t="str">
        <f t="shared" si="12"/>
        <v>Regular</v>
      </c>
      <c r="H499" s="13"/>
    </row>
    <row r="500" spans="1:8" x14ac:dyDescent="0.4">
      <c r="A500" s="22" t="str">
        <f>DataSet!A35</f>
        <v>CUST0034</v>
      </c>
      <c r="B500" s="6">
        <f>DataSet!I35</f>
        <v>4920.58</v>
      </c>
      <c r="C500" s="23" t="str">
        <f t="shared" si="12"/>
        <v>Regular</v>
      </c>
      <c r="H500" s="13"/>
    </row>
    <row r="501" spans="1:8" x14ac:dyDescent="0.4">
      <c r="A501" s="22" t="str">
        <f>DataSet!A36</f>
        <v>CUST0035</v>
      </c>
      <c r="B501" s="6">
        <f>DataSet!I36</f>
        <v>39200.800000000003</v>
      </c>
      <c r="C501" s="23" t="str">
        <f t="shared" si="12"/>
        <v>High Value</v>
      </c>
      <c r="H501" s="13"/>
    </row>
    <row r="502" spans="1:8" x14ac:dyDescent="0.4">
      <c r="A502" s="22" t="str">
        <f>DataSet!A37</f>
        <v>CUST0036</v>
      </c>
      <c r="B502" s="6">
        <f>DataSet!I37</f>
        <v>19485.599999999999</v>
      </c>
      <c r="C502" s="23" t="str">
        <f t="shared" si="12"/>
        <v>Regular</v>
      </c>
      <c r="H502" s="13"/>
    </row>
    <row r="503" spans="1:8" x14ac:dyDescent="0.4">
      <c r="A503" s="22" t="str">
        <f>DataSet!A38</f>
        <v>CUST0037</v>
      </c>
      <c r="B503" s="6">
        <f>DataSet!I38</f>
        <v>53776.800000000003</v>
      </c>
      <c r="C503" s="23" t="str">
        <f t="shared" si="12"/>
        <v>High Value</v>
      </c>
      <c r="H503" s="13"/>
    </row>
    <row r="504" spans="1:8" x14ac:dyDescent="0.4">
      <c r="A504" s="22" t="str">
        <f>DataSet!A39</f>
        <v>CUST0038</v>
      </c>
      <c r="B504" s="6">
        <f>DataSet!I39</f>
        <v>34305.040000000001</v>
      </c>
      <c r="C504" s="23" t="str">
        <f t="shared" si="12"/>
        <v>High Value</v>
      </c>
      <c r="H504" s="13"/>
    </row>
    <row r="505" spans="1:8" x14ac:dyDescent="0.4">
      <c r="A505" s="22" t="str">
        <f>DataSet!A40</f>
        <v>CUST0039</v>
      </c>
      <c r="B505" s="6">
        <f>DataSet!I40</f>
        <v>14550.3</v>
      </c>
      <c r="C505" s="23" t="str">
        <f t="shared" si="12"/>
        <v>Regular</v>
      </c>
      <c r="H505" s="13"/>
    </row>
    <row r="506" spans="1:8" x14ac:dyDescent="0.4">
      <c r="A506" s="22" t="str">
        <f>DataSet!A41</f>
        <v>CUST0040</v>
      </c>
      <c r="B506" s="6">
        <f>DataSet!I41</f>
        <v>46744</v>
      </c>
      <c r="C506" s="23" t="str">
        <f t="shared" si="12"/>
        <v>High Value</v>
      </c>
      <c r="H506" s="13"/>
    </row>
    <row r="507" spans="1:8" x14ac:dyDescent="0.4">
      <c r="A507" s="22" t="str">
        <f>DataSet!A42</f>
        <v>CUST0041</v>
      </c>
      <c r="B507" s="6">
        <f>DataSet!I42</f>
        <v>35880</v>
      </c>
      <c r="C507" s="23" t="str">
        <f t="shared" si="12"/>
        <v>High Value</v>
      </c>
      <c r="H507" s="13"/>
    </row>
    <row r="508" spans="1:8" x14ac:dyDescent="0.4">
      <c r="A508" s="22" t="str">
        <f>DataSet!A43</f>
        <v>CUST0042</v>
      </c>
      <c r="B508" s="6">
        <f>DataSet!I43</f>
        <v>11989.32</v>
      </c>
      <c r="C508" s="23" t="str">
        <f t="shared" si="12"/>
        <v>Regular</v>
      </c>
      <c r="H508" s="13"/>
    </row>
    <row r="509" spans="1:8" x14ac:dyDescent="0.4">
      <c r="A509" s="22" t="str">
        <f>DataSet!A44</f>
        <v>CUST0043</v>
      </c>
      <c r="B509" s="6">
        <f>DataSet!I44</f>
        <v>53471.7</v>
      </c>
      <c r="C509" s="23" t="str">
        <f t="shared" si="12"/>
        <v>High Value</v>
      </c>
      <c r="H509" s="13"/>
    </row>
    <row r="510" spans="1:8" x14ac:dyDescent="0.4">
      <c r="A510" s="22" t="str">
        <f>DataSet!A45</f>
        <v>CUST0044</v>
      </c>
      <c r="B510" s="6">
        <f>DataSet!I45</f>
        <v>29398.6</v>
      </c>
      <c r="C510" s="23" t="str">
        <f t="shared" si="12"/>
        <v>High Value</v>
      </c>
      <c r="H510" s="13"/>
    </row>
    <row r="511" spans="1:8" x14ac:dyDescent="0.4">
      <c r="A511" s="22" t="str">
        <f>DataSet!A46</f>
        <v>CUST0045</v>
      </c>
      <c r="B511" s="6">
        <f>DataSet!I46</f>
        <v>5875.2</v>
      </c>
      <c r="C511" s="23" t="str">
        <f t="shared" si="12"/>
        <v>Regular</v>
      </c>
      <c r="H511" s="13"/>
    </row>
    <row r="512" spans="1:8" x14ac:dyDescent="0.4">
      <c r="A512" s="22" t="str">
        <f>DataSet!A47</f>
        <v>CUST0046</v>
      </c>
      <c r="B512" s="6">
        <f>DataSet!I47</f>
        <v>46921.599999999999</v>
      </c>
      <c r="C512" s="23" t="str">
        <f t="shared" si="12"/>
        <v>High Value</v>
      </c>
      <c r="H512" s="13"/>
    </row>
    <row r="513" spans="1:8" x14ac:dyDescent="0.4">
      <c r="A513" s="22" t="str">
        <f>DataSet!A48</f>
        <v>CUST0047</v>
      </c>
      <c r="B513" s="6">
        <f>DataSet!I48</f>
        <v>23126.799999999999</v>
      </c>
      <c r="C513" s="23" t="str">
        <f t="shared" si="12"/>
        <v>Regular</v>
      </c>
      <c r="H513" s="13"/>
    </row>
    <row r="514" spans="1:8" x14ac:dyDescent="0.4">
      <c r="A514" s="22" t="str">
        <f>DataSet!A49</f>
        <v>CUST0048</v>
      </c>
      <c r="B514" s="6">
        <f>DataSet!I49</f>
        <v>61063.199999999997</v>
      </c>
      <c r="C514" s="23" t="str">
        <f t="shared" si="12"/>
        <v>High Value</v>
      </c>
      <c r="H514" s="13"/>
    </row>
    <row r="515" spans="1:8" x14ac:dyDescent="0.4">
      <c r="A515" s="22" t="str">
        <f>DataSet!A50</f>
        <v>CUST0049</v>
      </c>
      <c r="B515" s="6">
        <f>DataSet!I50</f>
        <v>49532</v>
      </c>
      <c r="C515" s="23" t="str">
        <f t="shared" si="12"/>
        <v>High Value</v>
      </c>
      <c r="H515" s="13"/>
    </row>
    <row r="516" spans="1:8" x14ac:dyDescent="0.4">
      <c r="A516" s="22" t="str">
        <f>DataSet!A51</f>
        <v>CUST0050</v>
      </c>
      <c r="B516" s="6">
        <f>DataSet!I51</f>
        <v>21206.22</v>
      </c>
      <c r="C516" s="23" t="str">
        <f t="shared" si="12"/>
        <v>Regular</v>
      </c>
      <c r="H516" s="13"/>
    </row>
    <row r="517" spans="1:8" x14ac:dyDescent="0.4">
      <c r="A517" s="22" t="str">
        <f>DataSet!A52</f>
        <v>CUST0051</v>
      </c>
      <c r="B517" s="6">
        <f>DataSet!I52</f>
        <v>69825</v>
      </c>
      <c r="C517" s="23" t="str">
        <f t="shared" si="12"/>
        <v>High Value</v>
      </c>
      <c r="H517" s="13"/>
    </row>
    <row r="518" spans="1:8" x14ac:dyDescent="0.4">
      <c r="A518" s="22" t="str">
        <f>DataSet!A53</f>
        <v>CUST0052</v>
      </c>
      <c r="B518" s="6">
        <f>DataSet!I53</f>
        <v>41328.239999999998</v>
      </c>
      <c r="C518" s="23" t="str">
        <f t="shared" si="12"/>
        <v>High Value</v>
      </c>
      <c r="H518" s="13"/>
    </row>
    <row r="519" spans="1:8" x14ac:dyDescent="0.4">
      <c r="A519" s="22" t="str">
        <f>DataSet!A54</f>
        <v>CUST0053</v>
      </c>
      <c r="B519" s="6">
        <f>DataSet!I54</f>
        <v>13723.2</v>
      </c>
      <c r="C519" s="23" t="str">
        <f t="shared" si="12"/>
        <v>Regular</v>
      </c>
      <c r="H519" s="13"/>
    </row>
    <row r="520" spans="1:8" x14ac:dyDescent="0.4">
      <c r="A520" s="22" t="str">
        <f>DataSet!A55</f>
        <v>CUST0054</v>
      </c>
      <c r="B520" s="6">
        <f>DataSet!I55</f>
        <v>61467.12</v>
      </c>
      <c r="C520" s="23" t="str">
        <f t="shared" si="12"/>
        <v>High Value</v>
      </c>
      <c r="H520" s="13"/>
    </row>
    <row r="521" spans="1:8" x14ac:dyDescent="0.4">
      <c r="A521" s="22" t="str">
        <f>DataSet!A56</f>
        <v>CUST0055</v>
      </c>
      <c r="B521" s="6">
        <f>DataSet!I56</f>
        <v>33566.5</v>
      </c>
      <c r="C521" s="23" t="str">
        <f t="shared" si="12"/>
        <v>High Value</v>
      </c>
      <c r="H521" s="13"/>
    </row>
    <row r="522" spans="1:8" x14ac:dyDescent="0.4">
      <c r="A522" s="22" t="str">
        <f>DataSet!A57</f>
        <v>CUST0056</v>
      </c>
      <c r="B522" s="6">
        <f>DataSet!I57</f>
        <v>6428</v>
      </c>
      <c r="C522" s="23" t="str">
        <f t="shared" si="12"/>
        <v>Regular</v>
      </c>
      <c r="H522" s="13"/>
    </row>
    <row r="523" spans="1:8" x14ac:dyDescent="0.4">
      <c r="A523" s="22" t="str">
        <f>DataSet!A58</f>
        <v>CUST0057</v>
      </c>
      <c r="B523" s="6">
        <f>DataSet!I58</f>
        <v>65376</v>
      </c>
      <c r="C523" s="23" t="str">
        <f t="shared" si="12"/>
        <v>High Value</v>
      </c>
      <c r="H523" s="13"/>
    </row>
    <row r="524" spans="1:8" x14ac:dyDescent="0.4">
      <c r="A524" s="22" t="str">
        <f>DataSet!A59</f>
        <v>CUST0058</v>
      </c>
      <c r="B524" s="6">
        <f>DataSet!I59</f>
        <v>32571.279999999999</v>
      </c>
      <c r="C524" s="23" t="str">
        <f t="shared" si="12"/>
        <v>High Value</v>
      </c>
      <c r="H524" s="13"/>
    </row>
    <row r="525" spans="1:8" x14ac:dyDescent="0.4">
      <c r="A525" s="22" t="str">
        <f>DataSet!A60</f>
        <v>CUST0059</v>
      </c>
      <c r="B525" s="6">
        <f>DataSet!I60</f>
        <v>88260.7</v>
      </c>
      <c r="C525" s="23" t="str">
        <f t="shared" si="12"/>
        <v>High Value</v>
      </c>
      <c r="H525" s="13"/>
    </row>
    <row r="526" spans="1:8" x14ac:dyDescent="0.4">
      <c r="A526" s="22" t="str">
        <f>DataSet!A61</f>
        <v>CUST0060</v>
      </c>
      <c r="B526" s="6">
        <f>DataSet!I61</f>
        <v>55274.52</v>
      </c>
      <c r="C526" s="23" t="str">
        <f t="shared" si="12"/>
        <v>High Value</v>
      </c>
      <c r="H526" s="13"/>
    </row>
    <row r="527" spans="1:8" x14ac:dyDescent="0.4">
      <c r="A527" s="22" t="str">
        <f>DataSet!A62</f>
        <v>CUST0061</v>
      </c>
      <c r="B527" s="6">
        <f>DataSet!I62</f>
        <v>23544</v>
      </c>
      <c r="C527" s="23" t="str">
        <f t="shared" si="12"/>
        <v>Regular</v>
      </c>
      <c r="H527" s="13"/>
    </row>
    <row r="528" spans="1:8" x14ac:dyDescent="0.4">
      <c r="A528" s="22" t="str">
        <f>DataSet!A63</f>
        <v>CUST0062</v>
      </c>
      <c r="B528" s="6">
        <f>DataSet!I63</f>
        <v>77941.600000000006</v>
      </c>
      <c r="C528" s="23" t="str">
        <f t="shared" si="12"/>
        <v>High Value</v>
      </c>
      <c r="H528" s="13"/>
    </row>
    <row r="529" spans="1:8" x14ac:dyDescent="0.4">
      <c r="A529" s="22" t="str">
        <f>DataSet!A64</f>
        <v>CUST0063</v>
      </c>
      <c r="B529" s="6">
        <f>DataSet!I64</f>
        <v>45869.4</v>
      </c>
      <c r="C529" s="23" t="str">
        <f t="shared" si="12"/>
        <v>High Value</v>
      </c>
      <c r="H529" s="13"/>
    </row>
    <row r="530" spans="1:8" x14ac:dyDescent="0.4">
      <c r="A530" s="22" t="str">
        <f>DataSet!A65</f>
        <v>CUST0064</v>
      </c>
      <c r="B530" s="6">
        <f>DataSet!I65</f>
        <v>14609.6</v>
      </c>
      <c r="C530" s="23" t="str">
        <f t="shared" si="12"/>
        <v>Regular</v>
      </c>
      <c r="H530" s="13"/>
    </row>
    <row r="531" spans="1:8" x14ac:dyDescent="0.4">
      <c r="A531" s="22" t="str">
        <f>DataSet!A66</f>
        <v>CUST0065</v>
      </c>
      <c r="B531" s="6">
        <f>DataSet!I66</f>
        <v>83412</v>
      </c>
      <c r="C531" s="23" t="str">
        <f t="shared" si="12"/>
        <v>High Value</v>
      </c>
      <c r="H531" s="13"/>
    </row>
    <row r="532" spans="1:8" x14ac:dyDescent="0.4">
      <c r="A532" s="22" t="str">
        <f>DataSet!A67</f>
        <v>CUST0066</v>
      </c>
      <c r="B532" s="6">
        <f>DataSet!I67</f>
        <v>46084.5</v>
      </c>
      <c r="C532" s="23" t="str">
        <f t="shared" ref="C532:C595" si="13">IF(B532&gt;=25000,"High Value","Regular")</f>
        <v>High Value</v>
      </c>
      <c r="H532" s="13"/>
    </row>
    <row r="533" spans="1:8" x14ac:dyDescent="0.4">
      <c r="A533" s="22" t="str">
        <f>DataSet!A68</f>
        <v>CUST0067</v>
      </c>
      <c r="B533" s="6">
        <f>DataSet!I68</f>
        <v>9064.9</v>
      </c>
      <c r="C533" s="23" t="str">
        <f t="shared" si="13"/>
        <v>Regular</v>
      </c>
      <c r="H533" s="13"/>
    </row>
    <row r="534" spans="1:8" x14ac:dyDescent="0.4">
      <c r="A534" s="22" t="str">
        <f>DataSet!A69</f>
        <v>CUST0068</v>
      </c>
      <c r="B534" s="6">
        <f>DataSet!I69</f>
        <v>71237.440000000002</v>
      </c>
      <c r="C534" s="23" t="str">
        <f t="shared" si="13"/>
        <v>High Value</v>
      </c>
      <c r="H534" s="13"/>
    </row>
    <row r="535" spans="1:8" x14ac:dyDescent="0.4">
      <c r="A535" s="22" t="str">
        <f>DataSet!A70</f>
        <v>CUST0069</v>
      </c>
      <c r="B535" s="6">
        <f>DataSet!I70</f>
        <v>35337.599999999999</v>
      </c>
      <c r="C535" s="23" t="str">
        <f t="shared" si="13"/>
        <v>High Value</v>
      </c>
      <c r="H535" s="13"/>
    </row>
    <row r="536" spans="1:8" x14ac:dyDescent="0.4">
      <c r="A536" s="22" t="str">
        <f>DataSet!A71</f>
        <v>CUST0070</v>
      </c>
      <c r="B536" s="6">
        <f>DataSet!I71</f>
        <v>96345.04</v>
      </c>
      <c r="C536" s="23" t="str">
        <f t="shared" si="13"/>
        <v>High Value</v>
      </c>
      <c r="H536" s="13"/>
    </row>
    <row r="537" spans="1:8" x14ac:dyDescent="0.4">
      <c r="A537" s="22" t="str">
        <f>DataSet!A72</f>
        <v>CUST0071</v>
      </c>
      <c r="B537" s="6">
        <f>DataSet!I72</f>
        <v>60035.5</v>
      </c>
      <c r="C537" s="23" t="str">
        <f t="shared" si="13"/>
        <v>High Value</v>
      </c>
      <c r="H537" s="13"/>
    </row>
    <row r="538" spans="1:8" x14ac:dyDescent="0.4">
      <c r="A538" s="22" t="str">
        <f>DataSet!A73</f>
        <v>CUST0072</v>
      </c>
      <c r="B538" s="6">
        <f>DataSet!I73</f>
        <v>24544.799999999999</v>
      </c>
      <c r="C538" s="23" t="str">
        <f t="shared" si="13"/>
        <v>Regular</v>
      </c>
      <c r="H538" s="13"/>
    </row>
    <row r="539" spans="1:8" x14ac:dyDescent="0.4">
      <c r="A539" s="22" t="str">
        <f>DataSet!A74</f>
        <v>CUST0073</v>
      </c>
      <c r="B539" s="6">
        <f>DataSet!I74</f>
        <v>103640</v>
      </c>
      <c r="C539" s="23" t="str">
        <f t="shared" si="13"/>
        <v>High Value</v>
      </c>
      <c r="H539" s="13"/>
    </row>
    <row r="540" spans="1:8" x14ac:dyDescent="0.4">
      <c r="A540" s="22" t="str">
        <f>DataSet!A75</f>
        <v>CUST0074</v>
      </c>
      <c r="B540" s="6">
        <f>DataSet!I75</f>
        <v>61745.88</v>
      </c>
      <c r="C540" s="23" t="str">
        <f t="shared" si="13"/>
        <v>High Value</v>
      </c>
      <c r="H540" s="13"/>
    </row>
    <row r="541" spans="1:8" x14ac:dyDescent="0.4">
      <c r="A541" s="22" t="str">
        <f>DataSet!A76</f>
        <v>CUST0075</v>
      </c>
      <c r="B541" s="6">
        <f>DataSet!I76</f>
        <v>20212.2</v>
      </c>
      <c r="C541" s="23" t="str">
        <f t="shared" si="13"/>
        <v>Regular</v>
      </c>
      <c r="H541" s="13"/>
    </row>
    <row r="542" spans="1:8" x14ac:dyDescent="0.4">
      <c r="A542" s="22" t="str">
        <f>DataSet!A77</f>
        <v>CUST0076</v>
      </c>
      <c r="B542" s="6">
        <f>DataSet!I77</f>
        <v>123247.8</v>
      </c>
      <c r="C542" s="23" t="str">
        <f t="shared" si="13"/>
        <v>High Value</v>
      </c>
      <c r="H542" s="13"/>
    </row>
    <row r="543" spans="1:8" x14ac:dyDescent="0.4">
      <c r="A543" s="22" t="str">
        <f>DataSet!A78</f>
        <v>CUST0077</v>
      </c>
      <c r="B543" s="6">
        <f>DataSet!I78</f>
        <v>49104</v>
      </c>
      <c r="C543" s="23" t="str">
        <f t="shared" si="13"/>
        <v>High Value</v>
      </c>
      <c r="H543" s="13"/>
    </row>
    <row r="544" spans="1:8" x14ac:dyDescent="0.4">
      <c r="A544" s="22" t="str">
        <f>DataSet!A79</f>
        <v>CUST0078</v>
      </c>
      <c r="B544" s="6">
        <f>DataSet!I79</f>
        <v>9723.1200000000008</v>
      </c>
      <c r="C544" s="23" t="str">
        <f t="shared" si="13"/>
        <v>Regular</v>
      </c>
      <c r="H544" s="13"/>
    </row>
    <row r="545" spans="1:8" x14ac:dyDescent="0.4">
      <c r="A545" s="22" t="str">
        <f>DataSet!A80</f>
        <v>CUST0079</v>
      </c>
      <c r="B545" s="6">
        <f>DataSet!I80</f>
        <v>76064.800000000003</v>
      </c>
      <c r="C545" s="23" t="str">
        <f t="shared" si="13"/>
        <v>High Value</v>
      </c>
      <c r="H545" s="13"/>
    </row>
    <row r="546" spans="1:8" x14ac:dyDescent="0.4">
      <c r="A546" s="22" t="str">
        <f>DataSet!A81</f>
        <v>CUST0080</v>
      </c>
      <c r="B546" s="6">
        <f>DataSet!I81</f>
        <v>36233.599999999999</v>
      </c>
      <c r="C546" s="23" t="str">
        <f t="shared" si="13"/>
        <v>High Value</v>
      </c>
      <c r="H546" s="13"/>
    </row>
    <row r="547" spans="1:8" x14ac:dyDescent="0.4">
      <c r="A547" s="22" t="str">
        <f>DataSet!A82</f>
        <v>CUST0081</v>
      </c>
      <c r="B547" s="6">
        <f>DataSet!I82</f>
        <v>126060</v>
      </c>
      <c r="C547" s="23" t="str">
        <f t="shared" si="13"/>
        <v>High Value</v>
      </c>
      <c r="H547" s="13"/>
    </row>
    <row r="548" spans="1:8" x14ac:dyDescent="0.4">
      <c r="A548" s="22" t="str">
        <f>DataSet!A83</f>
        <v>CUST0082</v>
      </c>
      <c r="B548" s="6">
        <f>DataSet!I83</f>
        <v>79555.42</v>
      </c>
      <c r="C548" s="23" t="str">
        <f t="shared" si="13"/>
        <v>High Value</v>
      </c>
      <c r="H548" s="13"/>
    </row>
    <row r="549" spans="1:8" x14ac:dyDescent="0.4">
      <c r="A549" s="22" t="str">
        <f>DataSet!A84</f>
        <v>CUST0083</v>
      </c>
      <c r="B549" s="6">
        <f>DataSet!I84</f>
        <v>44589.2</v>
      </c>
      <c r="C549" s="23" t="str">
        <f t="shared" si="13"/>
        <v>High Value</v>
      </c>
      <c r="H549" s="13"/>
    </row>
    <row r="550" spans="1:8" x14ac:dyDescent="0.4">
      <c r="A550" s="22" t="str">
        <f>DataSet!A85</f>
        <v>CUST0084</v>
      </c>
      <c r="B550" s="6">
        <f>DataSet!I85</f>
        <v>109213.2</v>
      </c>
      <c r="C550" s="23" t="str">
        <f t="shared" si="13"/>
        <v>High Value</v>
      </c>
      <c r="H550" s="13"/>
    </row>
    <row r="551" spans="1:8" x14ac:dyDescent="0.4">
      <c r="A551" s="22" t="str">
        <f>DataSet!A86</f>
        <v>CUST0085</v>
      </c>
      <c r="B551" s="6">
        <f>DataSet!I86</f>
        <v>68445.600000000006</v>
      </c>
      <c r="C551" s="23" t="str">
        <f t="shared" si="13"/>
        <v>High Value</v>
      </c>
      <c r="H551" s="13"/>
    </row>
    <row r="552" spans="1:8" x14ac:dyDescent="0.4">
      <c r="A552" s="22" t="str">
        <f>DataSet!A87</f>
        <v>CUST0086</v>
      </c>
      <c r="B552" s="6">
        <f>DataSet!I87</f>
        <v>21375.200000000001</v>
      </c>
      <c r="C552" s="23" t="str">
        <f t="shared" si="13"/>
        <v>Regular</v>
      </c>
      <c r="H552" s="13"/>
    </row>
    <row r="553" spans="1:8" x14ac:dyDescent="0.4">
      <c r="A553" s="22" t="str">
        <f>DataSet!A88</f>
        <v>CUST0087</v>
      </c>
      <c r="B553" s="6">
        <f>DataSet!I88</f>
        <v>93957.3</v>
      </c>
      <c r="C553" s="23" t="str">
        <f t="shared" si="13"/>
        <v>High Value</v>
      </c>
      <c r="H553" s="13"/>
    </row>
    <row r="554" spans="1:8" x14ac:dyDescent="0.4">
      <c r="A554" s="22" t="str">
        <f>DataSet!A89</f>
        <v>CUST0088</v>
      </c>
      <c r="B554" s="6">
        <f>DataSet!I89</f>
        <v>49676</v>
      </c>
      <c r="C554" s="23" t="str">
        <f t="shared" si="13"/>
        <v>High Value</v>
      </c>
      <c r="H554" s="13"/>
    </row>
    <row r="555" spans="1:8" x14ac:dyDescent="0.4">
      <c r="A555" s="22" t="str">
        <f>DataSet!A90</f>
        <v>CUST0089</v>
      </c>
      <c r="B555" s="6">
        <f>DataSet!I90</f>
        <v>12556</v>
      </c>
      <c r="C555" s="23" t="str">
        <f t="shared" si="13"/>
        <v>Regular</v>
      </c>
      <c r="H555" s="13"/>
    </row>
    <row r="556" spans="1:8" x14ac:dyDescent="0.4">
      <c r="A556" s="22" t="str">
        <f>DataSet!A91</f>
        <v>CUST0090</v>
      </c>
      <c r="B556" s="6">
        <f>DataSet!I91</f>
        <v>99513.12</v>
      </c>
      <c r="C556" s="23" t="str">
        <f t="shared" si="13"/>
        <v>High Value</v>
      </c>
      <c r="H556" s="13"/>
    </row>
    <row r="557" spans="1:8" x14ac:dyDescent="0.4">
      <c r="A557" s="22" t="str">
        <f>DataSet!A92</f>
        <v>CUST0091</v>
      </c>
      <c r="B557" s="6">
        <f>DataSet!I92</f>
        <v>48754</v>
      </c>
      <c r="C557" s="23" t="str">
        <f t="shared" si="13"/>
        <v>High Value</v>
      </c>
      <c r="H557" s="13"/>
    </row>
    <row r="558" spans="1:8" x14ac:dyDescent="0.4">
      <c r="A558" s="22" t="str">
        <f>DataSet!A93</f>
        <v>CUST0092</v>
      </c>
      <c r="B558" s="6">
        <f>DataSet!I93</f>
        <v>131226.04</v>
      </c>
      <c r="C558" s="23" t="str">
        <f t="shared" si="13"/>
        <v>High Value</v>
      </c>
      <c r="H558" s="13"/>
    </row>
    <row r="559" spans="1:8" x14ac:dyDescent="0.4">
      <c r="A559" s="22" t="str">
        <f>DataSet!A94</f>
        <v>CUST0093</v>
      </c>
      <c r="B559" s="6">
        <f>DataSet!I94</f>
        <v>82555.199999999997</v>
      </c>
      <c r="C559" s="23" t="str">
        <f t="shared" si="13"/>
        <v>High Value</v>
      </c>
      <c r="H559" s="13"/>
    </row>
    <row r="560" spans="1:8" x14ac:dyDescent="0.4">
      <c r="A560" s="22" t="str">
        <f>DataSet!A95</f>
        <v>CUST0094</v>
      </c>
      <c r="B560" s="6">
        <f>DataSet!I95</f>
        <v>34956.239999999998</v>
      </c>
      <c r="C560" s="23" t="str">
        <f t="shared" si="13"/>
        <v>High Value</v>
      </c>
      <c r="H560" s="13"/>
    </row>
    <row r="561" spans="1:8" x14ac:dyDescent="0.4">
      <c r="A561" s="22" t="str">
        <f>DataSet!A96</f>
        <v>CUST0095</v>
      </c>
      <c r="B561" s="6">
        <f>DataSet!I96</f>
        <v>113713</v>
      </c>
      <c r="C561" s="23" t="str">
        <f t="shared" si="13"/>
        <v>High Value</v>
      </c>
      <c r="H561" s="13"/>
    </row>
    <row r="562" spans="1:8" x14ac:dyDescent="0.4">
      <c r="A562" s="22" t="str">
        <f>DataSet!A97</f>
        <v>CUST0096</v>
      </c>
      <c r="B562" s="6">
        <f>DataSet!I97</f>
        <v>64872</v>
      </c>
      <c r="C562" s="23" t="str">
        <f t="shared" si="13"/>
        <v>High Value</v>
      </c>
      <c r="H562" s="13"/>
    </row>
    <row r="563" spans="1:8" x14ac:dyDescent="0.4">
      <c r="A563" s="22" t="str">
        <f>DataSet!A98</f>
        <v>CUST0097</v>
      </c>
      <c r="B563" s="6">
        <f>DataSet!I98</f>
        <v>27304</v>
      </c>
      <c r="C563" s="23" t="str">
        <f t="shared" si="13"/>
        <v>High Value</v>
      </c>
      <c r="H563" s="13"/>
    </row>
    <row r="564" spans="1:8" x14ac:dyDescent="0.4">
      <c r="A564" s="22" t="str">
        <f>DataSet!A99</f>
        <v>CUST0098</v>
      </c>
      <c r="B564" s="6">
        <f>DataSet!I99</f>
        <v>121618.98</v>
      </c>
      <c r="C564" s="23" t="str">
        <f t="shared" si="13"/>
        <v>High Value</v>
      </c>
      <c r="H564" s="13"/>
    </row>
    <row r="565" spans="1:8" x14ac:dyDescent="0.4">
      <c r="A565" s="22" t="str">
        <f>DataSet!A100</f>
        <v>CUST0099</v>
      </c>
      <c r="B565" s="6">
        <f>DataSet!I100</f>
        <v>66148.5</v>
      </c>
      <c r="C565" s="23" t="str">
        <f t="shared" si="13"/>
        <v>High Value</v>
      </c>
      <c r="H565" s="13"/>
    </row>
    <row r="566" spans="1:8" x14ac:dyDescent="0.4">
      <c r="A566" s="22" t="str">
        <f>DataSet!A101</f>
        <v>CUST0100</v>
      </c>
      <c r="B566" s="6">
        <f>DataSet!I101</f>
        <v>12937.96</v>
      </c>
      <c r="C566" s="23" t="str">
        <f t="shared" si="13"/>
        <v>Regular</v>
      </c>
      <c r="H566" s="13"/>
    </row>
    <row r="567" spans="1:8" x14ac:dyDescent="0.4">
      <c r="A567" s="22" t="str">
        <f>DataSet!A102</f>
        <v>CUST0101</v>
      </c>
      <c r="B567" s="6">
        <f>DataSet!I102</f>
        <v>102240</v>
      </c>
      <c r="C567" s="23" t="str">
        <f t="shared" si="13"/>
        <v>High Value</v>
      </c>
      <c r="H567" s="13"/>
    </row>
    <row r="568" spans="1:8" x14ac:dyDescent="0.4">
      <c r="A568" s="22" t="str">
        <f>DataSet!A103</f>
        <v>CUST0102</v>
      </c>
      <c r="B568" s="6">
        <f>DataSet!I103</f>
        <v>50466.239999999998</v>
      </c>
      <c r="C568" s="23" t="str">
        <f t="shared" si="13"/>
        <v>High Value</v>
      </c>
      <c r="H568" s="13"/>
    </row>
    <row r="569" spans="1:8" x14ac:dyDescent="0.4">
      <c r="A569" s="22" t="str">
        <f>DataSet!A104</f>
        <v>CUST0103</v>
      </c>
      <c r="B569" s="6">
        <f>DataSet!I104</f>
        <v>135331.9</v>
      </c>
      <c r="C569" s="23" t="str">
        <f t="shared" si="13"/>
        <v>High Value</v>
      </c>
      <c r="H569" s="13"/>
    </row>
    <row r="570" spans="1:8" x14ac:dyDescent="0.4">
      <c r="A570" s="22" t="str">
        <f>DataSet!A105</f>
        <v>CUST0104</v>
      </c>
      <c r="B570" s="6">
        <f>DataSet!I105</f>
        <v>81821.600000000006</v>
      </c>
      <c r="C570" s="23" t="str">
        <f t="shared" si="13"/>
        <v>High Value</v>
      </c>
      <c r="H570" s="13"/>
    </row>
    <row r="571" spans="1:8" x14ac:dyDescent="0.4">
      <c r="A571" s="22" t="str">
        <f>DataSet!A106</f>
        <v>CUST0105</v>
      </c>
      <c r="B571" s="6">
        <f>DataSet!I106</f>
        <v>44244</v>
      </c>
      <c r="C571" s="23" t="str">
        <f t="shared" si="13"/>
        <v>High Value</v>
      </c>
      <c r="H571" s="13"/>
    </row>
    <row r="572" spans="1:8" x14ac:dyDescent="0.4">
      <c r="A572" s="22" t="str">
        <f>DataSet!A107</f>
        <v>CUST0106</v>
      </c>
      <c r="B572" s="6">
        <f>DataSet!I107</f>
        <v>145873</v>
      </c>
      <c r="C572" s="23" t="str">
        <f t="shared" si="13"/>
        <v>High Value</v>
      </c>
      <c r="H572" s="13"/>
    </row>
    <row r="573" spans="1:8" x14ac:dyDescent="0.4">
      <c r="A573" s="22" t="str">
        <f>DataSet!A108</f>
        <v>CUST0107</v>
      </c>
      <c r="B573" s="6">
        <f>DataSet!I108</f>
        <v>85625.4</v>
      </c>
      <c r="C573" s="23" t="str">
        <f t="shared" si="13"/>
        <v>High Value</v>
      </c>
      <c r="H573" s="13"/>
    </row>
    <row r="574" spans="1:8" x14ac:dyDescent="0.4">
      <c r="A574" s="22" t="str">
        <f>DataSet!A109</f>
        <v>CUST0108</v>
      </c>
      <c r="B574" s="6">
        <f>DataSet!I109</f>
        <v>27892.560000000001</v>
      </c>
      <c r="C574" s="23" t="str">
        <f t="shared" si="13"/>
        <v>High Value</v>
      </c>
      <c r="H574" s="13"/>
    </row>
    <row r="575" spans="1:8" x14ac:dyDescent="0.4">
      <c r="A575" s="22" t="str">
        <f>DataSet!A110</f>
        <v>CUST0109</v>
      </c>
      <c r="B575" s="6">
        <f>DataSet!I110</f>
        <v>123897.60000000001</v>
      </c>
      <c r="C575" s="23" t="str">
        <f t="shared" si="13"/>
        <v>High Value</v>
      </c>
      <c r="H575" s="13"/>
    </row>
    <row r="576" spans="1:8" x14ac:dyDescent="0.4">
      <c r="A576" s="22" t="str">
        <f>DataSet!A111</f>
        <v>CUST0110</v>
      </c>
      <c r="B576" s="6">
        <f>DataSet!I111</f>
        <v>67905.2</v>
      </c>
      <c r="C576" s="23" t="str">
        <f t="shared" si="13"/>
        <v>High Value</v>
      </c>
      <c r="H576" s="13"/>
    </row>
    <row r="577" spans="1:8" x14ac:dyDescent="0.4">
      <c r="A577" s="22" t="str">
        <f>DataSet!A112</f>
        <v>CUST0111</v>
      </c>
      <c r="B577" s="6">
        <f>DataSet!I112</f>
        <v>13234.5</v>
      </c>
      <c r="C577" s="23" t="str">
        <f t="shared" si="13"/>
        <v>Regular</v>
      </c>
      <c r="H577" s="13"/>
    </row>
    <row r="578" spans="1:8" x14ac:dyDescent="0.4">
      <c r="A578" s="22" t="str">
        <f>DataSet!A113</f>
        <v>CUST0112</v>
      </c>
      <c r="B578" s="6">
        <f>DataSet!I113</f>
        <v>100524.8</v>
      </c>
      <c r="C578" s="23" t="str">
        <f t="shared" si="13"/>
        <v>High Value</v>
      </c>
      <c r="H578" s="13"/>
    </row>
    <row r="579" spans="1:8" x14ac:dyDescent="0.4">
      <c r="A579" s="22" t="str">
        <f>DataSet!A114</f>
        <v>CUST0113</v>
      </c>
      <c r="B579" s="6">
        <f>DataSet!I114</f>
        <v>63376</v>
      </c>
      <c r="C579" s="23" t="str">
        <f t="shared" si="13"/>
        <v>High Value</v>
      </c>
      <c r="H579" s="13"/>
    </row>
    <row r="580" spans="1:8" x14ac:dyDescent="0.4">
      <c r="A580" s="22" t="str">
        <f>DataSet!A115</f>
        <v>CUST0114</v>
      </c>
      <c r="B580" s="6">
        <f>DataSet!I115</f>
        <v>172275.18</v>
      </c>
      <c r="C580" s="23" t="str">
        <f t="shared" si="13"/>
        <v>High Value</v>
      </c>
      <c r="H580" s="13"/>
    </row>
    <row r="581" spans="1:8" x14ac:dyDescent="0.4">
      <c r="A581" s="22" t="str">
        <f>DataSet!A116</f>
        <v>CUST0115</v>
      </c>
      <c r="B581" s="6">
        <f>DataSet!I116</f>
        <v>107184.7</v>
      </c>
      <c r="C581" s="23" t="str">
        <f t="shared" si="13"/>
        <v>High Value</v>
      </c>
      <c r="H581" s="13"/>
    </row>
    <row r="582" spans="1:8" x14ac:dyDescent="0.4">
      <c r="A582" s="22" t="str">
        <f>DataSet!A117</f>
        <v>CUST0116</v>
      </c>
      <c r="B582" s="6">
        <f>DataSet!I117</f>
        <v>44863.8</v>
      </c>
      <c r="C582" s="23" t="str">
        <f t="shared" si="13"/>
        <v>High Value</v>
      </c>
      <c r="H582" s="13"/>
    </row>
    <row r="583" spans="1:8" x14ac:dyDescent="0.4">
      <c r="A583" s="22" t="str">
        <f>DataSet!A118</f>
        <v>CUST0117</v>
      </c>
      <c r="B583" s="6">
        <f>DataSet!I118</f>
        <v>147528</v>
      </c>
      <c r="C583" s="23" t="str">
        <f t="shared" si="13"/>
        <v>High Value</v>
      </c>
      <c r="H583" s="13"/>
    </row>
    <row r="584" spans="1:8" x14ac:dyDescent="0.4">
      <c r="A584" s="22" t="str">
        <f>DataSet!A119</f>
        <v>CUST0118</v>
      </c>
      <c r="B584" s="6">
        <f>DataSet!I119</f>
        <v>87273.12</v>
      </c>
      <c r="C584" s="23" t="str">
        <f t="shared" si="13"/>
        <v>High Value</v>
      </c>
      <c r="H584" s="13"/>
    </row>
    <row r="585" spans="1:8" x14ac:dyDescent="0.4">
      <c r="A585" s="22" t="str">
        <f>DataSet!A120</f>
        <v>CUST0119</v>
      </c>
      <c r="B585" s="6">
        <f>DataSet!I120</f>
        <v>28332.2</v>
      </c>
      <c r="C585" s="23" t="str">
        <f t="shared" si="13"/>
        <v>High Value</v>
      </c>
      <c r="H585" s="13"/>
    </row>
    <row r="586" spans="1:8" x14ac:dyDescent="0.4">
      <c r="A586" s="22" t="str">
        <f>DataSet!A121</f>
        <v>CUST0120</v>
      </c>
      <c r="B586" s="6">
        <f>DataSet!I121</f>
        <v>120981.6</v>
      </c>
      <c r="C586" s="23" t="str">
        <f t="shared" si="13"/>
        <v>High Value</v>
      </c>
      <c r="H586" s="13"/>
    </row>
    <row r="587" spans="1:8" x14ac:dyDescent="0.4">
      <c r="A587" s="22" t="str">
        <f>DataSet!A122</f>
        <v>CUST0121</v>
      </c>
      <c r="B587" s="6">
        <f>DataSet!I122</f>
        <v>84700</v>
      </c>
      <c r="C587" s="23" t="str">
        <f t="shared" si="13"/>
        <v>High Value</v>
      </c>
      <c r="H587" s="13"/>
    </row>
    <row r="588" spans="1:8" x14ac:dyDescent="0.4">
      <c r="A588" s="22" t="str">
        <f>DataSet!A123</f>
        <v>CUST0122</v>
      </c>
      <c r="B588" s="6">
        <f>DataSet!I123</f>
        <v>16735.46</v>
      </c>
      <c r="C588" s="23" t="str">
        <f t="shared" si="13"/>
        <v>Regular</v>
      </c>
      <c r="H588" s="13"/>
    </row>
    <row r="589" spans="1:8" x14ac:dyDescent="0.4">
      <c r="A589" s="22" t="str">
        <f>DataSet!A124</f>
        <v>CUST0123</v>
      </c>
      <c r="B589" s="6">
        <f>DataSet!I124</f>
        <v>130826.4</v>
      </c>
      <c r="C589" s="23" t="str">
        <f t="shared" si="13"/>
        <v>High Value</v>
      </c>
      <c r="H589" s="13"/>
    </row>
    <row r="590" spans="1:8" x14ac:dyDescent="0.4">
      <c r="A590" s="22" t="str">
        <f>DataSet!A125</f>
        <v>CUST0124</v>
      </c>
      <c r="B590" s="6">
        <f>DataSet!I125</f>
        <v>63851.68</v>
      </c>
      <c r="C590" s="23" t="str">
        <f t="shared" si="13"/>
        <v>High Value</v>
      </c>
      <c r="H590" s="13"/>
    </row>
    <row r="591" spans="1:8" x14ac:dyDescent="0.4">
      <c r="A591" s="22" t="str">
        <f>DataSet!A126</f>
        <v>CUST0125</v>
      </c>
      <c r="B591" s="6">
        <f>DataSet!I126</f>
        <v>173131.2</v>
      </c>
      <c r="C591" s="23" t="str">
        <f t="shared" si="13"/>
        <v>High Value</v>
      </c>
      <c r="H591" s="13"/>
    </row>
    <row r="592" spans="1:8" x14ac:dyDescent="0.4">
      <c r="A592" s="22" t="str">
        <f>DataSet!A127</f>
        <v>CUST0126</v>
      </c>
      <c r="B592" s="6">
        <f>DataSet!I127</f>
        <v>108570</v>
      </c>
      <c r="C592" s="23" t="str">
        <f t="shared" si="13"/>
        <v>High Value</v>
      </c>
      <c r="H592" s="13"/>
    </row>
    <row r="593" spans="1:8" x14ac:dyDescent="0.4">
      <c r="A593" s="22" t="str">
        <f>DataSet!A128</f>
        <v>CUST0127</v>
      </c>
      <c r="B593" s="6">
        <f>DataSet!I128</f>
        <v>45293.1</v>
      </c>
      <c r="C593" s="23" t="str">
        <f t="shared" si="13"/>
        <v>High Value</v>
      </c>
      <c r="H593" s="13"/>
    </row>
    <row r="594" spans="1:8" x14ac:dyDescent="0.4">
      <c r="A594" s="22" t="str">
        <f>DataSet!A129</f>
        <v>CUST0128</v>
      </c>
      <c r="B594" s="6">
        <f>DataSet!I129</f>
        <v>187032</v>
      </c>
      <c r="C594" s="23" t="str">
        <f t="shared" si="13"/>
        <v>High Value</v>
      </c>
      <c r="H594" s="13"/>
    </row>
    <row r="595" spans="1:8" x14ac:dyDescent="0.4">
      <c r="A595" s="22" t="str">
        <f>DataSet!A130</f>
        <v>CUST0129</v>
      </c>
      <c r="B595" s="6">
        <f>DataSet!I130</f>
        <v>108216</v>
      </c>
      <c r="C595" s="23" t="str">
        <f t="shared" si="13"/>
        <v>High Value</v>
      </c>
      <c r="H595" s="13"/>
    </row>
    <row r="596" spans="1:8" x14ac:dyDescent="0.4">
      <c r="A596" s="22" t="str">
        <f>DataSet!A131</f>
        <v>CUST0130</v>
      </c>
      <c r="B596" s="6">
        <f>DataSet!I131</f>
        <v>35619.08</v>
      </c>
      <c r="C596" s="23" t="str">
        <f t="shared" ref="C596:C659" si="14">IF(B596&gt;=25000,"High Value","Regular")</f>
        <v>High Value</v>
      </c>
      <c r="H596" s="13"/>
    </row>
    <row r="597" spans="1:8" x14ac:dyDescent="0.4">
      <c r="A597" s="22" t="str">
        <f>DataSet!A132</f>
        <v>CUST0131</v>
      </c>
      <c r="B597" s="6">
        <f>DataSet!I132</f>
        <v>156550.5</v>
      </c>
      <c r="C597" s="23" t="str">
        <f t="shared" si="14"/>
        <v>High Value</v>
      </c>
      <c r="H597" s="13"/>
    </row>
    <row r="598" spans="1:8" x14ac:dyDescent="0.4">
      <c r="A598" s="22" t="str">
        <f>DataSet!A133</f>
        <v>CUST0132</v>
      </c>
      <c r="B598" s="6">
        <f>DataSet!I133</f>
        <v>84856.2</v>
      </c>
      <c r="C598" s="23" t="str">
        <f t="shared" si="14"/>
        <v>High Value</v>
      </c>
      <c r="H598" s="13"/>
    </row>
    <row r="599" spans="1:8" x14ac:dyDescent="0.4">
      <c r="A599" s="22" t="str">
        <f>DataSet!A134</f>
        <v>CUST0133</v>
      </c>
      <c r="B599" s="6">
        <f>DataSet!I134</f>
        <v>16725.599999999999</v>
      </c>
      <c r="C599" s="23" t="str">
        <f t="shared" si="14"/>
        <v>Regular</v>
      </c>
      <c r="H599" s="13"/>
    </row>
    <row r="600" spans="1:8" x14ac:dyDescent="0.4">
      <c r="A600" s="22" t="str">
        <f>DataSet!A135</f>
        <v>CUST0134</v>
      </c>
      <c r="B600" s="6">
        <f>DataSet!I135</f>
        <v>131795.84</v>
      </c>
      <c r="C600" s="23" t="str">
        <f t="shared" si="14"/>
        <v>High Value</v>
      </c>
      <c r="H600" s="13"/>
    </row>
    <row r="601" spans="1:8" x14ac:dyDescent="0.4">
      <c r="A601" s="22" t="str">
        <f>DataSet!A136</f>
        <v>CUST0135</v>
      </c>
      <c r="B601" s="6">
        <f>DataSet!I136</f>
        <v>64117.2</v>
      </c>
      <c r="C601" s="23" t="str">
        <f t="shared" si="14"/>
        <v>High Value</v>
      </c>
      <c r="H601" s="13"/>
    </row>
    <row r="602" spans="1:8" x14ac:dyDescent="0.4">
      <c r="A602" s="22" t="str">
        <f>DataSet!A137</f>
        <v>CUST0136</v>
      </c>
      <c r="B602" s="6">
        <f>DataSet!I137</f>
        <v>167156</v>
      </c>
      <c r="C602" s="23" t="str">
        <f t="shared" si="14"/>
        <v>High Value</v>
      </c>
      <c r="H602" s="13"/>
    </row>
    <row r="603" spans="1:8" x14ac:dyDescent="0.4">
      <c r="A603" s="22" t="str">
        <f>DataSet!A138</f>
        <v>CUST0137</v>
      </c>
      <c r="B603" s="6">
        <f>DataSet!I138</f>
        <v>133924</v>
      </c>
      <c r="C603" s="23" t="str">
        <f t="shared" si="14"/>
        <v>High Value</v>
      </c>
      <c r="H603" s="13"/>
    </row>
    <row r="604" spans="1:8" x14ac:dyDescent="0.4">
      <c r="A604" s="22" t="str">
        <f>DataSet!A139</f>
        <v>CUST0138</v>
      </c>
      <c r="B604" s="6">
        <f>DataSet!I139</f>
        <v>56650.86</v>
      </c>
      <c r="C604" s="23" t="str">
        <f t="shared" si="14"/>
        <v>High Value</v>
      </c>
      <c r="H604" s="13"/>
    </row>
    <row r="605" spans="1:8" x14ac:dyDescent="0.4">
      <c r="A605" s="22" t="str">
        <f>DataSet!A140</f>
        <v>CUST0139</v>
      </c>
      <c r="B605" s="6">
        <f>DataSet!I140</f>
        <v>184357</v>
      </c>
      <c r="C605" s="23" t="str">
        <f t="shared" si="14"/>
        <v>High Value</v>
      </c>
      <c r="H605" s="13"/>
    </row>
    <row r="606" spans="1:8" x14ac:dyDescent="0.4">
      <c r="A606" s="22" t="str">
        <f>DataSet!A141</f>
        <v>CUST0140</v>
      </c>
      <c r="B606" s="6">
        <f>DataSet!I141</f>
        <v>107877.36</v>
      </c>
      <c r="C606" s="23" t="str">
        <f t="shared" si="14"/>
        <v>High Value</v>
      </c>
      <c r="H606" s="13"/>
    </row>
    <row r="607" spans="1:8" x14ac:dyDescent="0.4">
      <c r="A607" s="22" t="str">
        <f>DataSet!A142</f>
        <v>CUST0141</v>
      </c>
      <c r="B607" s="6">
        <f>DataSet!I142</f>
        <v>53136</v>
      </c>
      <c r="C607" s="23" t="str">
        <f t="shared" si="14"/>
        <v>High Value</v>
      </c>
      <c r="H607" s="13"/>
    </row>
    <row r="608" spans="1:8" x14ac:dyDescent="0.4">
      <c r="A608" s="22" t="str">
        <f>DataSet!A143</f>
        <v>CUST0142</v>
      </c>
      <c r="B608" s="6">
        <f>DataSet!I143</f>
        <v>156950.64000000001</v>
      </c>
      <c r="C608" s="23" t="str">
        <f t="shared" si="14"/>
        <v>High Value</v>
      </c>
      <c r="H608" s="13"/>
    </row>
    <row r="609" spans="1:8" x14ac:dyDescent="0.4">
      <c r="A609" s="22" t="str">
        <f>DataSet!A144</f>
        <v>CUST0143</v>
      </c>
      <c r="B609" s="6">
        <f>DataSet!I144</f>
        <v>84804.5</v>
      </c>
      <c r="C609" s="23" t="str">
        <f t="shared" si="14"/>
        <v>High Value</v>
      </c>
      <c r="H609" s="13"/>
    </row>
    <row r="610" spans="1:8" x14ac:dyDescent="0.4">
      <c r="A610" s="22" t="str">
        <f>DataSet!A145</f>
        <v>CUST0144</v>
      </c>
      <c r="B610" s="6">
        <f>DataSet!I145</f>
        <v>16072.8</v>
      </c>
      <c r="C610" s="23" t="str">
        <f t="shared" si="14"/>
        <v>Regular</v>
      </c>
      <c r="H610" s="13"/>
    </row>
    <row r="611" spans="1:8" x14ac:dyDescent="0.4">
      <c r="A611" s="22" t="str">
        <f>DataSet!A146</f>
        <v>CUST0145</v>
      </c>
      <c r="B611" s="6">
        <f>DataSet!I146</f>
        <v>161824</v>
      </c>
      <c r="C611" s="23" t="str">
        <f t="shared" si="14"/>
        <v>High Value</v>
      </c>
      <c r="H611" s="13"/>
    </row>
    <row r="612" spans="1:8" x14ac:dyDescent="0.4">
      <c r="A612" s="22" t="str">
        <f>DataSet!A147</f>
        <v>CUST0146</v>
      </c>
      <c r="B612" s="6">
        <f>DataSet!I147</f>
        <v>79830.8</v>
      </c>
      <c r="C612" s="23" t="str">
        <f t="shared" si="14"/>
        <v>High Value</v>
      </c>
      <c r="H612" s="13"/>
    </row>
    <row r="613" spans="1:8" x14ac:dyDescent="0.4">
      <c r="A613" s="22" t="str">
        <f>DataSet!A148</f>
        <v>CUST0147</v>
      </c>
      <c r="B613" s="6">
        <f>DataSet!I148</f>
        <v>214245.9</v>
      </c>
      <c r="C613" s="23" t="str">
        <f t="shared" si="14"/>
        <v>High Value</v>
      </c>
      <c r="H613" s="13"/>
    </row>
    <row r="614" spans="1:8" x14ac:dyDescent="0.4">
      <c r="A614" s="22" t="str">
        <f>DataSet!A149</f>
        <v>CUST0148</v>
      </c>
      <c r="B614" s="6">
        <f>DataSet!I149</f>
        <v>132915.16</v>
      </c>
      <c r="C614" s="23" t="str">
        <f t="shared" si="14"/>
        <v>High Value</v>
      </c>
      <c r="H614" s="13"/>
    </row>
    <row r="615" spans="1:8" x14ac:dyDescent="0.4">
      <c r="A615" s="22" t="str">
        <f>DataSet!A150</f>
        <v>CUST0149</v>
      </c>
      <c r="B615" s="6">
        <f>DataSet!I150</f>
        <v>56095.199999999997</v>
      </c>
      <c r="C615" s="23" t="str">
        <f t="shared" si="14"/>
        <v>High Value</v>
      </c>
      <c r="H615" s="13"/>
    </row>
    <row r="616" spans="1:8" x14ac:dyDescent="0.4">
      <c r="A616" s="22" t="str">
        <f>DataSet!A151</f>
        <v>CUST0150</v>
      </c>
      <c r="B616" s="6">
        <f>DataSet!I151</f>
        <v>192399.6</v>
      </c>
      <c r="C616" s="23" t="str">
        <f t="shared" si="14"/>
        <v>High Value</v>
      </c>
      <c r="H616" s="13"/>
    </row>
    <row r="617" spans="1:8" x14ac:dyDescent="0.4">
      <c r="A617" s="22" t="str">
        <f>DataSet!A152</f>
        <v>CUST0151</v>
      </c>
      <c r="B617" s="6">
        <f>DataSet!I152</f>
        <v>107355</v>
      </c>
      <c r="C617" s="23" t="str">
        <f t="shared" si="14"/>
        <v>High Value</v>
      </c>
      <c r="H617" s="13"/>
    </row>
    <row r="618" spans="1:8" x14ac:dyDescent="0.4">
      <c r="A618" s="22" t="str">
        <f>DataSet!A153</f>
        <v>CUST0152</v>
      </c>
      <c r="B618" s="6">
        <f>DataSet!I153</f>
        <v>33899.199999999997</v>
      </c>
      <c r="C618" s="23" t="str">
        <f t="shared" si="14"/>
        <v>High Value</v>
      </c>
      <c r="H618" s="13"/>
    </row>
    <row r="619" spans="1:8" x14ac:dyDescent="0.4">
      <c r="A619" s="22" t="str">
        <f>DataSet!A154</f>
        <v>CUST0153</v>
      </c>
      <c r="B619" s="6">
        <f>DataSet!I154</f>
        <v>191916</v>
      </c>
      <c r="C619" s="23" t="str">
        <f t="shared" si="14"/>
        <v>High Value</v>
      </c>
      <c r="H619" s="13"/>
    </row>
    <row r="620" spans="1:8" x14ac:dyDescent="0.4">
      <c r="A620" s="22" t="str">
        <f>DataSet!A155</f>
        <v>CUST0154</v>
      </c>
      <c r="B620" s="6">
        <f>DataSet!I155</f>
        <v>105158.9</v>
      </c>
      <c r="C620" s="23" t="str">
        <f t="shared" si="14"/>
        <v>High Value</v>
      </c>
      <c r="H620" s="13"/>
    </row>
    <row r="621" spans="1:8" x14ac:dyDescent="0.4">
      <c r="A621" s="22" t="str">
        <f>DataSet!A156</f>
        <v>CUST0155</v>
      </c>
      <c r="B621" s="6">
        <f>DataSet!I156</f>
        <v>20518.099999999999</v>
      </c>
      <c r="C621" s="23" t="str">
        <f t="shared" si="14"/>
        <v>Regular</v>
      </c>
      <c r="H621" s="13"/>
    </row>
    <row r="622" spans="1:8" x14ac:dyDescent="0.4">
      <c r="A622" s="22" t="str">
        <f>DataSet!A157</f>
        <v>CUST0156</v>
      </c>
      <c r="B622" s="6">
        <f>DataSet!I157</f>
        <v>159969.60000000001</v>
      </c>
      <c r="C622" s="23" t="str">
        <f t="shared" si="14"/>
        <v>High Value</v>
      </c>
      <c r="H622" s="13"/>
    </row>
    <row r="623" spans="1:8" x14ac:dyDescent="0.4">
      <c r="A623" s="22" t="str">
        <f>DataSet!A158</f>
        <v>CUST0157</v>
      </c>
      <c r="B623" s="6">
        <f>DataSet!I158</f>
        <v>78739.199999999997</v>
      </c>
      <c r="C623" s="23" t="str">
        <f t="shared" si="14"/>
        <v>High Value</v>
      </c>
      <c r="H623" s="13"/>
    </row>
    <row r="624" spans="1:8" x14ac:dyDescent="0.4">
      <c r="A624" s="22" t="str">
        <f>DataSet!A159</f>
        <v>CUST0158</v>
      </c>
      <c r="B624" s="6">
        <f>DataSet!I159</f>
        <v>213047.12</v>
      </c>
      <c r="C624" s="23" t="str">
        <f t="shared" si="14"/>
        <v>High Value</v>
      </c>
      <c r="H624" s="13"/>
    </row>
    <row r="625" spans="1:8" x14ac:dyDescent="0.4">
      <c r="A625" s="22" t="str">
        <f>DataSet!A160</f>
        <v>CUST0159</v>
      </c>
      <c r="B625" s="6">
        <f>DataSet!I160</f>
        <v>131768.70000000001</v>
      </c>
      <c r="C625" s="23" t="str">
        <f t="shared" si="14"/>
        <v>High Value</v>
      </c>
      <c r="H625" s="13"/>
    </row>
    <row r="626" spans="1:8" x14ac:dyDescent="0.4">
      <c r="A626" s="22" t="str">
        <f>DataSet!A161</f>
        <v>CUST0160</v>
      </c>
      <c r="B626" s="6">
        <f>DataSet!I161</f>
        <v>53479.199999999997</v>
      </c>
      <c r="C626" s="23" t="str">
        <f t="shared" si="14"/>
        <v>High Value</v>
      </c>
      <c r="H626" s="13"/>
    </row>
    <row r="627" spans="1:8" x14ac:dyDescent="0.4">
      <c r="A627" s="22" t="str">
        <f>DataSet!A162</f>
        <v>CUST0161</v>
      </c>
      <c r="B627" s="6">
        <f>DataSet!I162</f>
        <v>224200</v>
      </c>
      <c r="C627" s="23" t="str">
        <f t="shared" si="14"/>
        <v>High Value</v>
      </c>
      <c r="H627" s="13"/>
    </row>
    <row r="628" spans="1:8" x14ac:dyDescent="0.4">
      <c r="A628" s="22" t="str">
        <f>DataSet!A163</f>
        <v>CUST0162</v>
      </c>
      <c r="B628" s="6">
        <f>DataSet!I163</f>
        <v>132635.16</v>
      </c>
      <c r="C628" s="23" t="str">
        <f t="shared" si="14"/>
        <v>High Value</v>
      </c>
      <c r="H628" s="13"/>
    </row>
    <row r="629" spans="1:8" x14ac:dyDescent="0.4">
      <c r="A629" s="22" t="str">
        <f>DataSet!A164</f>
        <v>CUST0163</v>
      </c>
      <c r="B629" s="6">
        <f>DataSet!I164</f>
        <v>43118.6</v>
      </c>
      <c r="C629" s="23" t="str">
        <f t="shared" si="14"/>
        <v>High Value</v>
      </c>
      <c r="H629" s="13"/>
    </row>
    <row r="630" spans="1:8" x14ac:dyDescent="0.4">
      <c r="A630" s="22" t="str">
        <f>DataSet!A165</f>
        <v>CUST0164</v>
      </c>
      <c r="B630" s="6">
        <f>DataSet!I165</f>
        <v>189040.68</v>
      </c>
      <c r="C630" s="23" t="str">
        <f t="shared" si="14"/>
        <v>High Value</v>
      </c>
      <c r="H630" s="13"/>
    </row>
    <row r="631" spans="1:8" x14ac:dyDescent="0.4">
      <c r="A631" s="22" t="str">
        <f>DataSet!A166</f>
        <v>CUST0165</v>
      </c>
      <c r="B631" s="6">
        <f>DataSet!I166</f>
        <v>103356</v>
      </c>
      <c r="C631" s="23" t="str">
        <f t="shared" si="14"/>
        <v>High Value</v>
      </c>
      <c r="H631" s="13"/>
    </row>
    <row r="632" spans="1:8" x14ac:dyDescent="0.4">
      <c r="A632" s="22" t="str">
        <f>DataSet!A167</f>
        <v>CUST0166</v>
      </c>
      <c r="B632" s="6">
        <f>DataSet!I167</f>
        <v>20332.400000000001</v>
      </c>
      <c r="C632" s="23" t="str">
        <f t="shared" si="14"/>
        <v>Regular</v>
      </c>
      <c r="H632" s="13"/>
    </row>
    <row r="633" spans="1:8" x14ac:dyDescent="0.4">
      <c r="A633" s="22" t="str">
        <f>DataSet!A168</f>
        <v>CUST0167</v>
      </c>
      <c r="B633" s="6">
        <f>DataSet!I168</f>
        <v>158045.6</v>
      </c>
      <c r="C633" s="23" t="str">
        <f t="shared" si="14"/>
        <v>High Value</v>
      </c>
      <c r="H633" s="13"/>
    </row>
    <row r="634" spans="1:8" x14ac:dyDescent="0.4">
      <c r="A634" s="22" t="str">
        <f>DataSet!A169</f>
        <v>CUST0168</v>
      </c>
      <c r="B634" s="6">
        <f>DataSet!I169</f>
        <v>74812.800000000003</v>
      </c>
      <c r="C634" s="23" t="str">
        <f t="shared" si="14"/>
        <v>High Value</v>
      </c>
      <c r="H634" s="13"/>
    </row>
    <row r="635" spans="1:8" x14ac:dyDescent="0.4">
      <c r="A635" s="22" t="str">
        <f>DataSet!A170</f>
        <v>CUST0169</v>
      </c>
      <c r="B635" s="6">
        <f>DataSet!I170</f>
        <v>258676</v>
      </c>
      <c r="C635" s="23" t="str">
        <f t="shared" si="14"/>
        <v>High Value</v>
      </c>
      <c r="H635" s="13"/>
    </row>
    <row r="636" spans="1:8" x14ac:dyDescent="0.4">
      <c r="A636" s="22" t="str">
        <f>DataSet!A171</f>
        <v>CUST0170</v>
      </c>
      <c r="B636" s="6">
        <f>DataSet!I171</f>
        <v>162259.57999999999</v>
      </c>
      <c r="C636" s="23" t="str">
        <f t="shared" si="14"/>
        <v>High Value</v>
      </c>
      <c r="H636" s="13"/>
    </row>
    <row r="637" spans="1:8" x14ac:dyDescent="0.4">
      <c r="A637" s="22" t="str">
        <f>DataSet!A172</f>
        <v>CUST0171</v>
      </c>
      <c r="B637" s="6">
        <f>DataSet!I172</f>
        <v>67801.5</v>
      </c>
      <c r="C637" s="23" t="str">
        <f t="shared" si="14"/>
        <v>High Value</v>
      </c>
      <c r="H637" s="13"/>
    </row>
    <row r="638" spans="1:8" x14ac:dyDescent="0.4">
      <c r="A638" s="22" t="str">
        <f>DataSet!A173</f>
        <v>CUST0172</v>
      </c>
      <c r="B638" s="6">
        <f>DataSet!I173</f>
        <v>220128.4</v>
      </c>
      <c r="C638" s="23" t="str">
        <f t="shared" si="14"/>
        <v>High Value</v>
      </c>
      <c r="H638" s="13"/>
    </row>
    <row r="639" spans="1:8" x14ac:dyDescent="0.4">
      <c r="A639" s="22" t="str">
        <f>DataSet!A174</f>
        <v>CUST0173</v>
      </c>
      <c r="B639" s="6">
        <f>DataSet!I174</f>
        <v>129945.60000000001</v>
      </c>
      <c r="C639" s="23" t="str">
        <f t="shared" si="14"/>
        <v>High Value</v>
      </c>
      <c r="H639" s="13"/>
    </row>
    <row r="640" spans="1:8" x14ac:dyDescent="0.4">
      <c r="A640" s="22" t="str">
        <f>DataSet!A175</f>
        <v>CUST0174</v>
      </c>
      <c r="B640" s="6">
        <f>DataSet!I175</f>
        <v>42593.760000000002</v>
      </c>
      <c r="C640" s="23" t="str">
        <f t="shared" si="14"/>
        <v>High Value</v>
      </c>
      <c r="H640" s="13"/>
    </row>
    <row r="641" spans="1:8" x14ac:dyDescent="0.4">
      <c r="A641" s="22" t="str">
        <f>DataSet!A176</f>
        <v>CUST0175</v>
      </c>
      <c r="B641" s="6">
        <f>DataSet!I176</f>
        <v>186185.7</v>
      </c>
      <c r="C641" s="23" t="str">
        <f t="shared" si="14"/>
        <v>High Value</v>
      </c>
      <c r="H641" s="13"/>
    </row>
    <row r="642" spans="1:8" x14ac:dyDescent="0.4">
      <c r="A642" s="22" t="str">
        <f>DataSet!A177</f>
        <v>CUST0176</v>
      </c>
      <c r="B642" s="6">
        <f>DataSet!I177</f>
        <v>97900</v>
      </c>
      <c r="C642" s="23" t="str">
        <f t="shared" si="14"/>
        <v>High Value</v>
      </c>
      <c r="H642" s="13"/>
    </row>
    <row r="643" spans="1:8" x14ac:dyDescent="0.4">
      <c r="A643" s="22" t="str">
        <f>DataSet!A178</f>
        <v>CUST0177</v>
      </c>
      <c r="B643" s="6">
        <f>DataSet!I178</f>
        <v>24612</v>
      </c>
      <c r="C643" s="23" t="str">
        <f t="shared" si="14"/>
        <v>Regular</v>
      </c>
      <c r="H643" s="13"/>
    </row>
    <row r="644" spans="1:8" x14ac:dyDescent="0.4">
      <c r="A644" s="22" t="str">
        <f>DataSet!A179</f>
        <v>CUST0178</v>
      </c>
      <c r="B644" s="6">
        <f>DataSet!I179</f>
        <v>194032.16</v>
      </c>
      <c r="C644" s="23" t="str">
        <f t="shared" si="14"/>
        <v>High Value</v>
      </c>
      <c r="H644" s="13"/>
    </row>
    <row r="645" spans="1:8" x14ac:dyDescent="0.4">
      <c r="A645" s="22" t="str">
        <f>DataSet!A180</f>
        <v>CUST0179</v>
      </c>
      <c r="B645" s="6">
        <f>DataSet!I180</f>
        <v>94566.8</v>
      </c>
      <c r="C645" s="23" t="str">
        <f t="shared" si="14"/>
        <v>High Value</v>
      </c>
      <c r="H645" s="13"/>
    </row>
    <row r="646" spans="1:8" x14ac:dyDescent="0.4">
      <c r="A646" s="22" t="str">
        <f>DataSet!A181</f>
        <v>CUST0180</v>
      </c>
      <c r="B646" s="6">
        <f>DataSet!I181</f>
        <v>253232.76</v>
      </c>
      <c r="C646" s="23" t="str">
        <f t="shared" si="14"/>
        <v>High Value</v>
      </c>
      <c r="H646" s="13"/>
    </row>
    <row r="647" spans="1:8" x14ac:dyDescent="0.4">
      <c r="A647" s="22" t="str">
        <f>DataSet!A182</f>
        <v>CUST0181</v>
      </c>
      <c r="B647" s="6">
        <f>DataSet!I182</f>
        <v>158508</v>
      </c>
      <c r="C647" s="23" t="str">
        <f t="shared" si="14"/>
        <v>High Value</v>
      </c>
      <c r="H647" s="13"/>
    </row>
    <row r="648" spans="1:8" x14ac:dyDescent="0.4">
      <c r="A648" s="22" t="str">
        <f>DataSet!A183</f>
        <v>CUST0182</v>
      </c>
      <c r="B648" s="6">
        <f>DataSet!I183</f>
        <v>66784.08</v>
      </c>
      <c r="C648" s="23" t="str">
        <f t="shared" si="14"/>
        <v>High Value</v>
      </c>
      <c r="H648" s="13"/>
    </row>
    <row r="649" spans="1:8" x14ac:dyDescent="0.4">
      <c r="A649" s="22" t="str">
        <f>DataSet!A184</f>
        <v>CUST0183</v>
      </c>
      <c r="B649" s="6">
        <f>DataSet!I184</f>
        <v>216189</v>
      </c>
      <c r="C649" s="23" t="str">
        <f t="shared" si="14"/>
        <v>High Value</v>
      </c>
      <c r="H649" s="13"/>
    </row>
    <row r="650" spans="1:8" x14ac:dyDescent="0.4">
      <c r="A650" s="22" t="str">
        <f>DataSet!A185</f>
        <v>CUST0184</v>
      </c>
      <c r="B650" s="6">
        <f>DataSet!I185</f>
        <v>122740.8</v>
      </c>
      <c r="C650" s="23" t="str">
        <f t="shared" si="14"/>
        <v>High Value</v>
      </c>
      <c r="H650" s="13"/>
    </row>
    <row r="651" spans="1:8" x14ac:dyDescent="0.4">
      <c r="A651" s="22" t="str">
        <f>DataSet!A186</f>
        <v>CUST0185</v>
      </c>
      <c r="B651" s="6">
        <f>DataSet!I186</f>
        <v>51416</v>
      </c>
      <c r="C651" s="23" t="str">
        <f t="shared" si="14"/>
        <v>High Value</v>
      </c>
      <c r="H651" s="13"/>
    </row>
    <row r="652" spans="1:8" x14ac:dyDescent="0.4">
      <c r="A652" s="22" t="str">
        <f>DataSet!A187</f>
        <v>CUST0186</v>
      </c>
      <c r="B652" s="6">
        <f>DataSet!I187</f>
        <v>227952.9</v>
      </c>
      <c r="C652" s="23" t="str">
        <f t="shared" si="14"/>
        <v>High Value</v>
      </c>
      <c r="H652" s="13"/>
    </row>
    <row r="653" spans="1:8" x14ac:dyDescent="0.4">
      <c r="A653" s="22" t="str">
        <f>DataSet!A188</f>
        <v>CUST0187</v>
      </c>
      <c r="B653" s="6">
        <f>DataSet!I188</f>
        <v>123414.5</v>
      </c>
      <c r="C653" s="23" t="str">
        <f t="shared" si="14"/>
        <v>High Value</v>
      </c>
      <c r="H653" s="13"/>
    </row>
    <row r="654" spans="1:8" x14ac:dyDescent="0.4">
      <c r="A654" s="22" t="str">
        <f>DataSet!A189</f>
        <v>CUST0188</v>
      </c>
      <c r="B654" s="6">
        <f>DataSet!I189</f>
        <v>24029.48</v>
      </c>
      <c r="C654" s="23" t="str">
        <f t="shared" si="14"/>
        <v>Regular</v>
      </c>
      <c r="H654" s="13"/>
    </row>
    <row r="655" spans="1:8" x14ac:dyDescent="0.4">
      <c r="A655" s="22" t="str">
        <f>DataSet!A190</f>
        <v>CUST0189</v>
      </c>
      <c r="B655" s="6">
        <f>DataSet!I190</f>
        <v>189043.20000000001</v>
      </c>
      <c r="C655" s="23" t="str">
        <f t="shared" si="14"/>
        <v>High Value</v>
      </c>
      <c r="H655" s="13"/>
    </row>
    <row r="656" spans="1:8" x14ac:dyDescent="0.4">
      <c r="A656" s="22" t="str">
        <f>DataSet!A191</f>
        <v>CUST0190</v>
      </c>
      <c r="B656" s="6">
        <f>DataSet!I191</f>
        <v>92903.360000000001</v>
      </c>
      <c r="C656" s="23" t="str">
        <f t="shared" si="14"/>
        <v>High Value</v>
      </c>
      <c r="H656" s="13"/>
    </row>
    <row r="657" spans="1:8" x14ac:dyDescent="0.4">
      <c r="A657" s="22" t="str">
        <f>DataSet!A192</f>
        <v>CUST0191</v>
      </c>
      <c r="B657" s="6">
        <f>DataSet!I192</f>
        <v>248055.5</v>
      </c>
      <c r="C657" s="23" t="str">
        <f t="shared" si="14"/>
        <v>High Value</v>
      </c>
      <c r="H657" s="13"/>
    </row>
    <row r="658" spans="1:8" x14ac:dyDescent="0.4">
      <c r="A658" s="22" t="str">
        <f>DataSet!A193</f>
        <v>CUST0192</v>
      </c>
      <c r="B658" s="6">
        <f>DataSet!I193</f>
        <v>164268.72</v>
      </c>
      <c r="C658" s="23" t="str">
        <f t="shared" si="14"/>
        <v>High Value</v>
      </c>
      <c r="H658" s="13"/>
    </row>
    <row r="659" spans="1:8" x14ac:dyDescent="0.4">
      <c r="A659" s="22" t="str">
        <f>DataSet!A194</f>
        <v>CUST0193</v>
      </c>
      <c r="B659" s="6">
        <f>DataSet!I194</f>
        <v>92742</v>
      </c>
      <c r="C659" s="23" t="str">
        <f t="shared" si="14"/>
        <v>High Value</v>
      </c>
      <c r="H659" s="13"/>
    </row>
    <row r="660" spans="1:8" x14ac:dyDescent="0.4">
      <c r="A660" s="22" t="str">
        <f>DataSet!A195</f>
        <v>CUST0194</v>
      </c>
      <c r="B660" s="6">
        <f>DataSet!I195</f>
        <v>264021.8</v>
      </c>
      <c r="C660" s="23" t="str">
        <f t="shared" ref="C660:C694" si="15">IF(B660&gt;=25000,"High Value","Regular")</f>
        <v>High Value</v>
      </c>
      <c r="H660" s="13"/>
    </row>
    <row r="661" spans="1:8" x14ac:dyDescent="0.4">
      <c r="A661" s="22" t="str">
        <f>DataSet!A196</f>
        <v>CUST0195</v>
      </c>
      <c r="B661" s="6">
        <f>DataSet!I196</f>
        <v>180068.7</v>
      </c>
      <c r="C661" s="23" t="str">
        <f t="shared" si="15"/>
        <v>High Value</v>
      </c>
      <c r="H661" s="13"/>
    </row>
    <row r="662" spans="1:8" x14ac:dyDescent="0.4">
      <c r="A662" s="22" t="str">
        <f>DataSet!A197</f>
        <v>CUST0196</v>
      </c>
      <c r="B662" s="6">
        <f>DataSet!I197</f>
        <v>50075.6</v>
      </c>
      <c r="C662" s="23" t="str">
        <f t="shared" si="15"/>
        <v>High Value</v>
      </c>
      <c r="H662" s="13"/>
    </row>
    <row r="663" spans="1:8" x14ac:dyDescent="0.4">
      <c r="A663" s="22" t="str">
        <f>DataSet!A198</f>
        <v>CUST0197</v>
      </c>
      <c r="B663" s="6">
        <f>DataSet!I198</f>
        <v>221551.2</v>
      </c>
      <c r="C663" s="23" t="str">
        <f t="shared" si="15"/>
        <v>High Value</v>
      </c>
      <c r="H663" s="13"/>
    </row>
    <row r="664" spans="1:8" x14ac:dyDescent="0.4">
      <c r="A664" s="22" t="str">
        <f>DataSet!A199</f>
        <v>CUST0198</v>
      </c>
      <c r="B664" s="6">
        <f>DataSet!I199</f>
        <v>120951.6</v>
      </c>
      <c r="C664" s="23" t="str">
        <f t="shared" si="15"/>
        <v>High Value</v>
      </c>
      <c r="H664" s="13"/>
    </row>
    <row r="665" spans="1:8" x14ac:dyDescent="0.4">
      <c r="A665" s="22" t="str">
        <f>DataSet!A200</f>
        <v>CUST0199</v>
      </c>
      <c r="B665" s="6">
        <f>DataSet!I200</f>
        <v>23482.1</v>
      </c>
      <c r="C665" s="23" t="str">
        <f t="shared" si="15"/>
        <v>Regular</v>
      </c>
      <c r="H665" s="13"/>
    </row>
    <row r="666" spans="1:8" x14ac:dyDescent="0.4">
      <c r="A666" s="22" t="str">
        <f>DataSet!A201</f>
        <v>CUST0200</v>
      </c>
      <c r="B666" s="6">
        <f>DataSet!I201</f>
        <v>177683.20000000001</v>
      </c>
      <c r="C666" s="23" t="str">
        <f t="shared" si="15"/>
        <v>High Value</v>
      </c>
      <c r="H666" s="13"/>
    </row>
    <row r="667" spans="1:8" x14ac:dyDescent="0.4">
      <c r="A667" s="22" t="str">
        <f>DataSet!A202</f>
        <v>CUST0201</v>
      </c>
      <c r="B667" s="6">
        <f>DataSet!I202</f>
        <v>111600</v>
      </c>
      <c r="C667" s="23" t="str">
        <f t="shared" si="15"/>
        <v>High Value</v>
      </c>
      <c r="H667" s="13"/>
    </row>
    <row r="668" spans="1:8" x14ac:dyDescent="0.4">
      <c r="A668" s="22" t="str">
        <f>DataSet!A203</f>
        <v>CUST0202</v>
      </c>
      <c r="B668" s="6">
        <f>DataSet!I203</f>
        <v>302238.86</v>
      </c>
      <c r="C668" s="23" t="str">
        <f t="shared" si="15"/>
        <v>High Value</v>
      </c>
      <c r="H668" s="13"/>
    </row>
    <row r="669" spans="1:8" x14ac:dyDescent="0.4">
      <c r="A669" s="22" t="str">
        <f>DataSet!A204</f>
        <v>CUST0203</v>
      </c>
      <c r="B669" s="6">
        <f>DataSet!I204</f>
        <v>187357.1</v>
      </c>
      <c r="C669" s="23" t="str">
        <f t="shared" si="15"/>
        <v>High Value</v>
      </c>
      <c r="H669" s="13"/>
    </row>
    <row r="670" spans="1:8" x14ac:dyDescent="0.4">
      <c r="A670" s="22" t="str">
        <f>DataSet!A205</f>
        <v>CUST0204</v>
      </c>
      <c r="B670" s="6">
        <f>DataSet!I205</f>
        <v>78138.36</v>
      </c>
      <c r="C670" s="23" t="str">
        <f t="shared" si="15"/>
        <v>High Value</v>
      </c>
      <c r="H670" s="13"/>
    </row>
    <row r="671" spans="1:8" x14ac:dyDescent="0.4">
      <c r="A671" s="22" t="str">
        <f>DataSet!A206</f>
        <v>CUST0205</v>
      </c>
      <c r="B671" s="6">
        <f>DataSet!I206</f>
        <v>256032</v>
      </c>
      <c r="C671" s="23" t="str">
        <f t="shared" si="15"/>
        <v>High Value</v>
      </c>
      <c r="H671" s="13"/>
    </row>
    <row r="672" spans="1:8" x14ac:dyDescent="0.4">
      <c r="A672" s="22" t="str">
        <f>DataSet!A207</f>
        <v>CUST0206</v>
      </c>
      <c r="B672" s="6">
        <f>DataSet!I207</f>
        <v>150928.79999999999</v>
      </c>
      <c r="C672" s="23" t="str">
        <f t="shared" si="15"/>
        <v>High Value</v>
      </c>
      <c r="H672" s="13"/>
    </row>
    <row r="673" spans="1:8" x14ac:dyDescent="0.4">
      <c r="A673" s="22" t="str">
        <f>DataSet!A208</f>
        <v>CUST0207</v>
      </c>
      <c r="B673" s="6">
        <f>DataSet!I208</f>
        <v>48827.4</v>
      </c>
      <c r="C673" s="23" t="str">
        <f t="shared" si="15"/>
        <v>High Value</v>
      </c>
      <c r="H673" s="13"/>
    </row>
    <row r="674" spans="1:8" x14ac:dyDescent="0.4">
      <c r="A674" s="22" t="str">
        <f>DataSet!A209</f>
        <v>CUST0208</v>
      </c>
      <c r="B674" s="6">
        <f>DataSet!I209</f>
        <v>207784.8</v>
      </c>
      <c r="C674" s="23" t="str">
        <f t="shared" si="15"/>
        <v>High Value</v>
      </c>
      <c r="H674" s="13"/>
    </row>
    <row r="675" spans="1:8" x14ac:dyDescent="0.4">
      <c r="A675" s="22" t="str">
        <f>DataSet!A210</f>
        <v>CUST0209</v>
      </c>
      <c r="B675" s="6">
        <f>DataSet!I210</f>
        <v>144980</v>
      </c>
      <c r="C675" s="23" t="str">
        <f t="shared" si="15"/>
        <v>High Value</v>
      </c>
      <c r="H675" s="13"/>
    </row>
    <row r="676" spans="1:8" x14ac:dyDescent="0.4">
      <c r="A676" s="22" t="str">
        <f>DataSet!A211</f>
        <v>CUST0210</v>
      </c>
      <c r="B676" s="6">
        <f>DataSet!I211</f>
        <v>28550.34</v>
      </c>
      <c r="C676" s="23" t="str">
        <f t="shared" si="15"/>
        <v>High Value</v>
      </c>
      <c r="H676" s="13"/>
    </row>
    <row r="677" spans="1:8" x14ac:dyDescent="0.4">
      <c r="A677" s="22" t="str">
        <f>DataSet!A212</f>
        <v>CUST0211</v>
      </c>
      <c r="B677" s="6">
        <f>DataSet!I212</f>
        <v>222452</v>
      </c>
      <c r="C677" s="23" t="str">
        <f t="shared" si="15"/>
        <v>High Value</v>
      </c>
      <c r="H677" s="13"/>
    </row>
    <row r="678" spans="1:8" x14ac:dyDescent="0.4">
      <c r="A678" s="22" t="str">
        <f>DataSet!A213</f>
        <v>CUST0212</v>
      </c>
      <c r="B678" s="6">
        <f>DataSet!I213</f>
        <v>108217.76</v>
      </c>
      <c r="C678" s="23" t="str">
        <f t="shared" si="15"/>
        <v>High Value</v>
      </c>
      <c r="H678" s="13"/>
    </row>
    <row r="679" spans="1:8" x14ac:dyDescent="0.4">
      <c r="A679" s="22" t="str">
        <f>DataSet!A214</f>
        <v>CUST0213</v>
      </c>
      <c r="B679" s="6">
        <f>DataSet!I214</f>
        <v>292485.59999999998</v>
      </c>
      <c r="C679" s="23" t="str">
        <f t="shared" si="15"/>
        <v>High Value</v>
      </c>
      <c r="H679" s="13"/>
    </row>
    <row r="680" spans="1:8" x14ac:dyDescent="0.4">
      <c r="A680" s="22" t="str">
        <f>DataSet!A215</f>
        <v>CUST0214</v>
      </c>
      <c r="B680" s="6">
        <f>DataSet!I215</f>
        <v>182834.96</v>
      </c>
      <c r="C680" s="23" t="str">
        <f t="shared" si="15"/>
        <v>High Value</v>
      </c>
      <c r="H680" s="13"/>
    </row>
    <row r="681" spans="1:8" x14ac:dyDescent="0.4">
      <c r="A681" s="22" t="str">
        <f>DataSet!A216</f>
        <v>CUST0215</v>
      </c>
      <c r="B681" s="6">
        <f>DataSet!I216</f>
        <v>76035.899999999994</v>
      </c>
      <c r="C681" s="23" t="str">
        <f t="shared" si="15"/>
        <v>High Value</v>
      </c>
      <c r="H681" s="13"/>
    </row>
    <row r="682" spans="1:8" x14ac:dyDescent="0.4">
      <c r="A682" s="22" t="str">
        <f>DataSet!A217</f>
        <v>CUST0216</v>
      </c>
      <c r="B682" s="6">
        <f>DataSet!I217</f>
        <v>239640</v>
      </c>
      <c r="C682" s="23" t="str">
        <f t="shared" si="15"/>
        <v>High Value</v>
      </c>
      <c r="H682" s="13"/>
    </row>
    <row r="683" spans="1:8" x14ac:dyDescent="0.4">
      <c r="A683" s="22" t="str">
        <f>DataSet!A218</f>
        <v>CUST0217</v>
      </c>
      <c r="B683" s="6">
        <f>DataSet!I218</f>
        <v>180552</v>
      </c>
      <c r="C683" s="23" t="str">
        <f t="shared" si="15"/>
        <v>High Value</v>
      </c>
      <c r="H683" s="13"/>
    </row>
    <row r="684" spans="1:8" x14ac:dyDescent="0.4">
      <c r="A684" s="22" t="str">
        <f>DataSet!A219</f>
        <v>CUST0218</v>
      </c>
      <c r="B684" s="6">
        <f>DataSet!I219</f>
        <v>59248.84</v>
      </c>
      <c r="C684" s="23" t="str">
        <f t="shared" si="15"/>
        <v>High Value</v>
      </c>
      <c r="H684" s="13"/>
    </row>
    <row r="685" spans="1:8" x14ac:dyDescent="0.4">
      <c r="A685" s="22" t="str">
        <f>DataSet!A220</f>
        <v>CUST0219</v>
      </c>
      <c r="B685" s="6">
        <f>DataSet!I220</f>
        <v>259629.3</v>
      </c>
      <c r="C685" s="23" t="str">
        <f t="shared" si="15"/>
        <v>High Value</v>
      </c>
      <c r="H685" s="13"/>
    </row>
    <row r="686" spans="1:8" x14ac:dyDescent="0.4">
      <c r="A686" s="22" t="str">
        <f>DataSet!A221</f>
        <v>CUST0220</v>
      </c>
      <c r="B686" s="6">
        <f>DataSet!I221</f>
        <v>140313.79999999999</v>
      </c>
      <c r="C686" s="23" t="str">
        <f t="shared" si="15"/>
        <v>High Value</v>
      </c>
      <c r="H686" s="13"/>
    </row>
    <row r="687" spans="1:8" x14ac:dyDescent="0.4">
      <c r="A687" s="22" t="str">
        <f>DataSet!A222</f>
        <v>CUST0221</v>
      </c>
      <c r="B687" s="6">
        <f>DataSet!I222</f>
        <v>27576</v>
      </c>
      <c r="C687" s="23" t="str">
        <f t="shared" si="15"/>
        <v>High Value</v>
      </c>
      <c r="H687" s="13"/>
    </row>
    <row r="688" spans="1:8" x14ac:dyDescent="0.4">
      <c r="A688" s="22" t="str">
        <f>DataSet!A223</f>
        <v>CUST0222</v>
      </c>
      <c r="B688" s="6">
        <f>DataSet!I223</f>
        <v>216670.07999999999</v>
      </c>
      <c r="C688" s="23" t="str">
        <f t="shared" si="15"/>
        <v>High Value</v>
      </c>
      <c r="H688" s="13"/>
    </row>
    <row r="689" spans="1:8" x14ac:dyDescent="0.4">
      <c r="A689" s="22" t="str">
        <f>DataSet!A224</f>
        <v>CUST0223</v>
      </c>
      <c r="B689" s="6">
        <f>DataSet!I224</f>
        <v>105107.6</v>
      </c>
      <c r="C689" s="23" t="str">
        <f t="shared" si="15"/>
        <v>High Value</v>
      </c>
      <c r="H689" s="13"/>
    </row>
    <row r="690" spans="1:8" x14ac:dyDescent="0.4">
      <c r="A690" s="22" t="str">
        <f>DataSet!A225</f>
        <v>CUST0019</v>
      </c>
      <c r="B690" s="6">
        <f>DataSet!I225</f>
        <v>16906.2</v>
      </c>
      <c r="C690" s="23" t="str">
        <f t="shared" si="15"/>
        <v>Regular</v>
      </c>
      <c r="H690" s="13"/>
    </row>
    <row r="691" spans="1:8" x14ac:dyDescent="0.4">
      <c r="A691" s="22" t="str">
        <f>DataSet!A226</f>
        <v>CUST0044</v>
      </c>
      <c r="B691" s="6">
        <f>DataSet!I226</f>
        <v>29398.6</v>
      </c>
      <c r="C691" s="23" t="str">
        <f t="shared" si="15"/>
        <v>High Value</v>
      </c>
      <c r="H691" s="13"/>
    </row>
    <row r="692" spans="1:8" x14ac:dyDescent="0.4">
      <c r="A692" s="22" t="str">
        <f>DataSet!A227</f>
        <v>CUST0079</v>
      </c>
      <c r="B692" s="6">
        <f>DataSet!I227</f>
        <v>76064.800000000003</v>
      </c>
      <c r="C692" s="23" t="str">
        <f t="shared" si="15"/>
        <v>High Value</v>
      </c>
      <c r="H692" s="13"/>
    </row>
    <row r="693" spans="1:8" x14ac:dyDescent="0.4">
      <c r="A693" s="22" t="str">
        <f>DataSet!A228</f>
        <v>CUST0119</v>
      </c>
      <c r="B693" s="6">
        <f>DataSet!I228</f>
        <v>28332.2</v>
      </c>
      <c r="C693" s="23" t="str">
        <f t="shared" si="15"/>
        <v>High Value</v>
      </c>
      <c r="H693" s="13"/>
    </row>
    <row r="694" spans="1:8" ht="21.6" thickBot="1" x14ac:dyDescent="0.45">
      <c r="A694" s="24" t="str">
        <f>DataSet!A229</f>
        <v>CUST0159</v>
      </c>
      <c r="B694" s="29">
        <f>DataSet!I229</f>
        <v>131768.70000000001</v>
      </c>
      <c r="C694" s="25" t="str">
        <f t="shared" si="15"/>
        <v>High Value</v>
      </c>
      <c r="H694" s="13"/>
    </row>
    <row r="695" spans="1:8" x14ac:dyDescent="0.4">
      <c r="H695" s="13"/>
    </row>
    <row r="696" spans="1:8" ht="21.6" thickBot="1" x14ac:dyDescent="0.45">
      <c r="H696" s="13"/>
    </row>
    <row r="697" spans="1:8" ht="21.6" thickBot="1" x14ac:dyDescent="0.45">
      <c r="A697" s="70" t="s">
        <v>67</v>
      </c>
      <c r="B697" s="71"/>
      <c r="C697" s="71"/>
      <c r="D697" s="71"/>
      <c r="E697" s="71"/>
      <c r="F697" s="72"/>
      <c r="H697" s="13"/>
    </row>
    <row r="698" spans="1:8" ht="21.6" thickBot="1" x14ac:dyDescent="0.45">
      <c r="H698" s="13"/>
    </row>
    <row r="699" spans="1:8" x14ac:dyDescent="0.4">
      <c r="A699" s="34" t="s">
        <v>0</v>
      </c>
      <c r="B699" s="35" t="s">
        <v>24</v>
      </c>
      <c r="C699" s="36" t="s">
        <v>68</v>
      </c>
      <c r="H699" s="13"/>
    </row>
    <row r="700" spans="1:8" x14ac:dyDescent="0.4">
      <c r="A700" s="22" t="str">
        <f>DataSet!A2</f>
        <v>CUST0001</v>
      </c>
      <c r="B700" s="6">
        <f>DataSet!I2</f>
        <v>500</v>
      </c>
      <c r="C700" s="23" t="str">
        <f>IF(B700&gt;=50000,"Very High",IF(B700&gt;=25000,"High",IF(B700&gt;=10000,"Medium","Low")))</f>
        <v>Low</v>
      </c>
      <c r="H700" s="13"/>
    </row>
    <row r="701" spans="1:8" x14ac:dyDescent="0.4">
      <c r="A701" s="22" t="str">
        <f>DataSet!A3</f>
        <v>CUST0002</v>
      </c>
      <c r="B701" s="6">
        <f>DataSet!I3</f>
        <v>4994.08</v>
      </c>
      <c r="C701" s="23" t="str">
        <f t="shared" ref="C701:C764" si="16">IF(B701&gt;=50000,"Very High",IF(B701&gt;=25000,"High",IF(B701&gt;=10000,"Medium","Low")))</f>
        <v>Low</v>
      </c>
      <c r="H701" s="13"/>
    </row>
    <row r="702" spans="1:8" x14ac:dyDescent="0.4">
      <c r="A702" s="22" t="str">
        <f>DataSet!A4</f>
        <v>CUST0003</v>
      </c>
      <c r="B702" s="6">
        <f>DataSet!I4</f>
        <v>2941.2</v>
      </c>
      <c r="C702" s="23" t="str">
        <f t="shared" si="16"/>
        <v>Low</v>
      </c>
      <c r="H702" s="13"/>
    </row>
    <row r="703" spans="1:8" x14ac:dyDescent="0.4">
      <c r="A703" s="22" t="str">
        <f>DataSet!A5</f>
        <v>CUST0004</v>
      </c>
      <c r="B703" s="6">
        <f>DataSet!I5</f>
        <v>9219.32</v>
      </c>
      <c r="C703" s="23" t="str">
        <f t="shared" si="16"/>
        <v>Low</v>
      </c>
      <c r="H703" s="13"/>
    </row>
    <row r="704" spans="1:8" x14ac:dyDescent="0.4">
      <c r="A704" s="22" t="str">
        <f>DataSet!A6</f>
        <v>CUST0005</v>
      </c>
      <c r="B704" s="6">
        <f>DataSet!I6</f>
        <v>6602.4</v>
      </c>
      <c r="C704" s="23" t="str">
        <f t="shared" si="16"/>
        <v>Low</v>
      </c>
      <c r="H704" s="13"/>
    </row>
    <row r="705" spans="1:8" x14ac:dyDescent="0.4">
      <c r="A705" s="22" t="str">
        <f>DataSet!A7</f>
        <v>CUST0006</v>
      </c>
      <c r="B705" s="6">
        <f>DataSet!I7</f>
        <v>3128.4</v>
      </c>
      <c r="C705" s="23" t="str">
        <f t="shared" si="16"/>
        <v>Low</v>
      </c>
      <c r="H705" s="13"/>
    </row>
    <row r="706" spans="1:8" x14ac:dyDescent="0.4">
      <c r="A706" s="22" t="str">
        <f>DataSet!A8</f>
        <v>CUST0007</v>
      </c>
      <c r="B706" s="6">
        <f>DataSet!I8</f>
        <v>11237</v>
      </c>
      <c r="C706" s="23" t="str">
        <f t="shared" si="16"/>
        <v>Medium</v>
      </c>
      <c r="H706" s="13"/>
    </row>
    <row r="707" spans="1:8" x14ac:dyDescent="0.4">
      <c r="A707" s="22" t="str">
        <f>DataSet!A9</f>
        <v>CUST0008</v>
      </c>
      <c r="B707" s="6">
        <f>DataSet!I9</f>
        <v>7003.2</v>
      </c>
      <c r="C707" s="23" t="str">
        <f t="shared" si="16"/>
        <v>Low</v>
      </c>
      <c r="H707" s="13"/>
    </row>
    <row r="708" spans="1:8" x14ac:dyDescent="0.4">
      <c r="A708" s="22" t="str">
        <f>DataSet!A10</f>
        <v>CUST0009</v>
      </c>
      <c r="B708" s="6">
        <f>DataSet!I10</f>
        <v>3192</v>
      </c>
      <c r="C708" s="23" t="str">
        <f t="shared" si="16"/>
        <v>Low</v>
      </c>
      <c r="H708" s="13"/>
    </row>
    <row r="709" spans="1:8" x14ac:dyDescent="0.4">
      <c r="A709" s="22" t="str">
        <f>DataSet!A11</f>
        <v>CUST0010</v>
      </c>
      <c r="B709" s="6">
        <f>DataSet!I11</f>
        <v>15285.06</v>
      </c>
      <c r="C709" s="23" t="str">
        <f t="shared" si="16"/>
        <v>Medium</v>
      </c>
      <c r="H709" s="13"/>
    </row>
    <row r="710" spans="1:8" x14ac:dyDescent="0.4">
      <c r="A710" s="22" t="str">
        <f>DataSet!A12</f>
        <v>CUST0011</v>
      </c>
      <c r="B710" s="6">
        <f>DataSet!I12</f>
        <v>8882.5</v>
      </c>
      <c r="C710" s="23" t="str">
        <f t="shared" si="16"/>
        <v>Low</v>
      </c>
      <c r="H710" s="13"/>
    </row>
    <row r="711" spans="1:8" x14ac:dyDescent="0.4">
      <c r="A711" s="22" t="str">
        <f>DataSet!A13</f>
        <v>CUST0012</v>
      </c>
      <c r="B711" s="6">
        <f>DataSet!I13</f>
        <v>1846.44</v>
      </c>
      <c r="C711" s="23" t="str">
        <f t="shared" si="16"/>
        <v>Low</v>
      </c>
      <c r="H711" s="13"/>
    </row>
    <row r="712" spans="1:8" x14ac:dyDescent="0.4">
      <c r="A712" s="22" t="str">
        <f>DataSet!A14</f>
        <v>CUST0013</v>
      </c>
      <c r="B712" s="6">
        <f>DataSet!I14</f>
        <v>15436.8</v>
      </c>
      <c r="C712" s="23" t="str">
        <f t="shared" si="16"/>
        <v>Medium</v>
      </c>
      <c r="H712" s="13"/>
    </row>
    <row r="713" spans="1:8" x14ac:dyDescent="0.4">
      <c r="A713" s="22" t="str">
        <f>DataSet!A15</f>
        <v>CUST0014</v>
      </c>
      <c r="B713" s="6">
        <f>DataSet!I15</f>
        <v>8029.12</v>
      </c>
      <c r="C713" s="23" t="str">
        <f t="shared" si="16"/>
        <v>Low</v>
      </c>
      <c r="H713" s="13"/>
    </row>
    <row r="714" spans="1:8" x14ac:dyDescent="0.4">
      <c r="A714" s="22" t="str">
        <f>DataSet!A16</f>
        <v>CUST0015</v>
      </c>
      <c r="B714" s="6">
        <f>DataSet!I16</f>
        <v>22608.3</v>
      </c>
      <c r="C714" s="23" t="str">
        <f t="shared" si="16"/>
        <v>Medium</v>
      </c>
      <c r="H714" s="13"/>
    </row>
    <row r="715" spans="1:8" x14ac:dyDescent="0.4">
      <c r="A715" s="22" t="str">
        <f>DataSet!A17</f>
        <v>CUST0016</v>
      </c>
      <c r="B715" s="6">
        <f>DataSet!I17</f>
        <v>14308</v>
      </c>
      <c r="C715" s="23" t="str">
        <f t="shared" si="16"/>
        <v>Medium</v>
      </c>
      <c r="H715" s="13"/>
    </row>
    <row r="716" spans="1:8" x14ac:dyDescent="0.4">
      <c r="A716" s="22" t="str">
        <f>DataSet!A18</f>
        <v>CUST0017</v>
      </c>
      <c r="B716" s="6">
        <f>DataSet!I18</f>
        <v>20406</v>
      </c>
      <c r="C716" s="23" t="str">
        <f t="shared" si="16"/>
        <v>Medium</v>
      </c>
      <c r="H716" s="13"/>
    </row>
    <row r="717" spans="1:8" x14ac:dyDescent="0.4">
      <c r="A717" s="22" t="str">
        <f>DataSet!A19</f>
        <v>CUST0018</v>
      </c>
      <c r="B717" s="6">
        <f>DataSet!I19</f>
        <v>27724.2</v>
      </c>
      <c r="C717" s="23" t="str">
        <f t="shared" si="16"/>
        <v>High</v>
      </c>
      <c r="H717" s="13"/>
    </row>
    <row r="718" spans="1:8" x14ac:dyDescent="0.4">
      <c r="A718" s="22" t="str">
        <f>DataSet!A20</f>
        <v>CUST0019</v>
      </c>
      <c r="B718" s="6">
        <f>DataSet!I20</f>
        <v>16906.2</v>
      </c>
      <c r="C718" s="23" t="str">
        <f t="shared" si="16"/>
        <v>Medium</v>
      </c>
      <c r="H718" s="13"/>
    </row>
    <row r="719" spans="1:8" x14ac:dyDescent="0.4">
      <c r="A719" s="22" t="str">
        <f>DataSet!A21</f>
        <v>CUST0020</v>
      </c>
      <c r="B719" s="6">
        <f>DataSet!I21</f>
        <v>5709.52</v>
      </c>
      <c r="C719" s="23" t="str">
        <f t="shared" si="16"/>
        <v>Low</v>
      </c>
      <c r="H719" s="13"/>
    </row>
    <row r="720" spans="1:8" x14ac:dyDescent="0.4">
      <c r="A720" s="22" t="str">
        <f>DataSet!A22</f>
        <v>CUST0021</v>
      </c>
      <c r="B720" s="6">
        <f>DataSet!I22</f>
        <v>26244</v>
      </c>
      <c r="C720" s="23" t="str">
        <f t="shared" si="16"/>
        <v>High</v>
      </c>
      <c r="H720" s="13"/>
    </row>
    <row r="721" spans="1:8" x14ac:dyDescent="0.4">
      <c r="A721" s="22" t="str">
        <f>DataSet!A23</f>
        <v>CUST0022</v>
      </c>
      <c r="B721" s="6">
        <f>DataSet!I23</f>
        <v>14858.8</v>
      </c>
      <c r="C721" s="23" t="str">
        <f t="shared" si="16"/>
        <v>Medium</v>
      </c>
      <c r="H721" s="13"/>
    </row>
    <row r="722" spans="1:8" x14ac:dyDescent="0.4">
      <c r="A722" s="22" t="str">
        <f>DataSet!A24</f>
        <v>CUST0023</v>
      </c>
      <c r="B722" s="6">
        <f>DataSet!I24</f>
        <v>2986.9</v>
      </c>
      <c r="C722" s="23" t="str">
        <f t="shared" si="16"/>
        <v>Low</v>
      </c>
      <c r="H722" s="13"/>
    </row>
    <row r="723" spans="1:8" x14ac:dyDescent="0.4">
      <c r="A723" s="22" t="str">
        <f>DataSet!A25</f>
        <v>CUST0024</v>
      </c>
      <c r="B723" s="6">
        <f>DataSet!I25</f>
        <v>26287.200000000001</v>
      </c>
      <c r="C723" s="23" t="str">
        <f t="shared" si="16"/>
        <v>High</v>
      </c>
      <c r="H723" s="13"/>
    </row>
    <row r="724" spans="1:8" x14ac:dyDescent="0.4">
      <c r="A724" s="22" t="str">
        <f>DataSet!A26</f>
        <v>CUST0025</v>
      </c>
      <c r="B724" s="6">
        <f>DataSet!I26</f>
        <v>15152</v>
      </c>
      <c r="C724" s="23" t="str">
        <f t="shared" si="16"/>
        <v>Medium</v>
      </c>
      <c r="H724" s="13"/>
    </row>
    <row r="725" spans="1:8" x14ac:dyDescent="0.4">
      <c r="A725" s="22" t="str">
        <f>DataSet!A27</f>
        <v>CUST0026</v>
      </c>
      <c r="B725" s="6">
        <f>DataSet!I27</f>
        <v>42311.5</v>
      </c>
      <c r="C725" s="23" t="str">
        <f t="shared" si="16"/>
        <v>High</v>
      </c>
      <c r="H725" s="13"/>
    </row>
    <row r="726" spans="1:8" x14ac:dyDescent="0.4">
      <c r="A726" s="22" t="str">
        <f>DataSet!A28</f>
        <v>CUST0027</v>
      </c>
      <c r="B726" s="6">
        <f>DataSet!I28</f>
        <v>27012.3</v>
      </c>
      <c r="C726" s="23" t="str">
        <f t="shared" si="16"/>
        <v>High</v>
      </c>
      <c r="H726" s="13"/>
    </row>
    <row r="727" spans="1:8" x14ac:dyDescent="0.4">
      <c r="A727" s="22" t="str">
        <f>DataSet!A29</f>
        <v>CUST0028</v>
      </c>
      <c r="B727" s="6">
        <f>DataSet!I29</f>
        <v>11589.24</v>
      </c>
      <c r="C727" s="23" t="str">
        <f t="shared" si="16"/>
        <v>Medium</v>
      </c>
      <c r="H727" s="13"/>
    </row>
    <row r="728" spans="1:8" x14ac:dyDescent="0.4">
      <c r="A728" s="22" t="str">
        <f>DataSet!A30</f>
        <v>CUST0029</v>
      </c>
      <c r="B728" s="6">
        <f>DataSet!I30</f>
        <v>39024</v>
      </c>
      <c r="C728" s="23" t="str">
        <f t="shared" si="16"/>
        <v>High</v>
      </c>
      <c r="H728" s="13"/>
    </row>
    <row r="729" spans="1:8" x14ac:dyDescent="0.4">
      <c r="A729" s="22" t="str">
        <f>DataSet!A31</f>
        <v>CUST0030</v>
      </c>
      <c r="B729" s="6">
        <f>DataSet!I31</f>
        <v>23617.439999999999</v>
      </c>
      <c r="C729" s="23" t="str">
        <f t="shared" si="16"/>
        <v>Medium</v>
      </c>
      <c r="H729" s="13"/>
    </row>
    <row r="730" spans="1:8" x14ac:dyDescent="0.4">
      <c r="A730" s="22" t="str">
        <f>DataSet!A32</f>
        <v>CUST0031</v>
      </c>
      <c r="B730" s="6">
        <f>DataSet!I32</f>
        <v>7837</v>
      </c>
      <c r="C730" s="23" t="str">
        <f t="shared" si="16"/>
        <v>Low</v>
      </c>
      <c r="H730" s="13"/>
    </row>
    <row r="731" spans="1:8" x14ac:dyDescent="0.4">
      <c r="A731" s="22" t="str">
        <f>DataSet!A33</f>
        <v>CUST0032</v>
      </c>
      <c r="B731" s="6">
        <f>DataSet!I33</f>
        <v>34178.400000000001</v>
      </c>
      <c r="C731" s="23" t="str">
        <f t="shared" si="16"/>
        <v>High</v>
      </c>
      <c r="H731" s="13"/>
    </row>
    <row r="732" spans="1:8" x14ac:dyDescent="0.4">
      <c r="A732" s="22" t="str">
        <f>DataSet!A34</f>
        <v>CUST0033</v>
      </c>
      <c r="B732" s="6">
        <f>DataSet!I34</f>
        <v>24420</v>
      </c>
      <c r="C732" s="23" t="str">
        <f t="shared" si="16"/>
        <v>Medium</v>
      </c>
      <c r="H732" s="13"/>
    </row>
    <row r="733" spans="1:8" x14ac:dyDescent="0.4">
      <c r="A733" s="22" t="str">
        <f>DataSet!A35</f>
        <v>CUST0034</v>
      </c>
      <c r="B733" s="6">
        <f>DataSet!I35</f>
        <v>4920.58</v>
      </c>
      <c r="C733" s="23" t="str">
        <f t="shared" si="16"/>
        <v>Low</v>
      </c>
      <c r="H733" s="13"/>
    </row>
    <row r="734" spans="1:8" x14ac:dyDescent="0.4">
      <c r="A734" s="22" t="str">
        <f>DataSet!A36</f>
        <v>CUST0035</v>
      </c>
      <c r="B734" s="6">
        <f>DataSet!I36</f>
        <v>39200.800000000003</v>
      </c>
      <c r="C734" s="23" t="str">
        <f t="shared" si="16"/>
        <v>High</v>
      </c>
      <c r="H734" s="13"/>
    </row>
    <row r="735" spans="1:8" x14ac:dyDescent="0.4">
      <c r="A735" s="22" t="str">
        <f>DataSet!A37</f>
        <v>CUST0036</v>
      </c>
      <c r="B735" s="6">
        <f>DataSet!I37</f>
        <v>19485.599999999999</v>
      </c>
      <c r="C735" s="23" t="str">
        <f t="shared" si="16"/>
        <v>Medium</v>
      </c>
      <c r="H735" s="13"/>
    </row>
    <row r="736" spans="1:8" x14ac:dyDescent="0.4">
      <c r="A736" s="22" t="str">
        <f>DataSet!A38</f>
        <v>CUST0037</v>
      </c>
      <c r="B736" s="6">
        <f>DataSet!I38</f>
        <v>53776.800000000003</v>
      </c>
      <c r="C736" s="23" t="str">
        <f t="shared" si="16"/>
        <v>Very High</v>
      </c>
      <c r="H736" s="13"/>
    </row>
    <row r="737" spans="1:8" x14ac:dyDescent="0.4">
      <c r="A737" s="22" t="str">
        <f>DataSet!A39</f>
        <v>CUST0038</v>
      </c>
      <c r="B737" s="6">
        <f>DataSet!I39</f>
        <v>34305.040000000001</v>
      </c>
      <c r="C737" s="23" t="str">
        <f t="shared" si="16"/>
        <v>High</v>
      </c>
      <c r="H737" s="13"/>
    </row>
    <row r="738" spans="1:8" x14ac:dyDescent="0.4">
      <c r="A738" s="22" t="str">
        <f>DataSet!A40</f>
        <v>CUST0039</v>
      </c>
      <c r="B738" s="6">
        <f>DataSet!I40</f>
        <v>14550.3</v>
      </c>
      <c r="C738" s="23" t="str">
        <f t="shared" si="16"/>
        <v>Medium</v>
      </c>
      <c r="H738" s="13"/>
    </row>
    <row r="739" spans="1:8" x14ac:dyDescent="0.4">
      <c r="A739" s="22" t="str">
        <f>DataSet!A41</f>
        <v>CUST0040</v>
      </c>
      <c r="B739" s="6">
        <f>DataSet!I41</f>
        <v>46744</v>
      </c>
      <c r="C739" s="23" t="str">
        <f t="shared" si="16"/>
        <v>High</v>
      </c>
      <c r="H739" s="13"/>
    </row>
    <row r="740" spans="1:8" x14ac:dyDescent="0.4">
      <c r="A740" s="22" t="str">
        <f>DataSet!A42</f>
        <v>CUST0041</v>
      </c>
      <c r="B740" s="6">
        <f>DataSet!I42</f>
        <v>35880</v>
      </c>
      <c r="C740" s="23" t="str">
        <f t="shared" si="16"/>
        <v>High</v>
      </c>
      <c r="H740" s="13"/>
    </row>
    <row r="741" spans="1:8" x14ac:dyDescent="0.4">
      <c r="A741" s="22" t="str">
        <f>DataSet!A43</f>
        <v>CUST0042</v>
      </c>
      <c r="B741" s="6">
        <f>DataSet!I43</f>
        <v>11989.32</v>
      </c>
      <c r="C741" s="23" t="str">
        <f t="shared" si="16"/>
        <v>Medium</v>
      </c>
      <c r="H741" s="13"/>
    </row>
    <row r="742" spans="1:8" x14ac:dyDescent="0.4">
      <c r="A742" s="22" t="str">
        <f>DataSet!A44</f>
        <v>CUST0043</v>
      </c>
      <c r="B742" s="6">
        <f>DataSet!I44</f>
        <v>53471.7</v>
      </c>
      <c r="C742" s="23" t="str">
        <f t="shared" si="16"/>
        <v>Very High</v>
      </c>
      <c r="H742" s="13"/>
    </row>
    <row r="743" spans="1:8" x14ac:dyDescent="0.4">
      <c r="A743" s="22" t="str">
        <f>DataSet!A45</f>
        <v>CUST0044</v>
      </c>
      <c r="B743" s="6">
        <f>DataSet!I45</f>
        <v>29398.6</v>
      </c>
      <c r="C743" s="23" t="str">
        <f t="shared" si="16"/>
        <v>High</v>
      </c>
      <c r="H743" s="13"/>
    </row>
    <row r="744" spans="1:8" x14ac:dyDescent="0.4">
      <c r="A744" s="22" t="str">
        <f>DataSet!A46</f>
        <v>CUST0045</v>
      </c>
      <c r="B744" s="6">
        <f>DataSet!I46</f>
        <v>5875.2</v>
      </c>
      <c r="C744" s="23" t="str">
        <f t="shared" si="16"/>
        <v>Low</v>
      </c>
      <c r="H744" s="13"/>
    </row>
    <row r="745" spans="1:8" x14ac:dyDescent="0.4">
      <c r="A745" s="22" t="str">
        <f>DataSet!A47</f>
        <v>CUST0046</v>
      </c>
      <c r="B745" s="6">
        <f>DataSet!I47</f>
        <v>46921.599999999999</v>
      </c>
      <c r="C745" s="23" t="str">
        <f t="shared" si="16"/>
        <v>High</v>
      </c>
      <c r="H745" s="13"/>
    </row>
    <row r="746" spans="1:8" x14ac:dyDescent="0.4">
      <c r="A746" s="22" t="str">
        <f>DataSet!A48</f>
        <v>CUST0047</v>
      </c>
      <c r="B746" s="6">
        <f>DataSet!I48</f>
        <v>23126.799999999999</v>
      </c>
      <c r="C746" s="23" t="str">
        <f t="shared" si="16"/>
        <v>Medium</v>
      </c>
      <c r="H746" s="13"/>
    </row>
    <row r="747" spans="1:8" x14ac:dyDescent="0.4">
      <c r="A747" s="22" t="str">
        <f>DataSet!A49</f>
        <v>CUST0048</v>
      </c>
      <c r="B747" s="6">
        <f>DataSet!I49</f>
        <v>61063.199999999997</v>
      </c>
      <c r="C747" s="23" t="str">
        <f t="shared" si="16"/>
        <v>Very High</v>
      </c>
      <c r="H747" s="13"/>
    </row>
    <row r="748" spans="1:8" x14ac:dyDescent="0.4">
      <c r="A748" s="22" t="str">
        <f>DataSet!A50</f>
        <v>CUST0049</v>
      </c>
      <c r="B748" s="6">
        <f>DataSet!I50</f>
        <v>49532</v>
      </c>
      <c r="C748" s="23" t="str">
        <f t="shared" si="16"/>
        <v>High</v>
      </c>
      <c r="H748" s="13"/>
    </row>
    <row r="749" spans="1:8" x14ac:dyDescent="0.4">
      <c r="A749" s="22" t="str">
        <f>DataSet!A51</f>
        <v>CUST0050</v>
      </c>
      <c r="B749" s="6">
        <f>DataSet!I51</f>
        <v>21206.22</v>
      </c>
      <c r="C749" s="23" t="str">
        <f t="shared" si="16"/>
        <v>Medium</v>
      </c>
      <c r="H749" s="13"/>
    </row>
    <row r="750" spans="1:8" x14ac:dyDescent="0.4">
      <c r="A750" s="22" t="str">
        <f>DataSet!A52</f>
        <v>CUST0051</v>
      </c>
      <c r="B750" s="6">
        <f>DataSet!I52</f>
        <v>69825</v>
      </c>
      <c r="C750" s="23" t="str">
        <f t="shared" si="16"/>
        <v>Very High</v>
      </c>
      <c r="H750" s="13"/>
    </row>
    <row r="751" spans="1:8" x14ac:dyDescent="0.4">
      <c r="A751" s="22" t="str">
        <f>DataSet!A53</f>
        <v>CUST0052</v>
      </c>
      <c r="B751" s="6">
        <f>DataSet!I53</f>
        <v>41328.239999999998</v>
      </c>
      <c r="C751" s="23" t="str">
        <f t="shared" si="16"/>
        <v>High</v>
      </c>
      <c r="H751" s="13"/>
    </row>
    <row r="752" spans="1:8" x14ac:dyDescent="0.4">
      <c r="A752" s="22" t="str">
        <f>DataSet!A54</f>
        <v>CUST0053</v>
      </c>
      <c r="B752" s="6">
        <f>DataSet!I54</f>
        <v>13723.2</v>
      </c>
      <c r="C752" s="23" t="str">
        <f t="shared" si="16"/>
        <v>Medium</v>
      </c>
      <c r="H752" s="13"/>
    </row>
    <row r="753" spans="1:8" x14ac:dyDescent="0.4">
      <c r="A753" s="22" t="str">
        <f>DataSet!A55</f>
        <v>CUST0054</v>
      </c>
      <c r="B753" s="6">
        <f>DataSet!I55</f>
        <v>61467.12</v>
      </c>
      <c r="C753" s="23" t="str">
        <f t="shared" si="16"/>
        <v>Very High</v>
      </c>
      <c r="H753" s="13"/>
    </row>
    <row r="754" spans="1:8" x14ac:dyDescent="0.4">
      <c r="A754" s="22" t="str">
        <f>DataSet!A56</f>
        <v>CUST0055</v>
      </c>
      <c r="B754" s="6">
        <f>DataSet!I56</f>
        <v>33566.5</v>
      </c>
      <c r="C754" s="23" t="str">
        <f t="shared" si="16"/>
        <v>High</v>
      </c>
      <c r="H754" s="13"/>
    </row>
    <row r="755" spans="1:8" x14ac:dyDescent="0.4">
      <c r="A755" s="22" t="str">
        <f>DataSet!A57</f>
        <v>CUST0056</v>
      </c>
      <c r="B755" s="6">
        <f>DataSet!I57</f>
        <v>6428</v>
      </c>
      <c r="C755" s="23" t="str">
        <f t="shared" si="16"/>
        <v>Low</v>
      </c>
      <c r="H755" s="13"/>
    </row>
    <row r="756" spans="1:8" x14ac:dyDescent="0.4">
      <c r="A756" s="22" t="str">
        <f>DataSet!A58</f>
        <v>CUST0057</v>
      </c>
      <c r="B756" s="6">
        <f>DataSet!I58</f>
        <v>65376</v>
      </c>
      <c r="C756" s="23" t="str">
        <f t="shared" si="16"/>
        <v>Very High</v>
      </c>
      <c r="H756" s="13"/>
    </row>
    <row r="757" spans="1:8" x14ac:dyDescent="0.4">
      <c r="A757" s="22" t="str">
        <f>DataSet!A59</f>
        <v>CUST0058</v>
      </c>
      <c r="B757" s="6">
        <f>DataSet!I59</f>
        <v>32571.279999999999</v>
      </c>
      <c r="C757" s="23" t="str">
        <f t="shared" si="16"/>
        <v>High</v>
      </c>
      <c r="H757" s="13"/>
    </row>
    <row r="758" spans="1:8" x14ac:dyDescent="0.4">
      <c r="A758" s="22" t="str">
        <f>DataSet!A60</f>
        <v>CUST0059</v>
      </c>
      <c r="B758" s="6">
        <f>DataSet!I60</f>
        <v>88260.7</v>
      </c>
      <c r="C758" s="23" t="str">
        <f t="shared" si="16"/>
        <v>Very High</v>
      </c>
      <c r="H758" s="13"/>
    </row>
    <row r="759" spans="1:8" x14ac:dyDescent="0.4">
      <c r="A759" s="22" t="str">
        <f>DataSet!A61</f>
        <v>CUST0060</v>
      </c>
      <c r="B759" s="6">
        <f>DataSet!I61</f>
        <v>55274.52</v>
      </c>
      <c r="C759" s="23" t="str">
        <f t="shared" si="16"/>
        <v>Very High</v>
      </c>
      <c r="H759" s="13"/>
    </row>
    <row r="760" spans="1:8" x14ac:dyDescent="0.4">
      <c r="A760" s="22" t="str">
        <f>DataSet!A62</f>
        <v>CUST0061</v>
      </c>
      <c r="B760" s="6">
        <f>DataSet!I62</f>
        <v>23544</v>
      </c>
      <c r="C760" s="23" t="str">
        <f t="shared" si="16"/>
        <v>Medium</v>
      </c>
      <c r="H760" s="13"/>
    </row>
    <row r="761" spans="1:8" x14ac:dyDescent="0.4">
      <c r="A761" s="22" t="str">
        <f>DataSet!A63</f>
        <v>CUST0062</v>
      </c>
      <c r="B761" s="6">
        <f>DataSet!I63</f>
        <v>77941.600000000006</v>
      </c>
      <c r="C761" s="23" t="str">
        <f t="shared" si="16"/>
        <v>Very High</v>
      </c>
      <c r="H761" s="13"/>
    </row>
    <row r="762" spans="1:8" x14ac:dyDescent="0.4">
      <c r="A762" s="22" t="str">
        <f>DataSet!A64</f>
        <v>CUST0063</v>
      </c>
      <c r="B762" s="6">
        <f>DataSet!I64</f>
        <v>45869.4</v>
      </c>
      <c r="C762" s="23" t="str">
        <f t="shared" si="16"/>
        <v>High</v>
      </c>
      <c r="H762" s="13"/>
    </row>
    <row r="763" spans="1:8" x14ac:dyDescent="0.4">
      <c r="A763" s="22" t="str">
        <f>DataSet!A65</f>
        <v>CUST0064</v>
      </c>
      <c r="B763" s="6">
        <f>DataSet!I65</f>
        <v>14609.6</v>
      </c>
      <c r="C763" s="23" t="str">
        <f t="shared" si="16"/>
        <v>Medium</v>
      </c>
      <c r="H763" s="13"/>
    </row>
    <row r="764" spans="1:8" x14ac:dyDescent="0.4">
      <c r="A764" s="22" t="str">
        <f>DataSet!A66</f>
        <v>CUST0065</v>
      </c>
      <c r="B764" s="6">
        <f>DataSet!I66</f>
        <v>83412</v>
      </c>
      <c r="C764" s="23" t="str">
        <f t="shared" si="16"/>
        <v>Very High</v>
      </c>
      <c r="H764" s="13"/>
    </row>
    <row r="765" spans="1:8" x14ac:dyDescent="0.4">
      <c r="A765" s="22" t="str">
        <f>DataSet!A67</f>
        <v>CUST0066</v>
      </c>
      <c r="B765" s="6">
        <f>DataSet!I67</f>
        <v>46084.5</v>
      </c>
      <c r="C765" s="23" t="str">
        <f t="shared" ref="C765:C828" si="17">IF(B765&gt;=50000,"Very High",IF(B765&gt;=25000,"High",IF(B765&gt;=10000,"Medium","Low")))</f>
        <v>High</v>
      </c>
      <c r="H765" s="13"/>
    </row>
    <row r="766" spans="1:8" x14ac:dyDescent="0.4">
      <c r="A766" s="22" t="str">
        <f>DataSet!A68</f>
        <v>CUST0067</v>
      </c>
      <c r="B766" s="6">
        <f>DataSet!I68</f>
        <v>9064.9</v>
      </c>
      <c r="C766" s="23" t="str">
        <f t="shared" si="17"/>
        <v>Low</v>
      </c>
      <c r="H766" s="13"/>
    </row>
    <row r="767" spans="1:8" x14ac:dyDescent="0.4">
      <c r="A767" s="22" t="str">
        <f>DataSet!A69</f>
        <v>CUST0068</v>
      </c>
      <c r="B767" s="6">
        <f>DataSet!I69</f>
        <v>71237.440000000002</v>
      </c>
      <c r="C767" s="23" t="str">
        <f t="shared" si="17"/>
        <v>Very High</v>
      </c>
      <c r="H767" s="13"/>
    </row>
    <row r="768" spans="1:8" x14ac:dyDescent="0.4">
      <c r="A768" s="22" t="str">
        <f>DataSet!A70</f>
        <v>CUST0069</v>
      </c>
      <c r="B768" s="6">
        <f>DataSet!I70</f>
        <v>35337.599999999999</v>
      </c>
      <c r="C768" s="23" t="str">
        <f t="shared" si="17"/>
        <v>High</v>
      </c>
      <c r="H768" s="13"/>
    </row>
    <row r="769" spans="1:8" x14ac:dyDescent="0.4">
      <c r="A769" s="22" t="str">
        <f>DataSet!A71</f>
        <v>CUST0070</v>
      </c>
      <c r="B769" s="6">
        <f>DataSet!I71</f>
        <v>96345.04</v>
      </c>
      <c r="C769" s="23" t="str">
        <f t="shared" si="17"/>
        <v>Very High</v>
      </c>
      <c r="H769" s="13"/>
    </row>
    <row r="770" spans="1:8" x14ac:dyDescent="0.4">
      <c r="A770" s="22" t="str">
        <f>DataSet!A72</f>
        <v>CUST0071</v>
      </c>
      <c r="B770" s="6">
        <f>DataSet!I72</f>
        <v>60035.5</v>
      </c>
      <c r="C770" s="23" t="str">
        <f t="shared" si="17"/>
        <v>Very High</v>
      </c>
      <c r="H770" s="13"/>
    </row>
    <row r="771" spans="1:8" x14ac:dyDescent="0.4">
      <c r="A771" s="22" t="str">
        <f>DataSet!A73</f>
        <v>CUST0072</v>
      </c>
      <c r="B771" s="6">
        <f>DataSet!I73</f>
        <v>24544.799999999999</v>
      </c>
      <c r="C771" s="23" t="str">
        <f t="shared" si="17"/>
        <v>Medium</v>
      </c>
      <c r="H771" s="13"/>
    </row>
    <row r="772" spans="1:8" x14ac:dyDescent="0.4">
      <c r="A772" s="22" t="str">
        <f>DataSet!A74</f>
        <v>CUST0073</v>
      </c>
      <c r="B772" s="6">
        <f>DataSet!I74</f>
        <v>103640</v>
      </c>
      <c r="C772" s="23" t="str">
        <f t="shared" si="17"/>
        <v>Very High</v>
      </c>
      <c r="H772" s="13"/>
    </row>
    <row r="773" spans="1:8" x14ac:dyDescent="0.4">
      <c r="A773" s="22" t="str">
        <f>DataSet!A75</f>
        <v>CUST0074</v>
      </c>
      <c r="B773" s="6">
        <f>DataSet!I75</f>
        <v>61745.88</v>
      </c>
      <c r="C773" s="23" t="str">
        <f t="shared" si="17"/>
        <v>Very High</v>
      </c>
      <c r="H773" s="13"/>
    </row>
    <row r="774" spans="1:8" x14ac:dyDescent="0.4">
      <c r="A774" s="22" t="str">
        <f>DataSet!A76</f>
        <v>CUST0075</v>
      </c>
      <c r="B774" s="6">
        <f>DataSet!I76</f>
        <v>20212.2</v>
      </c>
      <c r="C774" s="23" t="str">
        <f t="shared" si="17"/>
        <v>Medium</v>
      </c>
      <c r="H774" s="13"/>
    </row>
    <row r="775" spans="1:8" x14ac:dyDescent="0.4">
      <c r="A775" s="22" t="str">
        <f>DataSet!A77</f>
        <v>CUST0076</v>
      </c>
      <c r="B775" s="6">
        <f>DataSet!I77</f>
        <v>123247.8</v>
      </c>
      <c r="C775" s="23" t="str">
        <f t="shared" si="17"/>
        <v>Very High</v>
      </c>
      <c r="H775" s="13"/>
    </row>
    <row r="776" spans="1:8" x14ac:dyDescent="0.4">
      <c r="A776" s="22" t="str">
        <f>DataSet!A78</f>
        <v>CUST0077</v>
      </c>
      <c r="B776" s="6">
        <f>DataSet!I78</f>
        <v>49104</v>
      </c>
      <c r="C776" s="23" t="str">
        <f t="shared" si="17"/>
        <v>High</v>
      </c>
      <c r="H776" s="13"/>
    </row>
    <row r="777" spans="1:8" x14ac:dyDescent="0.4">
      <c r="A777" s="22" t="str">
        <f>DataSet!A79</f>
        <v>CUST0078</v>
      </c>
      <c r="B777" s="6">
        <f>DataSet!I79</f>
        <v>9723.1200000000008</v>
      </c>
      <c r="C777" s="23" t="str">
        <f t="shared" si="17"/>
        <v>Low</v>
      </c>
      <c r="H777" s="13"/>
    </row>
    <row r="778" spans="1:8" x14ac:dyDescent="0.4">
      <c r="A778" s="22" t="str">
        <f>DataSet!A80</f>
        <v>CUST0079</v>
      </c>
      <c r="B778" s="6">
        <f>DataSet!I80</f>
        <v>76064.800000000003</v>
      </c>
      <c r="C778" s="23" t="str">
        <f t="shared" si="17"/>
        <v>Very High</v>
      </c>
      <c r="H778" s="13"/>
    </row>
    <row r="779" spans="1:8" x14ac:dyDescent="0.4">
      <c r="A779" s="22" t="str">
        <f>DataSet!A81</f>
        <v>CUST0080</v>
      </c>
      <c r="B779" s="6">
        <f>DataSet!I81</f>
        <v>36233.599999999999</v>
      </c>
      <c r="C779" s="23" t="str">
        <f t="shared" si="17"/>
        <v>High</v>
      </c>
      <c r="H779" s="13"/>
    </row>
    <row r="780" spans="1:8" x14ac:dyDescent="0.4">
      <c r="A780" s="22" t="str">
        <f>DataSet!A82</f>
        <v>CUST0081</v>
      </c>
      <c r="B780" s="6">
        <f>DataSet!I82</f>
        <v>126060</v>
      </c>
      <c r="C780" s="23" t="str">
        <f t="shared" si="17"/>
        <v>Very High</v>
      </c>
      <c r="H780" s="13"/>
    </row>
    <row r="781" spans="1:8" x14ac:dyDescent="0.4">
      <c r="A781" s="22" t="str">
        <f>DataSet!A83</f>
        <v>CUST0082</v>
      </c>
      <c r="B781" s="6">
        <f>DataSet!I83</f>
        <v>79555.42</v>
      </c>
      <c r="C781" s="23" t="str">
        <f t="shared" si="17"/>
        <v>Very High</v>
      </c>
      <c r="H781" s="13"/>
    </row>
    <row r="782" spans="1:8" x14ac:dyDescent="0.4">
      <c r="A782" s="22" t="str">
        <f>DataSet!A84</f>
        <v>CUST0083</v>
      </c>
      <c r="B782" s="6">
        <f>DataSet!I84</f>
        <v>44589.2</v>
      </c>
      <c r="C782" s="23" t="str">
        <f t="shared" si="17"/>
        <v>High</v>
      </c>
      <c r="H782" s="13"/>
    </row>
    <row r="783" spans="1:8" x14ac:dyDescent="0.4">
      <c r="A783" s="22" t="str">
        <f>DataSet!A85</f>
        <v>CUST0084</v>
      </c>
      <c r="B783" s="6">
        <f>DataSet!I85</f>
        <v>109213.2</v>
      </c>
      <c r="C783" s="23" t="str">
        <f t="shared" si="17"/>
        <v>Very High</v>
      </c>
      <c r="H783" s="13"/>
    </row>
    <row r="784" spans="1:8" x14ac:dyDescent="0.4">
      <c r="A784" s="22" t="str">
        <f>DataSet!A86</f>
        <v>CUST0085</v>
      </c>
      <c r="B784" s="6">
        <f>DataSet!I86</f>
        <v>68445.600000000006</v>
      </c>
      <c r="C784" s="23" t="str">
        <f t="shared" si="17"/>
        <v>Very High</v>
      </c>
      <c r="H784" s="13"/>
    </row>
    <row r="785" spans="1:8" x14ac:dyDescent="0.4">
      <c r="A785" s="22" t="str">
        <f>DataSet!A87</f>
        <v>CUST0086</v>
      </c>
      <c r="B785" s="6">
        <f>DataSet!I87</f>
        <v>21375.200000000001</v>
      </c>
      <c r="C785" s="23" t="str">
        <f t="shared" si="17"/>
        <v>Medium</v>
      </c>
      <c r="H785" s="13"/>
    </row>
    <row r="786" spans="1:8" x14ac:dyDescent="0.4">
      <c r="A786" s="22" t="str">
        <f>DataSet!A88</f>
        <v>CUST0087</v>
      </c>
      <c r="B786" s="6">
        <f>DataSet!I88</f>
        <v>93957.3</v>
      </c>
      <c r="C786" s="23" t="str">
        <f t="shared" si="17"/>
        <v>Very High</v>
      </c>
      <c r="H786" s="13"/>
    </row>
    <row r="787" spans="1:8" x14ac:dyDescent="0.4">
      <c r="A787" s="22" t="str">
        <f>DataSet!A89</f>
        <v>CUST0088</v>
      </c>
      <c r="B787" s="6">
        <f>DataSet!I89</f>
        <v>49676</v>
      </c>
      <c r="C787" s="23" t="str">
        <f t="shared" si="17"/>
        <v>High</v>
      </c>
      <c r="H787" s="13"/>
    </row>
    <row r="788" spans="1:8" x14ac:dyDescent="0.4">
      <c r="A788" s="22" t="str">
        <f>DataSet!A90</f>
        <v>CUST0089</v>
      </c>
      <c r="B788" s="6">
        <f>DataSet!I90</f>
        <v>12556</v>
      </c>
      <c r="C788" s="23" t="str">
        <f t="shared" si="17"/>
        <v>Medium</v>
      </c>
      <c r="H788" s="13"/>
    </row>
    <row r="789" spans="1:8" x14ac:dyDescent="0.4">
      <c r="A789" s="22" t="str">
        <f>DataSet!A91</f>
        <v>CUST0090</v>
      </c>
      <c r="B789" s="6">
        <f>DataSet!I91</f>
        <v>99513.12</v>
      </c>
      <c r="C789" s="23" t="str">
        <f t="shared" si="17"/>
        <v>Very High</v>
      </c>
      <c r="H789" s="13"/>
    </row>
    <row r="790" spans="1:8" x14ac:dyDescent="0.4">
      <c r="A790" s="22" t="str">
        <f>DataSet!A92</f>
        <v>CUST0091</v>
      </c>
      <c r="B790" s="6">
        <f>DataSet!I92</f>
        <v>48754</v>
      </c>
      <c r="C790" s="23" t="str">
        <f t="shared" si="17"/>
        <v>High</v>
      </c>
      <c r="H790" s="13"/>
    </row>
    <row r="791" spans="1:8" x14ac:dyDescent="0.4">
      <c r="A791" s="22" t="str">
        <f>DataSet!A93</f>
        <v>CUST0092</v>
      </c>
      <c r="B791" s="6">
        <f>DataSet!I93</f>
        <v>131226.04</v>
      </c>
      <c r="C791" s="23" t="str">
        <f t="shared" si="17"/>
        <v>Very High</v>
      </c>
      <c r="H791" s="13"/>
    </row>
    <row r="792" spans="1:8" x14ac:dyDescent="0.4">
      <c r="A792" s="22" t="str">
        <f>DataSet!A94</f>
        <v>CUST0093</v>
      </c>
      <c r="B792" s="6">
        <f>DataSet!I94</f>
        <v>82555.199999999997</v>
      </c>
      <c r="C792" s="23" t="str">
        <f t="shared" si="17"/>
        <v>Very High</v>
      </c>
      <c r="H792" s="13"/>
    </row>
    <row r="793" spans="1:8" x14ac:dyDescent="0.4">
      <c r="A793" s="22" t="str">
        <f>DataSet!A95</f>
        <v>CUST0094</v>
      </c>
      <c r="B793" s="6">
        <f>DataSet!I95</f>
        <v>34956.239999999998</v>
      </c>
      <c r="C793" s="23" t="str">
        <f t="shared" si="17"/>
        <v>High</v>
      </c>
      <c r="H793" s="13"/>
    </row>
    <row r="794" spans="1:8" x14ac:dyDescent="0.4">
      <c r="A794" s="22" t="str">
        <f>DataSet!A96</f>
        <v>CUST0095</v>
      </c>
      <c r="B794" s="6">
        <f>DataSet!I96</f>
        <v>113713</v>
      </c>
      <c r="C794" s="23" t="str">
        <f t="shared" si="17"/>
        <v>Very High</v>
      </c>
      <c r="H794" s="13"/>
    </row>
    <row r="795" spans="1:8" x14ac:dyDescent="0.4">
      <c r="A795" s="22" t="str">
        <f>DataSet!A97</f>
        <v>CUST0096</v>
      </c>
      <c r="B795" s="6">
        <f>DataSet!I97</f>
        <v>64872</v>
      </c>
      <c r="C795" s="23" t="str">
        <f t="shared" si="17"/>
        <v>Very High</v>
      </c>
      <c r="H795" s="13"/>
    </row>
    <row r="796" spans="1:8" x14ac:dyDescent="0.4">
      <c r="A796" s="22" t="str">
        <f>DataSet!A98</f>
        <v>CUST0097</v>
      </c>
      <c r="B796" s="6">
        <f>DataSet!I98</f>
        <v>27304</v>
      </c>
      <c r="C796" s="23" t="str">
        <f t="shared" si="17"/>
        <v>High</v>
      </c>
      <c r="H796" s="13"/>
    </row>
    <row r="797" spans="1:8" x14ac:dyDescent="0.4">
      <c r="A797" s="22" t="str">
        <f>DataSet!A99</f>
        <v>CUST0098</v>
      </c>
      <c r="B797" s="6">
        <f>DataSet!I99</f>
        <v>121618.98</v>
      </c>
      <c r="C797" s="23" t="str">
        <f t="shared" si="17"/>
        <v>Very High</v>
      </c>
      <c r="H797" s="13"/>
    </row>
    <row r="798" spans="1:8" x14ac:dyDescent="0.4">
      <c r="A798" s="22" t="str">
        <f>DataSet!A100</f>
        <v>CUST0099</v>
      </c>
      <c r="B798" s="6">
        <f>DataSet!I100</f>
        <v>66148.5</v>
      </c>
      <c r="C798" s="23" t="str">
        <f t="shared" si="17"/>
        <v>Very High</v>
      </c>
      <c r="H798" s="13"/>
    </row>
    <row r="799" spans="1:8" x14ac:dyDescent="0.4">
      <c r="A799" s="22" t="str">
        <f>DataSet!A101</f>
        <v>CUST0100</v>
      </c>
      <c r="B799" s="6">
        <f>DataSet!I101</f>
        <v>12937.96</v>
      </c>
      <c r="C799" s="23" t="str">
        <f t="shared" si="17"/>
        <v>Medium</v>
      </c>
      <c r="H799" s="13"/>
    </row>
    <row r="800" spans="1:8" x14ac:dyDescent="0.4">
      <c r="A800" s="22" t="str">
        <f>DataSet!A102</f>
        <v>CUST0101</v>
      </c>
      <c r="B800" s="6">
        <f>DataSet!I102</f>
        <v>102240</v>
      </c>
      <c r="C800" s="23" t="str">
        <f t="shared" si="17"/>
        <v>Very High</v>
      </c>
      <c r="H800" s="13"/>
    </row>
    <row r="801" spans="1:8" x14ac:dyDescent="0.4">
      <c r="A801" s="22" t="str">
        <f>DataSet!A103</f>
        <v>CUST0102</v>
      </c>
      <c r="B801" s="6">
        <f>DataSet!I103</f>
        <v>50466.239999999998</v>
      </c>
      <c r="C801" s="23" t="str">
        <f t="shared" si="17"/>
        <v>Very High</v>
      </c>
      <c r="H801" s="13"/>
    </row>
    <row r="802" spans="1:8" x14ac:dyDescent="0.4">
      <c r="A802" s="22" t="str">
        <f>DataSet!A104</f>
        <v>CUST0103</v>
      </c>
      <c r="B802" s="6">
        <f>DataSet!I104</f>
        <v>135331.9</v>
      </c>
      <c r="C802" s="23" t="str">
        <f t="shared" si="17"/>
        <v>Very High</v>
      </c>
      <c r="H802" s="13"/>
    </row>
    <row r="803" spans="1:8" x14ac:dyDescent="0.4">
      <c r="A803" s="22" t="str">
        <f>DataSet!A105</f>
        <v>CUST0104</v>
      </c>
      <c r="B803" s="6">
        <f>DataSet!I105</f>
        <v>81821.600000000006</v>
      </c>
      <c r="C803" s="23" t="str">
        <f t="shared" si="17"/>
        <v>Very High</v>
      </c>
      <c r="H803" s="13"/>
    </row>
    <row r="804" spans="1:8" x14ac:dyDescent="0.4">
      <c r="A804" s="22" t="str">
        <f>DataSet!A106</f>
        <v>CUST0105</v>
      </c>
      <c r="B804" s="6">
        <f>DataSet!I106</f>
        <v>44244</v>
      </c>
      <c r="C804" s="23" t="str">
        <f t="shared" si="17"/>
        <v>High</v>
      </c>
      <c r="H804" s="13"/>
    </row>
    <row r="805" spans="1:8" x14ac:dyDescent="0.4">
      <c r="A805" s="22" t="str">
        <f>DataSet!A107</f>
        <v>CUST0106</v>
      </c>
      <c r="B805" s="6">
        <f>DataSet!I107</f>
        <v>145873</v>
      </c>
      <c r="C805" s="23" t="str">
        <f t="shared" si="17"/>
        <v>Very High</v>
      </c>
      <c r="H805" s="13"/>
    </row>
    <row r="806" spans="1:8" x14ac:dyDescent="0.4">
      <c r="A806" s="22" t="str">
        <f>DataSet!A108</f>
        <v>CUST0107</v>
      </c>
      <c r="B806" s="6">
        <f>DataSet!I108</f>
        <v>85625.4</v>
      </c>
      <c r="C806" s="23" t="str">
        <f t="shared" si="17"/>
        <v>Very High</v>
      </c>
      <c r="H806" s="13"/>
    </row>
    <row r="807" spans="1:8" x14ac:dyDescent="0.4">
      <c r="A807" s="22" t="str">
        <f>DataSet!A109</f>
        <v>CUST0108</v>
      </c>
      <c r="B807" s="6">
        <f>DataSet!I109</f>
        <v>27892.560000000001</v>
      </c>
      <c r="C807" s="23" t="str">
        <f t="shared" si="17"/>
        <v>High</v>
      </c>
      <c r="H807" s="13"/>
    </row>
    <row r="808" spans="1:8" x14ac:dyDescent="0.4">
      <c r="A808" s="22" t="str">
        <f>DataSet!A110</f>
        <v>CUST0109</v>
      </c>
      <c r="B808" s="6">
        <f>DataSet!I110</f>
        <v>123897.60000000001</v>
      </c>
      <c r="C808" s="23" t="str">
        <f t="shared" si="17"/>
        <v>Very High</v>
      </c>
      <c r="H808" s="13"/>
    </row>
    <row r="809" spans="1:8" x14ac:dyDescent="0.4">
      <c r="A809" s="22" t="str">
        <f>DataSet!A111</f>
        <v>CUST0110</v>
      </c>
      <c r="B809" s="6">
        <f>DataSet!I111</f>
        <v>67905.2</v>
      </c>
      <c r="C809" s="23" t="str">
        <f t="shared" si="17"/>
        <v>Very High</v>
      </c>
      <c r="H809" s="13"/>
    </row>
    <row r="810" spans="1:8" x14ac:dyDescent="0.4">
      <c r="A810" s="22" t="str">
        <f>DataSet!A112</f>
        <v>CUST0111</v>
      </c>
      <c r="B810" s="6">
        <f>DataSet!I112</f>
        <v>13234.5</v>
      </c>
      <c r="C810" s="23" t="str">
        <f t="shared" si="17"/>
        <v>Medium</v>
      </c>
      <c r="H810" s="13"/>
    </row>
    <row r="811" spans="1:8" x14ac:dyDescent="0.4">
      <c r="A811" s="22" t="str">
        <f>DataSet!A113</f>
        <v>CUST0112</v>
      </c>
      <c r="B811" s="6">
        <f>DataSet!I113</f>
        <v>100524.8</v>
      </c>
      <c r="C811" s="23" t="str">
        <f t="shared" si="17"/>
        <v>Very High</v>
      </c>
      <c r="H811" s="13"/>
    </row>
    <row r="812" spans="1:8" x14ac:dyDescent="0.4">
      <c r="A812" s="22" t="str">
        <f>DataSet!A114</f>
        <v>CUST0113</v>
      </c>
      <c r="B812" s="6">
        <f>DataSet!I114</f>
        <v>63376</v>
      </c>
      <c r="C812" s="23" t="str">
        <f t="shared" si="17"/>
        <v>Very High</v>
      </c>
      <c r="H812" s="13"/>
    </row>
    <row r="813" spans="1:8" x14ac:dyDescent="0.4">
      <c r="A813" s="22" t="str">
        <f>DataSet!A115</f>
        <v>CUST0114</v>
      </c>
      <c r="B813" s="6">
        <f>DataSet!I115</f>
        <v>172275.18</v>
      </c>
      <c r="C813" s="23" t="str">
        <f t="shared" si="17"/>
        <v>Very High</v>
      </c>
      <c r="H813" s="13"/>
    </row>
    <row r="814" spans="1:8" x14ac:dyDescent="0.4">
      <c r="A814" s="22" t="str">
        <f>DataSet!A116</f>
        <v>CUST0115</v>
      </c>
      <c r="B814" s="6">
        <f>DataSet!I116</f>
        <v>107184.7</v>
      </c>
      <c r="C814" s="23" t="str">
        <f t="shared" si="17"/>
        <v>Very High</v>
      </c>
      <c r="H814" s="13"/>
    </row>
    <row r="815" spans="1:8" x14ac:dyDescent="0.4">
      <c r="A815" s="22" t="str">
        <f>DataSet!A117</f>
        <v>CUST0116</v>
      </c>
      <c r="B815" s="6">
        <f>DataSet!I117</f>
        <v>44863.8</v>
      </c>
      <c r="C815" s="23" t="str">
        <f t="shared" si="17"/>
        <v>High</v>
      </c>
      <c r="H815" s="13"/>
    </row>
    <row r="816" spans="1:8" x14ac:dyDescent="0.4">
      <c r="A816" s="22" t="str">
        <f>DataSet!A118</f>
        <v>CUST0117</v>
      </c>
      <c r="B816" s="6">
        <f>DataSet!I118</f>
        <v>147528</v>
      </c>
      <c r="C816" s="23" t="str">
        <f t="shared" si="17"/>
        <v>Very High</v>
      </c>
      <c r="H816" s="13"/>
    </row>
    <row r="817" spans="1:8" x14ac:dyDescent="0.4">
      <c r="A817" s="22" t="str">
        <f>DataSet!A119</f>
        <v>CUST0118</v>
      </c>
      <c r="B817" s="6">
        <f>DataSet!I119</f>
        <v>87273.12</v>
      </c>
      <c r="C817" s="23" t="str">
        <f t="shared" si="17"/>
        <v>Very High</v>
      </c>
      <c r="H817" s="13"/>
    </row>
    <row r="818" spans="1:8" x14ac:dyDescent="0.4">
      <c r="A818" s="22" t="str">
        <f>DataSet!A120</f>
        <v>CUST0119</v>
      </c>
      <c r="B818" s="6">
        <f>DataSet!I120</f>
        <v>28332.2</v>
      </c>
      <c r="C818" s="23" t="str">
        <f t="shared" si="17"/>
        <v>High</v>
      </c>
      <c r="H818" s="13"/>
    </row>
    <row r="819" spans="1:8" x14ac:dyDescent="0.4">
      <c r="A819" s="22" t="str">
        <f>DataSet!A121</f>
        <v>CUST0120</v>
      </c>
      <c r="B819" s="6">
        <f>DataSet!I121</f>
        <v>120981.6</v>
      </c>
      <c r="C819" s="23" t="str">
        <f t="shared" si="17"/>
        <v>Very High</v>
      </c>
      <c r="H819" s="13"/>
    </row>
    <row r="820" spans="1:8" x14ac:dyDescent="0.4">
      <c r="A820" s="22" t="str">
        <f>DataSet!A122</f>
        <v>CUST0121</v>
      </c>
      <c r="B820" s="6">
        <f>DataSet!I122</f>
        <v>84700</v>
      </c>
      <c r="C820" s="23" t="str">
        <f t="shared" si="17"/>
        <v>Very High</v>
      </c>
      <c r="H820" s="13"/>
    </row>
    <row r="821" spans="1:8" x14ac:dyDescent="0.4">
      <c r="A821" s="22" t="str">
        <f>DataSet!A123</f>
        <v>CUST0122</v>
      </c>
      <c r="B821" s="6">
        <f>DataSet!I123</f>
        <v>16735.46</v>
      </c>
      <c r="C821" s="23" t="str">
        <f t="shared" si="17"/>
        <v>Medium</v>
      </c>
      <c r="H821" s="13"/>
    </row>
    <row r="822" spans="1:8" x14ac:dyDescent="0.4">
      <c r="A822" s="22" t="str">
        <f>DataSet!A124</f>
        <v>CUST0123</v>
      </c>
      <c r="B822" s="6">
        <f>DataSet!I124</f>
        <v>130826.4</v>
      </c>
      <c r="C822" s="23" t="str">
        <f t="shared" si="17"/>
        <v>Very High</v>
      </c>
      <c r="H822" s="13"/>
    </row>
    <row r="823" spans="1:8" x14ac:dyDescent="0.4">
      <c r="A823" s="22" t="str">
        <f>DataSet!A125</f>
        <v>CUST0124</v>
      </c>
      <c r="B823" s="6">
        <f>DataSet!I125</f>
        <v>63851.68</v>
      </c>
      <c r="C823" s="23" t="str">
        <f t="shared" si="17"/>
        <v>Very High</v>
      </c>
      <c r="H823" s="13"/>
    </row>
    <row r="824" spans="1:8" x14ac:dyDescent="0.4">
      <c r="A824" s="22" t="str">
        <f>DataSet!A126</f>
        <v>CUST0125</v>
      </c>
      <c r="B824" s="6">
        <f>DataSet!I126</f>
        <v>173131.2</v>
      </c>
      <c r="C824" s="23" t="str">
        <f t="shared" si="17"/>
        <v>Very High</v>
      </c>
      <c r="H824" s="13"/>
    </row>
    <row r="825" spans="1:8" x14ac:dyDescent="0.4">
      <c r="A825" s="22" t="str">
        <f>DataSet!A127</f>
        <v>CUST0126</v>
      </c>
      <c r="B825" s="6">
        <f>DataSet!I127</f>
        <v>108570</v>
      </c>
      <c r="C825" s="23" t="str">
        <f t="shared" si="17"/>
        <v>Very High</v>
      </c>
      <c r="H825" s="13"/>
    </row>
    <row r="826" spans="1:8" x14ac:dyDescent="0.4">
      <c r="A826" s="22" t="str">
        <f>DataSet!A128</f>
        <v>CUST0127</v>
      </c>
      <c r="B826" s="6">
        <f>DataSet!I128</f>
        <v>45293.1</v>
      </c>
      <c r="C826" s="23" t="str">
        <f t="shared" si="17"/>
        <v>High</v>
      </c>
      <c r="H826" s="13"/>
    </row>
    <row r="827" spans="1:8" x14ac:dyDescent="0.4">
      <c r="A827" s="22" t="str">
        <f>DataSet!A129</f>
        <v>CUST0128</v>
      </c>
      <c r="B827" s="6">
        <f>DataSet!I129</f>
        <v>187032</v>
      </c>
      <c r="C827" s="23" t="str">
        <f t="shared" si="17"/>
        <v>Very High</v>
      </c>
      <c r="H827" s="13"/>
    </row>
    <row r="828" spans="1:8" x14ac:dyDescent="0.4">
      <c r="A828" s="22" t="str">
        <f>DataSet!A130</f>
        <v>CUST0129</v>
      </c>
      <c r="B828" s="6">
        <f>DataSet!I130</f>
        <v>108216</v>
      </c>
      <c r="C828" s="23" t="str">
        <f t="shared" si="17"/>
        <v>Very High</v>
      </c>
      <c r="H828" s="13"/>
    </row>
    <row r="829" spans="1:8" x14ac:dyDescent="0.4">
      <c r="A829" s="22" t="str">
        <f>DataSet!A131</f>
        <v>CUST0130</v>
      </c>
      <c r="B829" s="6">
        <f>DataSet!I131</f>
        <v>35619.08</v>
      </c>
      <c r="C829" s="23" t="str">
        <f t="shared" ref="C829:C892" si="18">IF(B829&gt;=50000,"Very High",IF(B829&gt;=25000,"High",IF(B829&gt;=10000,"Medium","Low")))</f>
        <v>High</v>
      </c>
      <c r="H829" s="13"/>
    </row>
    <row r="830" spans="1:8" x14ac:dyDescent="0.4">
      <c r="A830" s="22" t="str">
        <f>DataSet!A132</f>
        <v>CUST0131</v>
      </c>
      <c r="B830" s="6">
        <f>DataSet!I132</f>
        <v>156550.5</v>
      </c>
      <c r="C830" s="23" t="str">
        <f t="shared" si="18"/>
        <v>Very High</v>
      </c>
      <c r="H830" s="13"/>
    </row>
    <row r="831" spans="1:8" x14ac:dyDescent="0.4">
      <c r="A831" s="22" t="str">
        <f>DataSet!A133</f>
        <v>CUST0132</v>
      </c>
      <c r="B831" s="6">
        <f>DataSet!I133</f>
        <v>84856.2</v>
      </c>
      <c r="C831" s="23" t="str">
        <f t="shared" si="18"/>
        <v>Very High</v>
      </c>
      <c r="H831" s="13"/>
    </row>
    <row r="832" spans="1:8" x14ac:dyDescent="0.4">
      <c r="A832" s="22" t="str">
        <f>DataSet!A134</f>
        <v>CUST0133</v>
      </c>
      <c r="B832" s="6">
        <f>DataSet!I134</f>
        <v>16725.599999999999</v>
      </c>
      <c r="C832" s="23" t="str">
        <f t="shared" si="18"/>
        <v>Medium</v>
      </c>
      <c r="H832" s="13"/>
    </row>
    <row r="833" spans="1:8" x14ac:dyDescent="0.4">
      <c r="A833" s="22" t="str">
        <f>DataSet!A135</f>
        <v>CUST0134</v>
      </c>
      <c r="B833" s="6">
        <f>DataSet!I135</f>
        <v>131795.84</v>
      </c>
      <c r="C833" s="23" t="str">
        <f t="shared" si="18"/>
        <v>Very High</v>
      </c>
      <c r="H833" s="13"/>
    </row>
    <row r="834" spans="1:8" x14ac:dyDescent="0.4">
      <c r="A834" s="22" t="str">
        <f>DataSet!A136</f>
        <v>CUST0135</v>
      </c>
      <c r="B834" s="6">
        <f>DataSet!I136</f>
        <v>64117.2</v>
      </c>
      <c r="C834" s="23" t="str">
        <f t="shared" si="18"/>
        <v>Very High</v>
      </c>
      <c r="H834" s="13"/>
    </row>
    <row r="835" spans="1:8" x14ac:dyDescent="0.4">
      <c r="A835" s="22" t="str">
        <f>DataSet!A137</f>
        <v>CUST0136</v>
      </c>
      <c r="B835" s="6">
        <f>DataSet!I137</f>
        <v>167156</v>
      </c>
      <c r="C835" s="23" t="str">
        <f t="shared" si="18"/>
        <v>Very High</v>
      </c>
      <c r="H835" s="13"/>
    </row>
    <row r="836" spans="1:8" x14ac:dyDescent="0.4">
      <c r="A836" s="22" t="str">
        <f>DataSet!A138</f>
        <v>CUST0137</v>
      </c>
      <c r="B836" s="6">
        <f>DataSet!I138</f>
        <v>133924</v>
      </c>
      <c r="C836" s="23" t="str">
        <f t="shared" si="18"/>
        <v>Very High</v>
      </c>
      <c r="H836" s="13"/>
    </row>
    <row r="837" spans="1:8" x14ac:dyDescent="0.4">
      <c r="A837" s="22" t="str">
        <f>DataSet!A139</f>
        <v>CUST0138</v>
      </c>
      <c r="B837" s="6">
        <f>DataSet!I139</f>
        <v>56650.86</v>
      </c>
      <c r="C837" s="23" t="str">
        <f t="shared" si="18"/>
        <v>Very High</v>
      </c>
      <c r="H837" s="13"/>
    </row>
    <row r="838" spans="1:8" x14ac:dyDescent="0.4">
      <c r="A838" s="22" t="str">
        <f>DataSet!A140</f>
        <v>CUST0139</v>
      </c>
      <c r="B838" s="6">
        <f>DataSet!I140</f>
        <v>184357</v>
      </c>
      <c r="C838" s="23" t="str">
        <f t="shared" si="18"/>
        <v>Very High</v>
      </c>
      <c r="H838" s="13"/>
    </row>
    <row r="839" spans="1:8" x14ac:dyDescent="0.4">
      <c r="A839" s="22" t="str">
        <f>DataSet!A141</f>
        <v>CUST0140</v>
      </c>
      <c r="B839" s="6">
        <f>DataSet!I141</f>
        <v>107877.36</v>
      </c>
      <c r="C839" s="23" t="str">
        <f t="shared" si="18"/>
        <v>Very High</v>
      </c>
      <c r="H839" s="13"/>
    </row>
    <row r="840" spans="1:8" x14ac:dyDescent="0.4">
      <c r="A840" s="22" t="str">
        <f>DataSet!A142</f>
        <v>CUST0141</v>
      </c>
      <c r="B840" s="6">
        <f>DataSet!I142</f>
        <v>53136</v>
      </c>
      <c r="C840" s="23" t="str">
        <f t="shared" si="18"/>
        <v>Very High</v>
      </c>
      <c r="H840" s="13"/>
    </row>
    <row r="841" spans="1:8" x14ac:dyDescent="0.4">
      <c r="A841" s="22" t="str">
        <f>DataSet!A143</f>
        <v>CUST0142</v>
      </c>
      <c r="B841" s="6">
        <f>DataSet!I143</f>
        <v>156950.64000000001</v>
      </c>
      <c r="C841" s="23" t="str">
        <f t="shared" si="18"/>
        <v>Very High</v>
      </c>
      <c r="H841" s="13"/>
    </row>
    <row r="842" spans="1:8" x14ac:dyDescent="0.4">
      <c r="A842" s="22" t="str">
        <f>DataSet!A144</f>
        <v>CUST0143</v>
      </c>
      <c r="B842" s="6">
        <f>DataSet!I144</f>
        <v>84804.5</v>
      </c>
      <c r="C842" s="23" t="str">
        <f t="shared" si="18"/>
        <v>Very High</v>
      </c>
      <c r="H842" s="13"/>
    </row>
    <row r="843" spans="1:8" x14ac:dyDescent="0.4">
      <c r="A843" s="22" t="str">
        <f>DataSet!A145</f>
        <v>CUST0144</v>
      </c>
      <c r="B843" s="6">
        <f>DataSet!I145</f>
        <v>16072.8</v>
      </c>
      <c r="C843" s="23" t="str">
        <f t="shared" si="18"/>
        <v>Medium</v>
      </c>
      <c r="H843" s="13"/>
    </row>
    <row r="844" spans="1:8" x14ac:dyDescent="0.4">
      <c r="A844" s="22" t="str">
        <f>DataSet!A146</f>
        <v>CUST0145</v>
      </c>
      <c r="B844" s="6">
        <f>DataSet!I146</f>
        <v>161824</v>
      </c>
      <c r="C844" s="23" t="str">
        <f t="shared" si="18"/>
        <v>Very High</v>
      </c>
      <c r="H844" s="13"/>
    </row>
    <row r="845" spans="1:8" x14ac:dyDescent="0.4">
      <c r="A845" s="22" t="str">
        <f>DataSet!A147</f>
        <v>CUST0146</v>
      </c>
      <c r="B845" s="6">
        <f>DataSet!I147</f>
        <v>79830.8</v>
      </c>
      <c r="C845" s="23" t="str">
        <f t="shared" si="18"/>
        <v>Very High</v>
      </c>
      <c r="H845" s="13"/>
    </row>
    <row r="846" spans="1:8" x14ac:dyDescent="0.4">
      <c r="A846" s="22" t="str">
        <f>DataSet!A148</f>
        <v>CUST0147</v>
      </c>
      <c r="B846" s="6">
        <f>DataSet!I148</f>
        <v>214245.9</v>
      </c>
      <c r="C846" s="23" t="str">
        <f t="shared" si="18"/>
        <v>Very High</v>
      </c>
      <c r="H846" s="13"/>
    </row>
    <row r="847" spans="1:8" x14ac:dyDescent="0.4">
      <c r="A847" s="22" t="str">
        <f>DataSet!A149</f>
        <v>CUST0148</v>
      </c>
      <c r="B847" s="6">
        <f>DataSet!I149</f>
        <v>132915.16</v>
      </c>
      <c r="C847" s="23" t="str">
        <f t="shared" si="18"/>
        <v>Very High</v>
      </c>
      <c r="H847" s="13"/>
    </row>
    <row r="848" spans="1:8" x14ac:dyDescent="0.4">
      <c r="A848" s="22" t="str">
        <f>DataSet!A150</f>
        <v>CUST0149</v>
      </c>
      <c r="B848" s="6">
        <f>DataSet!I150</f>
        <v>56095.199999999997</v>
      </c>
      <c r="C848" s="23" t="str">
        <f t="shared" si="18"/>
        <v>Very High</v>
      </c>
      <c r="H848" s="13"/>
    </row>
    <row r="849" spans="1:8" x14ac:dyDescent="0.4">
      <c r="A849" s="22" t="str">
        <f>DataSet!A151</f>
        <v>CUST0150</v>
      </c>
      <c r="B849" s="6">
        <f>DataSet!I151</f>
        <v>192399.6</v>
      </c>
      <c r="C849" s="23" t="str">
        <f t="shared" si="18"/>
        <v>Very High</v>
      </c>
      <c r="H849" s="13"/>
    </row>
    <row r="850" spans="1:8" x14ac:dyDescent="0.4">
      <c r="A850" s="22" t="str">
        <f>DataSet!A152</f>
        <v>CUST0151</v>
      </c>
      <c r="B850" s="6">
        <f>DataSet!I152</f>
        <v>107355</v>
      </c>
      <c r="C850" s="23" t="str">
        <f t="shared" si="18"/>
        <v>Very High</v>
      </c>
      <c r="H850" s="13"/>
    </row>
    <row r="851" spans="1:8" x14ac:dyDescent="0.4">
      <c r="A851" s="22" t="str">
        <f>DataSet!A153</f>
        <v>CUST0152</v>
      </c>
      <c r="B851" s="6">
        <f>DataSet!I153</f>
        <v>33899.199999999997</v>
      </c>
      <c r="C851" s="23" t="str">
        <f t="shared" si="18"/>
        <v>High</v>
      </c>
      <c r="H851" s="13"/>
    </row>
    <row r="852" spans="1:8" x14ac:dyDescent="0.4">
      <c r="A852" s="22" t="str">
        <f>DataSet!A154</f>
        <v>CUST0153</v>
      </c>
      <c r="B852" s="6">
        <f>DataSet!I154</f>
        <v>191916</v>
      </c>
      <c r="C852" s="23" t="str">
        <f t="shared" si="18"/>
        <v>Very High</v>
      </c>
      <c r="H852" s="13"/>
    </row>
    <row r="853" spans="1:8" x14ac:dyDescent="0.4">
      <c r="A853" s="22" t="str">
        <f>DataSet!A155</f>
        <v>CUST0154</v>
      </c>
      <c r="B853" s="6">
        <f>DataSet!I155</f>
        <v>105158.9</v>
      </c>
      <c r="C853" s="23" t="str">
        <f t="shared" si="18"/>
        <v>Very High</v>
      </c>
      <c r="H853" s="13"/>
    </row>
    <row r="854" spans="1:8" x14ac:dyDescent="0.4">
      <c r="A854" s="22" t="str">
        <f>DataSet!A156</f>
        <v>CUST0155</v>
      </c>
      <c r="B854" s="6">
        <f>DataSet!I156</f>
        <v>20518.099999999999</v>
      </c>
      <c r="C854" s="23" t="str">
        <f t="shared" si="18"/>
        <v>Medium</v>
      </c>
      <c r="H854" s="13"/>
    </row>
    <row r="855" spans="1:8" x14ac:dyDescent="0.4">
      <c r="A855" s="22" t="str">
        <f>DataSet!A157</f>
        <v>CUST0156</v>
      </c>
      <c r="B855" s="6">
        <f>DataSet!I157</f>
        <v>159969.60000000001</v>
      </c>
      <c r="C855" s="23" t="str">
        <f t="shared" si="18"/>
        <v>Very High</v>
      </c>
      <c r="H855" s="13"/>
    </row>
    <row r="856" spans="1:8" x14ac:dyDescent="0.4">
      <c r="A856" s="22" t="str">
        <f>DataSet!A158</f>
        <v>CUST0157</v>
      </c>
      <c r="B856" s="6">
        <f>DataSet!I158</f>
        <v>78739.199999999997</v>
      </c>
      <c r="C856" s="23" t="str">
        <f t="shared" si="18"/>
        <v>Very High</v>
      </c>
      <c r="H856" s="13"/>
    </row>
    <row r="857" spans="1:8" x14ac:dyDescent="0.4">
      <c r="A857" s="22" t="str">
        <f>DataSet!A159</f>
        <v>CUST0158</v>
      </c>
      <c r="B857" s="6">
        <f>DataSet!I159</f>
        <v>213047.12</v>
      </c>
      <c r="C857" s="23" t="str">
        <f t="shared" si="18"/>
        <v>Very High</v>
      </c>
      <c r="H857" s="13"/>
    </row>
    <row r="858" spans="1:8" x14ac:dyDescent="0.4">
      <c r="A858" s="22" t="str">
        <f>DataSet!A160</f>
        <v>CUST0159</v>
      </c>
      <c r="B858" s="6">
        <f>DataSet!I160</f>
        <v>131768.70000000001</v>
      </c>
      <c r="C858" s="23" t="str">
        <f t="shared" si="18"/>
        <v>Very High</v>
      </c>
      <c r="H858" s="13"/>
    </row>
    <row r="859" spans="1:8" x14ac:dyDescent="0.4">
      <c r="A859" s="22" t="str">
        <f>DataSet!A161</f>
        <v>CUST0160</v>
      </c>
      <c r="B859" s="6">
        <f>DataSet!I161</f>
        <v>53479.199999999997</v>
      </c>
      <c r="C859" s="23" t="str">
        <f t="shared" si="18"/>
        <v>Very High</v>
      </c>
      <c r="H859" s="13"/>
    </row>
    <row r="860" spans="1:8" x14ac:dyDescent="0.4">
      <c r="A860" s="22" t="str">
        <f>DataSet!A162</f>
        <v>CUST0161</v>
      </c>
      <c r="B860" s="6">
        <f>DataSet!I162</f>
        <v>224200</v>
      </c>
      <c r="C860" s="23" t="str">
        <f t="shared" si="18"/>
        <v>Very High</v>
      </c>
      <c r="H860" s="13"/>
    </row>
    <row r="861" spans="1:8" x14ac:dyDescent="0.4">
      <c r="A861" s="22" t="str">
        <f>DataSet!A163</f>
        <v>CUST0162</v>
      </c>
      <c r="B861" s="6">
        <f>DataSet!I163</f>
        <v>132635.16</v>
      </c>
      <c r="C861" s="23" t="str">
        <f t="shared" si="18"/>
        <v>Very High</v>
      </c>
      <c r="H861" s="13"/>
    </row>
    <row r="862" spans="1:8" x14ac:dyDescent="0.4">
      <c r="A862" s="22" t="str">
        <f>DataSet!A164</f>
        <v>CUST0163</v>
      </c>
      <c r="B862" s="6">
        <f>DataSet!I164</f>
        <v>43118.6</v>
      </c>
      <c r="C862" s="23" t="str">
        <f t="shared" si="18"/>
        <v>High</v>
      </c>
      <c r="H862" s="13"/>
    </row>
    <row r="863" spans="1:8" x14ac:dyDescent="0.4">
      <c r="A863" s="22" t="str">
        <f>DataSet!A165</f>
        <v>CUST0164</v>
      </c>
      <c r="B863" s="6">
        <f>DataSet!I165</f>
        <v>189040.68</v>
      </c>
      <c r="C863" s="23" t="str">
        <f t="shared" si="18"/>
        <v>Very High</v>
      </c>
      <c r="H863" s="13"/>
    </row>
    <row r="864" spans="1:8" x14ac:dyDescent="0.4">
      <c r="A864" s="22" t="str">
        <f>DataSet!A166</f>
        <v>CUST0165</v>
      </c>
      <c r="B864" s="6">
        <f>DataSet!I166</f>
        <v>103356</v>
      </c>
      <c r="C864" s="23" t="str">
        <f t="shared" si="18"/>
        <v>Very High</v>
      </c>
      <c r="H864" s="13"/>
    </row>
    <row r="865" spans="1:8" x14ac:dyDescent="0.4">
      <c r="A865" s="22" t="str">
        <f>DataSet!A167</f>
        <v>CUST0166</v>
      </c>
      <c r="B865" s="6">
        <f>DataSet!I167</f>
        <v>20332.400000000001</v>
      </c>
      <c r="C865" s="23" t="str">
        <f t="shared" si="18"/>
        <v>Medium</v>
      </c>
      <c r="H865" s="13"/>
    </row>
    <row r="866" spans="1:8" x14ac:dyDescent="0.4">
      <c r="A866" s="22" t="str">
        <f>DataSet!A168</f>
        <v>CUST0167</v>
      </c>
      <c r="B866" s="6">
        <f>DataSet!I168</f>
        <v>158045.6</v>
      </c>
      <c r="C866" s="23" t="str">
        <f t="shared" si="18"/>
        <v>Very High</v>
      </c>
      <c r="H866" s="13"/>
    </row>
    <row r="867" spans="1:8" x14ac:dyDescent="0.4">
      <c r="A867" s="22" t="str">
        <f>DataSet!A169</f>
        <v>CUST0168</v>
      </c>
      <c r="B867" s="6">
        <f>DataSet!I169</f>
        <v>74812.800000000003</v>
      </c>
      <c r="C867" s="23" t="str">
        <f t="shared" si="18"/>
        <v>Very High</v>
      </c>
      <c r="H867" s="13"/>
    </row>
    <row r="868" spans="1:8" x14ac:dyDescent="0.4">
      <c r="A868" s="22" t="str">
        <f>DataSet!A170</f>
        <v>CUST0169</v>
      </c>
      <c r="B868" s="6">
        <f>DataSet!I170</f>
        <v>258676</v>
      </c>
      <c r="C868" s="23" t="str">
        <f t="shared" si="18"/>
        <v>Very High</v>
      </c>
      <c r="H868" s="13"/>
    </row>
    <row r="869" spans="1:8" x14ac:dyDescent="0.4">
      <c r="A869" s="22" t="str">
        <f>DataSet!A171</f>
        <v>CUST0170</v>
      </c>
      <c r="B869" s="6">
        <f>DataSet!I171</f>
        <v>162259.57999999999</v>
      </c>
      <c r="C869" s="23" t="str">
        <f t="shared" si="18"/>
        <v>Very High</v>
      </c>
      <c r="H869" s="13"/>
    </row>
    <row r="870" spans="1:8" x14ac:dyDescent="0.4">
      <c r="A870" s="22" t="str">
        <f>DataSet!A172</f>
        <v>CUST0171</v>
      </c>
      <c r="B870" s="6">
        <f>DataSet!I172</f>
        <v>67801.5</v>
      </c>
      <c r="C870" s="23" t="str">
        <f t="shared" si="18"/>
        <v>Very High</v>
      </c>
      <c r="H870" s="13"/>
    </row>
    <row r="871" spans="1:8" x14ac:dyDescent="0.4">
      <c r="A871" s="22" t="str">
        <f>DataSet!A173</f>
        <v>CUST0172</v>
      </c>
      <c r="B871" s="6">
        <f>DataSet!I173</f>
        <v>220128.4</v>
      </c>
      <c r="C871" s="23" t="str">
        <f t="shared" si="18"/>
        <v>Very High</v>
      </c>
      <c r="H871" s="13"/>
    </row>
    <row r="872" spans="1:8" x14ac:dyDescent="0.4">
      <c r="A872" s="22" t="str">
        <f>DataSet!A174</f>
        <v>CUST0173</v>
      </c>
      <c r="B872" s="6">
        <f>DataSet!I174</f>
        <v>129945.60000000001</v>
      </c>
      <c r="C872" s="23" t="str">
        <f t="shared" si="18"/>
        <v>Very High</v>
      </c>
      <c r="H872" s="13"/>
    </row>
    <row r="873" spans="1:8" x14ac:dyDescent="0.4">
      <c r="A873" s="22" t="str">
        <f>DataSet!A175</f>
        <v>CUST0174</v>
      </c>
      <c r="B873" s="6">
        <f>DataSet!I175</f>
        <v>42593.760000000002</v>
      </c>
      <c r="C873" s="23" t="str">
        <f t="shared" si="18"/>
        <v>High</v>
      </c>
      <c r="H873" s="13"/>
    </row>
    <row r="874" spans="1:8" x14ac:dyDescent="0.4">
      <c r="A874" s="22" t="str">
        <f>DataSet!A176</f>
        <v>CUST0175</v>
      </c>
      <c r="B874" s="6">
        <f>DataSet!I176</f>
        <v>186185.7</v>
      </c>
      <c r="C874" s="23" t="str">
        <f t="shared" si="18"/>
        <v>Very High</v>
      </c>
      <c r="H874" s="13"/>
    </row>
    <row r="875" spans="1:8" x14ac:dyDescent="0.4">
      <c r="A875" s="22" t="str">
        <f>DataSet!A177</f>
        <v>CUST0176</v>
      </c>
      <c r="B875" s="6">
        <f>DataSet!I177</f>
        <v>97900</v>
      </c>
      <c r="C875" s="23" t="str">
        <f t="shared" si="18"/>
        <v>Very High</v>
      </c>
      <c r="H875" s="13"/>
    </row>
    <row r="876" spans="1:8" x14ac:dyDescent="0.4">
      <c r="A876" s="22" t="str">
        <f>DataSet!A178</f>
        <v>CUST0177</v>
      </c>
      <c r="B876" s="6">
        <f>DataSet!I178</f>
        <v>24612</v>
      </c>
      <c r="C876" s="23" t="str">
        <f t="shared" si="18"/>
        <v>Medium</v>
      </c>
      <c r="H876" s="13"/>
    </row>
    <row r="877" spans="1:8" x14ac:dyDescent="0.4">
      <c r="A877" s="22" t="str">
        <f>DataSet!A179</f>
        <v>CUST0178</v>
      </c>
      <c r="B877" s="6">
        <f>DataSet!I179</f>
        <v>194032.16</v>
      </c>
      <c r="C877" s="23" t="str">
        <f t="shared" si="18"/>
        <v>Very High</v>
      </c>
      <c r="H877" s="13"/>
    </row>
    <row r="878" spans="1:8" x14ac:dyDescent="0.4">
      <c r="A878" s="22" t="str">
        <f>DataSet!A180</f>
        <v>CUST0179</v>
      </c>
      <c r="B878" s="6">
        <f>DataSet!I180</f>
        <v>94566.8</v>
      </c>
      <c r="C878" s="23" t="str">
        <f t="shared" si="18"/>
        <v>Very High</v>
      </c>
      <c r="H878" s="13"/>
    </row>
    <row r="879" spans="1:8" x14ac:dyDescent="0.4">
      <c r="A879" s="22" t="str">
        <f>DataSet!A181</f>
        <v>CUST0180</v>
      </c>
      <c r="B879" s="6">
        <f>DataSet!I181</f>
        <v>253232.76</v>
      </c>
      <c r="C879" s="23" t="str">
        <f t="shared" si="18"/>
        <v>Very High</v>
      </c>
      <c r="H879" s="13"/>
    </row>
    <row r="880" spans="1:8" x14ac:dyDescent="0.4">
      <c r="A880" s="22" t="str">
        <f>DataSet!A182</f>
        <v>CUST0181</v>
      </c>
      <c r="B880" s="6">
        <f>DataSet!I182</f>
        <v>158508</v>
      </c>
      <c r="C880" s="23" t="str">
        <f t="shared" si="18"/>
        <v>Very High</v>
      </c>
      <c r="H880" s="13"/>
    </row>
    <row r="881" spans="1:8" x14ac:dyDescent="0.4">
      <c r="A881" s="22" t="str">
        <f>DataSet!A183</f>
        <v>CUST0182</v>
      </c>
      <c r="B881" s="6">
        <f>DataSet!I183</f>
        <v>66784.08</v>
      </c>
      <c r="C881" s="23" t="str">
        <f t="shared" si="18"/>
        <v>Very High</v>
      </c>
      <c r="H881" s="13"/>
    </row>
    <row r="882" spans="1:8" x14ac:dyDescent="0.4">
      <c r="A882" s="22" t="str">
        <f>DataSet!A184</f>
        <v>CUST0183</v>
      </c>
      <c r="B882" s="6">
        <f>DataSet!I184</f>
        <v>216189</v>
      </c>
      <c r="C882" s="23" t="str">
        <f t="shared" si="18"/>
        <v>Very High</v>
      </c>
      <c r="H882" s="13"/>
    </row>
    <row r="883" spans="1:8" x14ac:dyDescent="0.4">
      <c r="A883" s="22" t="str">
        <f>DataSet!A185</f>
        <v>CUST0184</v>
      </c>
      <c r="B883" s="6">
        <f>DataSet!I185</f>
        <v>122740.8</v>
      </c>
      <c r="C883" s="23" t="str">
        <f t="shared" si="18"/>
        <v>Very High</v>
      </c>
      <c r="H883" s="13"/>
    </row>
    <row r="884" spans="1:8" x14ac:dyDescent="0.4">
      <c r="A884" s="22" t="str">
        <f>DataSet!A186</f>
        <v>CUST0185</v>
      </c>
      <c r="B884" s="6">
        <f>DataSet!I186</f>
        <v>51416</v>
      </c>
      <c r="C884" s="23" t="str">
        <f t="shared" si="18"/>
        <v>Very High</v>
      </c>
      <c r="H884" s="13"/>
    </row>
    <row r="885" spans="1:8" x14ac:dyDescent="0.4">
      <c r="A885" s="22" t="str">
        <f>DataSet!A187</f>
        <v>CUST0186</v>
      </c>
      <c r="B885" s="6">
        <f>DataSet!I187</f>
        <v>227952.9</v>
      </c>
      <c r="C885" s="23" t="str">
        <f t="shared" si="18"/>
        <v>Very High</v>
      </c>
      <c r="H885" s="13"/>
    </row>
    <row r="886" spans="1:8" x14ac:dyDescent="0.4">
      <c r="A886" s="22" t="str">
        <f>DataSet!A188</f>
        <v>CUST0187</v>
      </c>
      <c r="B886" s="6">
        <f>DataSet!I188</f>
        <v>123414.5</v>
      </c>
      <c r="C886" s="23" t="str">
        <f t="shared" si="18"/>
        <v>Very High</v>
      </c>
      <c r="H886" s="13"/>
    </row>
    <row r="887" spans="1:8" x14ac:dyDescent="0.4">
      <c r="A887" s="22" t="str">
        <f>DataSet!A189</f>
        <v>CUST0188</v>
      </c>
      <c r="B887" s="6">
        <f>DataSet!I189</f>
        <v>24029.48</v>
      </c>
      <c r="C887" s="23" t="str">
        <f t="shared" si="18"/>
        <v>Medium</v>
      </c>
      <c r="H887" s="13"/>
    </row>
    <row r="888" spans="1:8" x14ac:dyDescent="0.4">
      <c r="A888" s="22" t="str">
        <f>DataSet!A190</f>
        <v>CUST0189</v>
      </c>
      <c r="B888" s="6">
        <f>DataSet!I190</f>
        <v>189043.20000000001</v>
      </c>
      <c r="C888" s="23" t="str">
        <f t="shared" si="18"/>
        <v>Very High</v>
      </c>
      <c r="H888" s="13"/>
    </row>
    <row r="889" spans="1:8" x14ac:dyDescent="0.4">
      <c r="A889" s="22" t="str">
        <f>DataSet!A191</f>
        <v>CUST0190</v>
      </c>
      <c r="B889" s="6">
        <f>DataSet!I191</f>
        <v>92903.360000000001</v>
      </c>
      <c r="C889" s="23" t="str">
        <f t="shared" si="18"/>
        <v>Very High</v>
      </c>
      <c r="H889" s="13"/>
    </row>
    <row r="890" spans="1:8" x14ac:dyDescent="0.4">
      <c r="A890" s="22" t="str">
        <f>DataSet!A192</f>
        <v>CUST0191</v>
      </c>
      <c r="B890" s="6">
        <f>DataSet!I192</f>
        <v>248055.5</v>
      </c>
      <c r="C890" s="23" t="str">
        <f t="shared" si="18"/>
        <v>Very High</v>
      </c>
      <c r="H890" s="13"/>
    </row>
    <row r="891" spans="1:8" x14ac:dyDescent="0.4">
      <c r="A891" s="22" t="str">
        <f>DataSet!A193</f>
        <v>CUST0192</v>
      </c>
      <c r="B891" s="6">
        <f>DataSet!I193</f>
        <v>164268.72</v>
      </c>
      <c r="C891" s="23" t="str">
        <f t="shared" si="18"/>
        <v>Very High</v>
      </c>
      <c r="H891" s="13"/>
    </row>
    <row r="892" spans="1:8" x14ac:dyDescent="0.4">
      <c r="A892" s="22" t="str">
        <f>DataSet!A194</f>
        <v>CUST0193</v>
      </c>
      <c r="B892" s="6">
        <f>DataSet!I194</f>
        <v>92742</v>
      </c>
      <c r="C892" s="23" t="str">
        <f t="shared" si="18"/>
        <v>Very High</v>
      </c>
      <c r="H892" s="13"/>
    </row>
    <row r="893" spans="1:8" x14ac:dyDescent="0.4">
      <c r="A893" s="22" t="str">
        <f>DataSet!A195</f>
        <v>CUST0194</v>
      </c>
      <c r="B893" s="6">
        <f>DataSet!I195</f>
        <v>264021.8</v>
      </c>
      <c r="C893" s="23" t="str">
        <f t="shared" ref="C893:C927" si="19">IF(B893&gt;=50000,"Very High",IF(B893&gt;=25000,"High",IF(B893&gt;=10000,"Medium","Low")))</f>
        <v>Very High</v>
      </c>
      <c r="H893" s="13"/>
    </row>
    <row r="894" spans="1:8" x14ac:dyDescent="0.4">
      <c r="A894" s="22" t="str">
        <f>DataSet!A196</f>
        <v>CUST0195</v>
      </c>
      <c r="B894" s="6">
        <f>DataSet!I196</f>
        <v>180068.7</v>
      </c>
      <c r="C894" s="23" t="str">
        <f t="shared" si="19"/>
        <v>Very High</v>
      </c>
      <c r="H894" s="13"/>
    </row>
    <row r="895" spans="1:8" x14ac:dyDescent="0.4">
      <c r="A895" s="22" t="str">
        <f>DataSet!A197</f>
        <v>CUST0196</v>
      </c>
      <c r="B895" s="6">
        <f>DataSet!I197</f>
        <v>50075.6</v>
      </c>
      <c r="C895" s="23" t="str">
        <f t="shared" si="19"/>
        <v>Very High</v>
      </c>
      <c r="H895" s="13"/>
    </row>
    <row r="896" spans="1:8" x14ac:dyDescent="0.4">
      <c r="A896" s="22" t="str">
        <f>DataSet!A198</f>
        <v>CUST0197</v>
      </c>
      <c r="B896" s="6">
        <f>DataSet!I198</f>
        <v>221551.2</v>
      </c>
      <c r="C896" s="23" t="str">
        <f t="shared" si="19"/>
        <v>Very High</v>
      </c>
      <c r="H896" s="13"/>
    </row>
    <row r="897" spans="1:8" x14ac:dyDescent="0.4">
      <c r="A897" s="22" t="str">
        <f>DataSet!A199</f>
        <v>CUST0198</v>
      </c>
      <c r="B897" s="6">
        <f>DataSet!I199</f>
        <v>120951.6</v>
      </c>
      <c r="C897" s="23" t="str">
        <f t="shared" si="19"/>
        <v>Very High</v>
      </c>
      <c r="H897" s="13"/>
    </row>
    <row r="898" spans="1:8" x14ac:dyDescent="0.4">
      <c r="A898" s="22" t="str">
        <f>DataSet!A200</f>
        <v>CUST0199</v>
      </c>
      <c r="B898" s="6">
        <f>DataSet!I200</f>
        <v>23482.1</v>
      </c>
      <c r="C898" s="23" t="str">
        <f t="shared" si="19"/>
        <v>Medium</v>
      </c>
      <c r="H898" s="13"/>
    </row>
    <row r="899" spans="1:8" x14ac:dyDescent="0.4">
      <c r="A899" s="22" t="str">
        <f>DataSet!A201</f>
        <v>CUST0200</v>
      </c>
      <c r="B899" s="6">
        <f>DataSet!I201</f>
        <v>177683.20000000001</v>
      </c>
      <c r="C899" s="23" t="str">
        <f t="shared" si="19"/>
        <v>Very High</v>
      </c>
      <c r="H899" s="13"/>
    </row>
    <row r="900" spans="1:8" x14ac:dyDescent="0.4">
      <c r="A900" s="22" t="str">
        <f>DataSet!A202</f>
        <v>CUST0201</v>
      </c>
      <c r="B900" s="6">
        <f>DataSet!I202</f>
        <v>111600</v>
      </c>
      <c r="C900" s="23" t="str">
        <f t="shared" si="19"/>
        <v>Very High</v>
      </c>
      <c r="H900" s="13"/>
    </row>
    <row r="901" spans="1:8" x14ac:dyDescent="0.4">
      <c r="A901" s="22" t="str">
        <f>DataSet!A203</f>
        <v>CUST0202</v>
      </c>
      <c r="B901" s="6">
        <f>DataSet!I203</f>
        <v>302238.86</v>
      </c>
      <c r="C901" s="23" t="str">
        <f t="shared" si="19"/>
        <v>Very High</v>
      </c>
      <c r="H901" s="13"/>
    </row>
    <row r="902" spans="1:8" x14ac:dyDescent="0.4">
      <c r="A902" s="22" t="str">
        <f>DataSet!A204</f>
        <v>CUST0203</v>
      </c>
      <c r="B902" s="6">
        <f>DataSet!I204</f>
        <v>187357.1</v>
      </c>
      <c r="C902" s="23" t="str">
        <f t="shared" si="19"/>
        <v>Very High</v>
      </c>
      <c r="H902" s="13"/>
    </row>
    <row r="903" spans="1:8" x14ac:dyDescent="0.4">
      <c r="A903" s="22" t="str">
        <f>DataSet!A205</f>
        <v>CUST0204</v>
      </c>
      <c r="B903" s="6">
        <f>DataSet!I205</f>
        <v>78138.36</v>
      </c>
      <c r="C903" s="23" t="str">
        <f t="shared" si="19"/>
        <v>Very High</v>
      </c>
      <c r="H903" s="13"/>
    </row>
    <row r="904" spans="1:8" x14ac:dyDescent="0.4">
      <c r="A904" s="22" t="str">
        <f>DataSet!A206</f>
        <v>CUST0205</v>
      </c>
      <c r="B904" s="6">
        <f>DataSet!I206</f>
        <v>256032</v>
      </c>
      <c r="C904" s="23" t="str">
        <f t="shared" si="19"/>
        <v>Very High</v>
      </c>
      <c r="H904" s="13"/>
    </row>
    <row r="905" spans="1:8" x14ac:dyDescent="0.4">
      <c r="A905" s="22" t="str">
        <f>DataSet!A207</f>
        <v>CUST0206</v>
      </c>
      <c r="B905" s="6">
        <f>DataSet!I207</f>
        <v>150928.79999999999</v>
      </c>
      <c r="C905" s="23" t="str">
        <f t="shared" si="19"/>
        <v>Very High</v>
      </c>
      <c r="H905" s="13"/>
    </row>
    <row r="906" spans="1:8" x14ac:dyDescent="0.4">
      <c r="A906" s="22" t="str">
        <f>DataSet!A208</f>
        <v>CUST0207</v>
      </c>
      <c r="B906" s="6">
        <f>DataSet!I208</f>
        <v>48827.4</v>
      </c>
      <c r="C906" s="23" t="str">
        <f t="shared" si="19"/>
        <v>High</v>
      </c>
      <c r="H906" s="13"/>
    </row>
    <row r="907" spans="1:8" x14ac:dyDescent="0.4">
      <c r="A907" s="22" t="str">
        <f>DataSet!A209</f>
        <v>CUST0208</v>
      </c>
      <c r="B907" s="6">
        <f>DataSet!I209</f>
        <v>207784.8</v>
      </c>
      <c r="C907" s="23" t="str">
        <f t="shared" si="19"/>
        <v>Very High</v>
      </c>
      <c r="H907" s="13"/>
    </row>
    <row r="908" spans="1:8" x14ac:dyDescent="0.4">
      <c r="A908" s="22" t="str">
        <f>DataSet!A210</f>
        <v>CUST0209</v>
      </c>
      <c r="B908" s="6">
        <f>DataSet!I210</f>
        <v>144980</v>
      </c>
      <c r="C908" s="23" t="str">
        <f t="shared" si="19"/>
        <v>Very High</v>
      </c>
      <c r="H908" s="13"/>
    </row>
    <row r="909" spans="1:8" x14ac:dyDescent="0.4">
      <c r="A909" s="22" t="str">
        <f>DataSet!A211</f>
        <v>CUST0210</v>
      </c>
      <c r="B909" s="6">
        <f>DataSet!I211</f>
        <v>28550.34</v>
      </c>
      <c r="C909" s="23" t="str">
        <f t="shared" si="19"/>
        <v>High</v>
      </c>
      <c r="H909" s="13"/>
    </row>
    <row r="910" spans="1:8" x14ac:dyDescent="0.4">
      <c r="A910" s="22" t="str">
        <f>DataSet!A212</f>
        <v>CUST0211</v>
      </c>
      <c r="B910" s="6">
        <f>DataSet!I212</f>
        <v>222452</v>
      </c>
      <c r="C910" s="23" t="str">
        <f t="shared" si="19"/>
        <v>Very High</v>
      </c>
      <c r="H910" s="13"/>
    </row>
    <row r="911" spans="1:8" x14ac:dyDescent="0.4">
      <c r="A911" s="22" t="str">
        <f>DataSet!A213</f>
        <v>CUST0212</v>
      </c>
      <c r="B911" s="6">
        <f>DataSet!I213</f>
        <v>108217.76</v>
      </c>
      <c r="C911" s="23" t="str">
        <f t="shared" si="19"/>
        <v>Very High</v>
      </c>
      <c r="H911" s="13"/>
    </row>
    <row r="912" spans="1:8" x14ac:dyDescent="0.4">
      <c r="A912" s="22" t="str">
        <f>DataSet!A214</f>
        <v>CUST0213</v>
      </c>
      <c r="B912" s="6">
        <f>DataSet!I214</f>
        <v>292485.59999999998</v>
      </c>
      <c r="C912" s="23" t="str">
        <f t="shared" si="19"/>
        <v>Very High</v>
      </c>
      <c r="H912" s="13"/>
    </row>
    <row r="913" spans="1:8" x14ac:dyDescent="0.4">
      <c r="A913" s="22" t="str">
        <f>DataSet!A215</f>
        <v>CUST0214</v>
      </c>
      <c r="B913" s="6">
        <f>DataSet!I215</f>
        <v>182834.96</v>
      </c>
      <c r="C913" s="23" t="str">
        <f t="shared" si="19"/>
        <v>Very High</v>
      </c>
      <c r="H913" s="13"/>
    </row>
    <row r="914" spans="1:8" x14ac:dyDescent="0.4">
      <c r="A914" s="22" t="str">
        <f>DataSet!A216</f>
        <v>CUST0215</v>
      </c>
      <c r="B914" s="6">
        <f>DataSet!I216</f>
        <v>76035.899999999994</v>
      </c>
      <c r="C914" s="23" t="str">
        <f t="shared" si="19"/>
        <v>Very High</v>
      </c>
      <c r="H914" s="13"/>
    </row>
    <row r="915" spans="1:8" x14ac:dyDescent="0.4">
      <c r="A915" s="22" t="str">
        <f>DataSet!A217</f>
        <v>CUST0216</v>
      </c>
      <c r="B915" s="6">
        <f>DataSet!I217</f>
        <v>239640</v>
      </c>
      <c r="C915" s="23" t="str">
        <f t="shared" si="19"/>
        <v>Very High</v>
      </c>
      <c r="H915" s="13"/>
    </row>
    <row r="916" spans="1:8" x14ac:dyDescent="0.4">
      <c r="A916" s="22" t="str">
        <f>DataSet!A218</f>
        <v>CUST0217</v>
      </c>
      <c r="B916" s="6">
        <f>DataSet!I218</f>
        <v>180552</v>
      </c>
      <c r="C916" s="23" t="str">
        <f t="shared" si="19"/>
        <v>Very High</v>
      </c>
      <c r="H916" s="13"/>
    </row>
    <row r="917" spans="1:8" x14ac:dyDescent="0.4">
      <c r="A917" s="22" t="str">
        <f>DataSet!A219</f>
        <v>CUST0218</v>
      </c>
      <c r="B917" s="6">
        <f>DataSet!I219</f>
        <v>59248.84</v>
      </c>
      <c r="C917" s="23" t="str">
        <f t="shared" si="19"/>
        <v>Very High</v>
      </c>
      <c r="H917" s="13"/>
    </row>
    <row r="918" spans="1:8" x14ac:dyDescent="0.4">
      <c r="A918" s="22" t="str">
        <f>DataSet!A220</f>
        <v>CUST0219</v>
      </c>
      <c r="B918" s="6">
        <f>DataSet!I220</f>
        <v>259629.3</v>
      </c>
      <c r="C918" s="23" t="str">
        <f t="shared" si="19"/>
        <v>Very High</v>
      </c>
      <c r="H918" s="13"/>
    </row>
    <row r="919" spans="1:8" x14ac:dyDescent="0.4">
      <c r="A919" s="22" t="str">
        <f>DataSet!A221</f>
        <v>CUST0220</v>
      </c>
      <c r="B919" s="6">
        <f>DataSet!I221</f>
        <v>140313.79999999999</v>
      </c>
      <c r="C919" s="23" t="str">
        <f t="shared" si="19"/>
        <v>Very High</v>
      </c>
      <c r="H919" s="13"/>
    </row>
    <row r="920" spans="1:8" x14ac:dyDescent="0.4">
      <c r="A920" s="22" t="str">
        <f>DataSet!A222</f>
        <v>CUST0221</v>
      </c>
      <c r="B920" s="6">
        <f>DataSet!I222</f>
        <v>27576</v>
      </c>
      <c r="C920" s="23" t="str">
        <f t="shared" si="19"/>
        <v>High</v>
      </c>
      <c r="H920" s="13"/>
    </row>
    <row r="921" spans="1:8" x14ac:dyDescent="0.4">
      <c r="A921" s="22" t="str">
        <f>DataSet!A223</f>
        <v>CUST0222</v>
      </c>
      <c r="B921" s="6">
        <f>DataSet!I223</f>
        <v>216670.07999999999</v>
      </c>
      <c r="C921" s="23" t="str">
        <f t="shared" si="19"/>
        <v>Very High</v>
      </c>
      <c r="H921" s="13"/>
    </row>
    <row r="922" spans="1:8" x14ac:dyDescent="0.4">
      <c r="A922" s="22" t="str">
        <f>DataSet!A224</f>
        <v>CUST0223</v>
      </c>
      <c r="B922" s="6">
        <f>DataSet!I224</f>
        <v>105107.6</v>
      </c>
      <c r="C922" s="23" t="str">
        <f t="shared" si="19"/>
        <v>Very High</v>
      </c>
      <c r="H922" s="13"/>
    </row>
    <row r="923" spans="1:8" x14ac:dyDescent="0.4">
      <c r="A923" s="22" t="str">
        <f>DataSet!A225</f>
        <v>CUST0019</v>
      </c>
      <c r="B923" s="6">
        <f>DataSet!I225</f>
        <v>16906.2</v>
      </c>
      <c r="C923" s="23" t="str">
        <f t="shared" si="19"/>
        <v>Medium</v>
      </c>
      <c r="H923" s="13"/>
    </row>
    <row r="924" spans="1:8" x14ac:dyDescent="0.4">
      <c r="A924" s="22" t="str">
        <f>DataSet!A226</f>
        <v>CUST0044</v>
      </c>
      <c r="B924" s="6">
        <f>DataSet!I226</f>
        <v>29398.6</v>
      </c>
      <c r="C924" s="23" t="str">
        <f t="shared" si="19"/>
        <v>High</v>
      </c>
      <c r="H924" s="13"/>
    </row>
    <row r="925" spans="1:8" x14ac:dyDescent="0.4">
      <c r="A925" s="22" t="str">
        <f>DataSet!A227</f>
        <v>CUST0079</v>
      </c>
      <c r="B925" s="6">
        <f>DataSet!I227</f>
        <v>76064.800000000003</v>
      </c>
      <c r="C925" s="23" t="str">
        <f t="shared" si="19"/>
        <v>Very High</v>
      </c>
      <c r="H925" s="13"/>
    </row>
    <row r="926" spans="1:8" x14ac:dyDescent="0.4">
      <c r="A926" s="22" t="str">
        <f>DataSet!A228</f>
        <v>CUST0119</v>
      </c>
      <c r="B926" s="6">
        <f>DataSet!I228</f>
        <v>28332.2</v>
      </c>
      <c r="C926" s="23" t="str">
        <f t="shared" si="19"/>
        <v>High</v>
      </c>
      <c r="H926" s="13"/>
    </row>
    <row r="927" spans="1:8" ht="21.6" thickBot="1" x14ac:dyDescent="0.45">
      <c r="A927" s="24" t="str">
        <f>DataSet!A229</f>
        <v>CUST0159</v>
      </c>
      <c r="B927" s="29">
        <f>DataSet!I229</f>
        <v>131768.70000000001</v>
      </c>
      <c r="C927" s="25" t="str">
        <f t="shared" si="19"/>
        <v>Very High</v>
      </c>
      <c r="H927" s="13"/>
    </row>
  </sheetData>
  <mergeCells count="8">
    <mergeCell ref="A697:F697"/>
    <mergeCell ref="J260:P260"/>
    <mergeCell ref="J286:N286"/>
    <mergeCell ref="A232:F232"/>
    <mergeCell ref="A464:F464"/>
    <mergeCell ref="K1:P1"/>
    <mergeCell ref="A1:G1"/>
    <mergeCell ref="J27:O27"/>
  </mergeCells>
  <conditionalFormatting sqref="J30:L257">
    <cfRule type="cellIs" dxfId="0" priority="1" operator="greaterThan">
      <formula>25000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DataSet</vt:lpstr>
      <vt:lpstr>Dashboard</vt:lpstr>
      <vt:lpstr>Main Task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guptarajubhai636@gmail.com</dc:creator>
  <cp:lastModifiedBy>guptarajubhai636@gmail.com</cp:lastModifiedBy>
  <dcterms:created xsi:type="dcterms:W3CDTF">2026-09-16T15:07:50Z</dcterms:created>
  <dcterms:modified xsi:type="dcterms:W3CDTF">2026-09-18T16:03:58Z</dcterms:modified>
</cp:coreProperties>
</file>