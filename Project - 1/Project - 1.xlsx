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Grade" sheetId="1" r:id="rId5"/>
    <sheet state="visible" name="Sales Data" sheetId="2" r:id="rId6"/>
    <sheet state="visible" name="Employee Data" sheetId="3" r:id="rId7"/>
  </sheets>
  <definedNames/>
  <calcPr/>
</workbook>
</file>

<file path=xl/sharedStrings.xml><?xml version="1.0" encoding="utf-8"?>
<sst xmlns="http://schemas.openxmlformats.org/spreadsheetml/2006/main" count="188" uniqueCount="122">
  <si>
    <t>Employee ID</t>
  </si>
  <si>
    <t>Student ID</t>
  </si>
  <si>
    <t>Name</t>
  </si>
  <si>
    <t>Department</t>
  </si>
  <si>
    <t>Salary</t>
  </si>
  <si>
    <t>Joining Date</t>
  </si>
  <si>
    <t>Math</t>
  </si>
  <si>
    <t>Science</t>
  </si>
  <si>
    <t>Sales ID</t>
  </si>
  <si>
    <t>English</t>
  </si>
  <si>
    <t>Employee Lookup</t>
  </si>
  <si>
    <t>Enrollment Date</t>
  </si>
  <si>
    <t>Grade</t>
  </si>
  <si>
    <t>Product</t>
  </si>
  <si>
    <t>Region</t>
  </si>
  <si>
    <t>Salesperson</t>
  </si>
  <si>
    <t>Amount</t>
  </si>
  <si>
    <t>Date</t>
  </si>
  <si>
    <t>Math &amp; Science Above 80</t>
  </si>
  <si>
    <t>Students Scoring Above 60</t>
  </si>
  <si>
    <t>Product Lookup</t>
  </si>
  <si>
    <t>Employee Salary Lookup</t>
  </si>
  <si>
    <t>Student 1</t>
  </si>
  <si>
    <t>Today's Date</t>
  </si>
  <si>
    <t>OFFSET Practice</t>
  </si>
  <si>
    <t>Keyboard</t>
  </si>
  <si>
    <t>South</t>
  </si>
  <si>
    <t>Person 1</t>
  </si>
  <si>
    <t xml:space="preserve">Product </t>
  </si>
  <si>
    <t>Employee 1</t>
  </si>
  <si>
    <t>Finance</t>
  </si>
  <si>
    <t>Starting Cell</t>
  </si>
  <si>
    <t>Offset Result</t>
  </si>
  <si>
    <t>Printer</t>
  </si>
  <si>
    <t>West</t>
  </si>
  <si>
    <t>Person 2</t>
  </si>
  <si>
    <t>Current Date &amp; Time</t>
  </si>
  <si>
    <t>Employee 2</t>
  </si>
  <si>
    <t>Student 2</t>
  </si>
  <si>
    <t>Average Score Above 60</t>
  </si>
  <si>
    <t>Student 3</t>
  </si>
  <si>
    <t>E2</t>
  </si>
  <si>
    <t>Years Since Joining</t>
  </si>
  <si>
    <t>Student 4</t>
  </si>
  <si>
    <t>Students With Score Above 80</t>
  </si>
  <si>
    <t>Mouse</t>
  </si>
  <si>
    <t>Person 3</t>
  </si>
  <si>
    <t>Employee 3</t>
  </si>
  <si>
    <t>HR</t>
  </si>
  <si>
    <t>Student 5</t>
  </si>
  <si>
    <t>E15</t>
  </si>
  <si>
    <t>East</t>
  </si>
  <si>
    <t>Person 4</t>
  </si>
  <si>
    <t>Employee 4</t>
  </si>
  <si>
    <t>Employee 5</t>
  </si>
  <si>
    <t>IT</t>
  </si>
  <si>
    <t>E18</t>
  </si>
  <si>
    <t>Employee 6</t>
  </si>
  <si>
    <t>North</t>
  </si>
  <si>
    <t>Person 5</t>
  </si>
  <si>
    <t>E21</t>
  </si>
  <si>
    <t>Employee 7</t>
  </si>
  <si>
    <t>Marketing</t>
  </si>
  <si>
    <t>Person 6</t>
  </si>
  <si>
    <t>Employee 8</t>
  </si>
  <si>
    <t>Reference Practice</t>
  </si>
  <si>
    <t>Person 7</t>
  </si>
  <si>
    <t>Student 6</t>
  </si>
  <si>
    <t>Employee 9</t>
  </si>
  <si>
    <t>Math Functions</t>
  </si>
  <si>
    <t>Employee Salary</t>
  </si>
  <si>
    <t>Adjustment Rate</t>
  </si>
  <si>
    <t>Employee 10</t>
  </si>
  <si>
    <t>Person 8</t>
  </si>
  <si>
    <t>Round</t>
  </si>
  <si>
    <t>Ceiling</t>
  </si>
  <si>
    <t>Student 7</t>
  </si>
  <si>
    <t>Floor</t>
  </si>
  <si>
    <t>Person 9</t>
  </si>
  <si>
    <t>Product Position</t>
  </si>
  <si>
    <t>Employee 11</t>
  </si>
  <si>
    <t>Employee 12</t>
  </si>
  <si>
    <t>Student 8</t>
  </si>
  <si>
    <t>Employee 13</t>
  </si>
  <si>
    <t>Joining Year</t>
  </si>
  <si>
    <t>INDEX + MATCH</t>
  </si>
  <si>
    <t>Employee 14</t>
  </si>
  <si>
    <t>Student 9</t>
  </si>
  <si>
    <t>Person 10</t>
  </si>
  <si>
    <t>Employee 15</t>
  </si>
  <si>
    <t>Student 10</t>
  </si>
  <si>
    <t>Person 11</t>
  </si>
  <si>
    <t>Employee 16</t>
  </si>
  <si>
    <t>Student 11</t>
  </si>
  <si>
    <t>Monitor</t>
  </si>
  <si>
    <t>Person 12</t>
  </si>
  <si>
    <t>Employee 17</t>
  </si>
  <si>
    <t>Laptop</t>
  </si>
  <si>
    <t>Person 13</t>
  </si>
  <si>
    <t>Student 12</t>
  </si>
  <si>
    <t>Person 14</t>
  </si>
  <si>
    <t>Employee 18</t>
  </si>
  <si>
    <t>Cell References</t>
  </si>
  <si>
    <t>Value</t>
  </si>
  <si>
    <t>Person 15</t>
  </si>
  <si>
    <t>Employee 19</t>
  </si>
  <si>
    <t>Employee 20</t>
  </si>
  <si>
    <t>Student 13</t>
  </si>
  <si>
    <t>Person 16</t>
  </si>
  <si>
    <t>E3</t>
  </si>
  <si>
    <t>Person 17</t>
  </si>
  <si>
    <t>Person 18</t>
  </si>
  <si>
    <t>Student 14</t>
  </si>
  <si>
    <t>Person 19</t>
  </si>
  <si>
    <t>Person 20</t>
  </si>
  <si>
    <t>Student 15</t>
  </si>
  <si>
    <t>Student 16</t>
  </si>
  <si>
    <t>Math Scores Above 50</t>
  </si>
  <si>
    <t>Student 17</t>
  </si>
  <si>
    <t>Student 18</t>
  </si>
  <si>
    <t>Student 19</t>
  </si>
  <si>
    <t>Student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</si>
</sst>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m/d/yyyy h:mm:ss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/>
    <font>
      <sz val="11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1" fillId="0" fontId="4" numFmtId="0" xfId="0" applyAlignment="1" applyBorder="1" applyFont="1">
      <alignment horizontal="center"/>
    </xf>
    <xf borderId="2" fillId="2" fontId="5" numFmtId="0" xfId="0" applyAlignment="1" applyBorder="1" applyFill="1" applyFont="1">
      <alignment horizontal="center" readingOrder="0"/>
    </xf>
    <xf borderId="1" fillId="0" fontId="4" numFmtId="164" xfId="0" applyAlignment="1" applyBorder="1" applyFont="1" applyNumberFormat="1">
      <alignment horizontal="center"/>
    </xf>
    <xf borderId="1" fillId="0" fontId="5" numFmtId="14" xfId="0" applyAlignment="1" applyBorder="1" applyFont="1" applyNumberFormat="1">
      <alignment horizontal="center"/>
    </xf>
    <xf borderId="1" fillId="3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center"/>
    </xf>
    <xf borderId="4" fillId="0" fontId="3" numFmtId="0" xfId="0" applyBorder="1" applyFont="1"/>
    <xf borderId="0" fillId="0" fontId="4" numFmtId="0" xfId="0" applyAlignment="1" applyFont="1">
      <alignment horizontal="center"/>
    </xf>
    <xf borderId="1" fillId="0" fontId="5" numFmtId="164" xfId="0" applyAlignment="1" applyBorder="1" applyFont="1" applyNumberFormat="1">
      <alignment horizontal="center"/>
    </xf>
    <xf borderId="0" fillId="5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5" numFmtId="9" xfId="0" applyAlignment="1" applyBorder="1" applyFont="1" applyNumberForma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/>
    </xf>
    <xf borderId="1" fillId="2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6" max="6" width="19.0"/>
    <col customWidth="1" min="8" max="8" width="27.75"/>
    <col customWidth="1" min="9" max="9" width="23.63"/>
    <col customWidth="1" min="14" max="14" width="17.5"/>
  </cols>
  <sheetData>
    <row r="1">
      <c r="A1" s="1" t="s">
        <v>1</v>
      </c>
      <c r="B1" s="1" t="s">
        <v>2</v>
      </c>
      <c r="C1" s="1" t="s">
        <v>6</v>
      </c>
      <c r="D1" s="1" t="s">
        <v>7</v>
      </c>
      <c r="E1" s="1" t="s">
        <v>9</v>
      </c>
      <c r="F1" s="1" t="s">
        <v>11</v>
      </c>
      <c r="G1" s="2" t="s">
        <v>12</v>
      </c>
      <c r="H1" s="2" t="s">
        <v>18</v>
      </c>
      <c r="I1" s="2" t="s">
        <v>19</v>
      </c>
    </row>
    <row r="2">
      <c r="A2" s="5">
        <v>1001.0</v>
      </c>
      <c r="B2" s="5" t="s">
        <v>22</v>
      </c>
      <c r="C2" s="5">
        <v>61.0</v>
      </c>
      <c r="D2" s="5">
        <v>48.0</v>
      </c>
      <c r="E2" s="5">
        <v>76.0</v>
      </c>
      <c r="F2" s="7">
        <v>43101.0</v>
      </c>
      <c r="G2" s="11" t="str">
        <f t="shared" ref="G2:G21" si="1">IF(C2&gt;=80,"A",IF(C2&gt;=60,"B",IF(C2&gt;=50,"C","D")))</f>
        <v>B</v>
      </c>
      <c r="H2" s="11" t="str">
        <f t="shared" ref="H2:H21" si="2">IF(AND(C2&gt;80,D2&gt;80),"Yes","No")</f>
        <v>No</v>
      </c>
      <c r="I2" s="11">
        <f>COUNTIFS(C2:C21,"&gt;60")</f>
        <v>19</v>
      </c>
    </row>
    <row r="3">
      <c r="A3" s="5">
        <v>1002.0</v>
      </c>
      <c r="B3" s="5" t="s">
        <v>38</v>
      </c>
      <c r="C3" s="5">
        <v>78.0</v>
      </c>
      <c r="D3" s="5">
        <v>76.0</v>
      </c>
      <c r="E3" s="5">
        <v>70.0</v>
      </c>
      <c r="F3" s="7">
        <v>43281.0</v>
      </c>
      <c r="G3" s="11" t="str">
        <f t="shared" si="1"/>
        <v>B</v>
      </c>
      <c r="H3" s="11" t="str">
        <f t="shared" si="2"/>
        <v>No</v>
      </c>
      <c r="I3" s="2" t="s">
        <v>39</v>
      </c>
    </row>
    <row r="4">
      <c r="A4" s="5">
        <v>1003.0</v>
      </c>
      <c r="B4" s="5" t="s">
        <v>40</v>
      </c>
      <c r="C4" s="5">
        <v>97.0</v>
      </c>
      <c r="D4" s="5">
        <v>60.0</v>
      </c>
      <c r="E4" s="5">
        <v>51.0</v>
      </c>
      <c r="F4" s="7">
        <v>43461.0</v>
      </c>
      <c r="G4" s="11" t="str">
        <f t="shared" si="1"/>
        <v>A</v>
      </c>
      <c r="H4" s="11" t="str">
        <f t="shared" si="2"/>
        <v>No</v>
      </c>
      <c r="I4" s="11">
        <f>AVERAGEIFS(C2:C21,C2:C21,"&gt;60")</f>
        <v>82.26315789</v>
      </c>
    </row>
    <row r="5">
      <c r="A5" s="5">
        <v>1004.0</v>
      </c>
      <c r="B5" s="5" t="s">
        <v>43</v>
      </c>
      <c r="C5" s="5">
        <v>74.0</v>
      </c>
      <c r="D5" s="5">
        <v>55.0</v>
      </c>
      <c r="E5" s="5">
        <v>46.0</v>
      </c>
      <c r="F5" s="7">
        <v>43641.0</v>
      </c>
      <c r="G5" s="11" t="str">
        <f t="shared" si="1"/>
        <v>B</v>
      </c>
      <c r="H5" s="11" t="str">
        <f t="shared" si="2"/>
        <v>No</v>
      </c>
      <c r="I5" s="3" t="s">
        <v>44</v>
      </c>
      <c r="J5" s="14"/>
      <c r="K5" s="14"/>
      <c r="L5" s="14"/>
      <c r="M5" s="14"/>
      <c r="N5" s="14"/>
      <c r="O5" s="4"/>
    </row>
    <row r="6">
      <c r="A6" s="5">
        <v>1005.0</v>
      </c>
      <c r="B6" s="5" t="s">
        <v>49</v>
      </c>
      <c r="C6" s="5">
        <v>68.0</v>
      </c>
      <c r="D6" s="5">
        <v>74.0</v>
      </c>
      <c r="E6" s="5">
        <v>84.0</v>
      </c>
      <c r="F6" s="7">
        <v>43821.0</v>
      </c>
      <c r="G6" s="11" t="str">
        <f t="shared" si="1"/>
        <v>B</v>
      </c>
      <c r="H6" s="11" t="str">
        <f t="shared" si="2"/>
        <v>No</v>
      </c>
      <c r="I6" s="11">
        <f>IFERROR(__xludf.DUMMYFUNCTION("FILTER(A2:G21,C2:C21&gt;80)"),1003.0)</f>
        <v>1003</v>
      </c>
      <c r="J6" s="11" t="str">
        <f>IFERROR(__xludf.DUMMYFUNCTION("""COMPUTED_VALUE"""),"Student 3")</f>
        <v>Student 3</v>
      </c>
      <c r="K6" s="11">
        <f>IFERROR(__xludf.DUMMYFUNCTION("""COMPUTED_VALUE"""),97.0)</f>
        <v>97</v>
      </c>
      <c r="L6" s="11">
        <f>IFERROR(__xludf.DUMMYFUNCTION("""COMPUTED_VALUE"""),60.0)</f>
        <v>60</v>
      </c>
      <c r="M6" s="11">
        <f>IFERROR(__xludf.DUMMYFUNCTION("""COMPUTED_VALUE"""),51.0)</f>
        <v>51</v>
      </c>
      <c r="N6" s="16">
        <f>IFERROR(__xludf.DUMMYFUNCTION("""COMPUTED_VALUE"""),43461.0)</f>
        <v>43461</v>
      </c>
      <c r="O6" s="11" t="str">
        <f>IFERROR(__xludf.DUMMYFUNCTION("""COMPUTED_VALUE"""),"A")</f>
        <v>A</v>
      </c>
    </row>
    <row r="7">
      <c r="A7" s="5">
        <v>1006.0</v>
      </c>
      <c r="B7" s="5" t="s">
        <v>67</v>
      </c>
      <c r="C7" s="5">
        <v>80.0</v>
      </c>
      <c r="D7" s="5">
        <v>70.0</v>
      </c>
      <c r="E7" s="5">
        <v>65.0</v>
      </c>
      <c r="F7" s="7">
        <v>44001.0</v>
      </c>
      <c r="G7" s="11" t="str">
        <f t="shared" si="1"/>
        <v>A</v>
      </c>
      <c r="H7" s="11" t="str">
        <f t="shared" si="2"/>
        <v>No</v>
      </c>
      <c r="I7" s="11">
        <f>IFERROR(__xludf.DUMMYFUNCTION("""COMPUTED_VALUE"""),1008.0)</f>
        <v>1008</v>
      </c>
      <c r="J7" s="11" t="str">
        <f>IFERROR(__xludf.DUMMYFUNCTION("""COMPUTED_VALUE"""),"Student 8")</f>
        <v>Student 8</v>
      </c>
      <c r="K7" s="11">
        <f>IFERROR(__xludf.DUMMYFUNCTION("""COMPUTED_VALUE"""),94.0)</f>
        <v>94</v>
      </c>
      <c r="L7" s="11">
        <f>IFERROR(__xludf.DUMMYFUNCTION("""COMPUTED_VALUE"""),67.0)</f>
        <v>67</v>
      </c>
      <c r="M7" s="11">
        <f>IFERROR(__xludf.DUMMYFUNCTION("""COMPUTED_VALUE"""),64.0)</f>
        <v>64</v>
      </c>
      <c r="N7" s="16">
        <f>IFERROR(__xludf.DUMMYFUNCTION("""COMPUTED_VALUE"""),44361.0)</f>
        <v>44361</v>
      </c>
      <c r="O7" s="11" t="str">
        <f>IFERROR(__xludf.DUMMYFUNCTION("""COMPUTED_VALUE"""),"A")</f>
        <v>A</v>
      </c>
    </row>
    <row r="8">
      <c r="A8" s="5">
        <v>1007.0</v>
      </c>
      <c r="B8" s="5" t="s">
        <v>76</v>
      </c>
      <c r="C8" s="5">
        <v>75.0</v>
      </c>
      <c r="D8" s="5">
        <v>47.0</v>
      </c>
      <c r="E8" s="5">
        <v>78.0</v>
      </c>
      <c r="F8" s="7">
        <v>44181.0</v>
      </c>
      <c r="G8" s="11" t="str">
        <f t="shared" si="1"/>
        <v>B</v>
      </c>
      <c r="H8" s="11" t="str">
        <f t="shared" si="2"/>
        <v>No</v>
      </c>
      <c r="I8" s="11">
        <f>IFERROR(__xludf.DUMMYFUNCTION("""COMPUTED_VALUE"""),1010.0)</f>
        <v>1010</v>
      </c>
      <c r="J8" s="11" t="str">
        <f>IFERROR(__xludf.DUMMYFUNCTION("""COMPUTED_VALUE"""),"Student 10")</f>
        <v>Student 10</v>
      </c>
      <c r="K8" s="11">
        <f>IFERROR(__xludf.DUMMYFUNCTION("""COMPUTED_VALUE"""),98.0)</f>
        <v>98</v>
      </c>
      <c r="L8" s="11">
        <f>IFERROR(__xludf.DUMMYFUNCTION("""COMPUTED_VALUE"""),54.0)</f>
        <v>54</v>
      </c>
      <c r="M8" s="11">
        <f>IFERROR(__xludf.DUMMYFUNCTION("""COMPUTED_VALUE"""),58.0)</f>
        <v>58</v>
      </c>
      <c r="N8" s="16">
        <f>IFERROR(__xludf.DUMMYFUNCTION("""COMPUTED_VALUE"""),44721.0)</f>
        <v>44721</v>
      </c>
      <c r="O8" s="11" t="str">
        <f>IFERROR(__xludf.DUMMYFUNCTION("""COMPUTED_VALUE"""),"A")</f>
        <v>A</v>
      </c>
    </row>
    <row r="9">
      <c r="A9" s="5">
        <v>1008.0</v>
      </c>
      <c r="B9" s="5" t="s">
        <v>82</v>
      </c>
      <c r="C9" s="5">
        <v>94.0</v>
      </c>
      <c r="D9" s="5">
        <v>67.0</v>
      </c>
      <c r="E9" s="5">
        <v>64.0</v>
      </c>
      <c r="F9" s="7">
        <v>44361.0</v>
      </c>
      <c r="G9" s="11" t="str">
        <f t="shared" si="1"/>
        <v>A</v>
      </c>
      <c r="H9" s="11" t="str">
        <f t="shared" si="2"/>
        <v>No</v>
      </c>
      <c r="I9" s="11">
        <f>IFERROR(__xludf.DUMMYFUNCTION("""COMPUTED_VALUE"""),1012.0)</f>
        <v>1012</v>
      </c>
      <c r="J9" s="11" t="str">
        <f>IFERROR(__xludf.DUMMYFUNCTION("""COMPUTED_VALUE"""),"Student 12")</f>
        <v>Student 12</v>
      </c>
      <c r="K9" s="11">
        <f>IFERROR(__xludf.DUMMYFUNCTION("""COMPUTED_VALUE"""),85.0)</f>
        <v>85</v>
      </c>
      <c r="L9" s="11">
        <f>IFERROR(__xludf.DUMMYFUNCTION("""COMPUTED_VALUE"""),89.0)</f>
        <v>89</v>
      </c>
      <c r="M9" s="11">
        <f>IFERROR(__xludf.DUMMYFUNCTION("""COMPUTED_VALUE"""),79.0)</f>
        <v>79</v>
      </c>
      <c r="N9" s="16">
        <f>IFERROR(__xludf.DUMMYFUNCTION("""COMPUTED_VALUE"""),45081.0)</f>
        <v>45081</v>
      </c>
      <c r="O9" s="11" t="str">
        <f>IFERROR(__xludf.DUMMYFUNCTION("""COMPUTED_VALUE"""),"A")</f>
        <v>A</v>
      </c>
    </row>
    <row r="10">
      <c r="A10" s="5">
        <v>1009.0</v>
      </c>
      <c r="B10" s="5" t="s">
        <v>87</v>
      </c>
      <c r="C10" s="5">
        <v>41.0</v>
      </c>
      <c r="D10" s="5">
        <v>75.0</v>
      </c>
      <c r="E10" s="5">
        <v>56.0</v>
      </c>
      <c r="F10" s="7">
        <v>44541.0</v>
      </c>
      <c r="G10" s="11" t="str">
        <f t="shared" si="1"/>
        <v>D</v>
      </c>
      <c r="H10" s="11" t="str">
        <f t="shared" si="2"/>
        <v>No</v>
      </c>
      <c r="I10" s="11">
        <f>IFERROR(__xludf.DUMMYFUNCTION("""COMPUTED_VALUE"""),1013.0)</f>
        <v>1013</v>
      </c>
      <c r="J10" s="11" t="str">
        <f>IFERROR(__xludf.DUMMYFUNCTION("""COMPUTED_VALUE"""),"Student 13")</f>
        <v>Student 13</v>
      </c>
      <c r="K10" s="11">
        <f>IFERROR(__xludf.DUMMYFUNCTION("""COMPUTED_VALUE"""),98.0)</f>
        <v>98</v>
      </c>
      <c r="L10" s="11">
        <f>IFERROR(__xludf.DUMMYFUNCTION("""COMPUTED_VALUE"""),90.0)</f>
        <v>90</v>
      </c>
      <c r="M10" s="11">
        <f>IFERROR(__xludf.DUMMYFUNCTION("""COMPUTED_VALUE"""),97.0)</f>
        <v>97</v>
      </c>
      <c r="N10" s="16">
        <f>IFERROR(__xludf.DUMMYFUNCTION("""COMPUTED_VALUE"""),45261.0)</f>
        <v>45261</v>
      </c>
      <c r="O10" s="11" t="str">
        <f>IFERROR(__xludf.DUMMYFUNCTION("""COMPUTED_VALUE"""),"A")</f>
        <v>A</v>
      </c>
    </row>
    <row r="11">
      <c r="A11" s="5">
        <v>1010.0</v>
      </c>
      <c r="B11" s="5" t="s">
        <v>90</v>
      </c>
      <c r="C11" s="5">
        <v>98.0</v>
      </c>
      <c r="D11" s="5">
        <v>54.0</v>
      </c>
      <c r="E11" s="5">
        <v>58.0</v>
      </c>
      <c r="F11" s="7">
        <v>44721.0</v>
      </c>
      <c r="G11" s="11" t="str">
        <f t="shared" si="1"/>
        <v>A</v>
      </c>
      <c r="H11" s="11" t="str">
        <f t="shared" si="2"/>
        <v>No</v>
      </c>
      <c r="I11" s="11">
        <f>IFERROR(__xludf.DUMMYFUNCTION("""COMPUTED_VALUE"""),1014.0)</f>
        <v>1014</v>
      </c>
      <c r="J11" s="11" t="str">
        <f>IFERROR(__xludf.DUMMYFUNCTION("""COMPUTED_VALUE"""),"Student 14")</f>
        <v>Student 14</v>
      </c>
      <c r="K11" s="11">
        <f>IFERROR(__xludf.DUMMYFUNCTION("""COMPUTED_VALUE"""),93.0)</f>
        <v>93</v>
      </c>
      <c r="L11" s="11">
        <f>IFERROR(__xludf.DUMMYFUNCTION("""COMPUTED_VALUE"""),40.0)</f>
        <v>40</v>
      </c>
      <c r="M11" s="11">
        <f>IFERROR(__xludf.DUMMYFUNCTION("""COMPUTED_VALUE"""),44.0)</f>
        <v>44</v>
      </c>
      <c r="N11" s="16">
        <f>IFERROR(__xludf.DUMMYFUNCTION("""COMPUTED_VALUE"""),45441.0)</f>
        <v>45441</v>
      </c>
      <c r="O11" s="11" t="str">
        <f>IFERROR(__xludf.DUMMYFUNCTION("""COMPUTED_VALUE"""),"A")</f>
        <v>A</v>
      </c>
    </row>
    <row r="12">
      <c r="A12" s="5">
        <v>1011.0</v>
      </c>
      <c r="B12" s="5" t="s">
        <v>93</v>
      </c>
      <c r="C12" s="5">
        <v>73.0</v>
      </c>
      <c r="D12" s="5">
        <v>79.0</v>
      </c>
      <c r="E12" s="5">
        <v>53.0</v>
      </c>
      <c r="F12" s="7">
        <v>44901.0</v>
      </c>
      <c r="G12" s="11" t="str">
        <f t="shared" si="1"/>
        <v>B</v>
      </c>
      <c r="H12" s="11" t="str">
        <f t="shared" si="2"/>
        <v>No</v>
      </c>
      <c r="I12" s="11">
        <f>IFERROR(__xludf.DUMMYFUNCTION("""COMPUTED_VALUE"""),1016.0)</f>
        <v>1016</v>
      </c>
      <c r="J12" s="11" t="str">
        <f>IFERROR(__xludf.DUMMYFUNCTION("""COMPUTED_VALUE"""),"Student 16")</f>
        <v>Student 16</v>
      </c>
      <c r="K12" s="11">
        <f>IFERROR(__xludf.DUMMYFUNCTION("""COMPUTED_VALUE"""),98.0)</f>
        <v>98</v>
      </c>
      <c r="L12" s="11">
        <f>IFERROR(__xludf.DUMMYFUNCTION("""COMPUTED_VALUE"""),77.0)</f>
        <v>77</v>
      </c>
      <c r="M12" s="11">
        <f>IFERROR(__xludf.DUMMYFUNCTION("""COMPUTED_VALUE"""),60.0)</f>
        <v>60</v>
      </c>
      <c r="N12" s="16">
        <f>IFERROR(__xludf.DUMMYFUNCTION("""COMPUTED_VALUE"""),45801.0)</f>
        <v>45801</v>
      </c>
      <c r="O12" s="11" t="str">
        <f>IFERROR(__xludf.DUMMYFUNCTION("""COMPUTED_VALUE"""),"A")</f>
        <v>A</v>
      </c>
    </row>
    <row r="13">
      <c r="A13" s="5">
        <v>1012.0</v>
      </c>
      <c r="B13" s="5" t="s">
        <v>99</v>
      </c>
      <c r="C13" s="5">
        <v>85.0</v>
      </c>
      <c r="D13" s="5">
        <v>89.0</v>
      </c>
      <c r="E13" s="5">
        <v>79.0</v>
      </c>
      <c r="F13" s="7">
        <v>45081.0</v>
      </c>
      <c r="G13" s="11" t="str">
        <f t="shared" si="1"/>
        <v>A</v>
      </c>
      <c r="H13" s="11" t="str">
        <f t="shared" si="2"/>
        <v>Yes</v>
      </c>
      <c r="I13" s="11">
        <f>IFERROR(__xludf.DUMMYFUNCTION("""COMPUTED_VALUE"""),1018.0)</f>
        <v>1018</v>
      </c>
      <c r="J13" s="11" t="str">
        <f>IFERROR(__xludf.DUMMYFUNCTION("""COMPUTED_VALUE"""),"Student 18")</f>
        <v>Student 18</v>
      </c>
      <c r="K13" s="11">
        <f>IFERROR(__xludf.DUMMYFUNCTION("""COMPUTED_VALUE"""),82.0)</f>
        <v>82</v>
      </c>
      <c r="L13" s="11">
        <f>IFERROR(__xludf.DUMMYFUNCTION("""COMPUTED_VALUE"""),48.0)</f>
        <v>48</v>
      </c>
      <c r="M13" s="11">
        <f>IFERROR(__xludf.DUMMYFUNCTION("""COMPUTED_VALUE"""),79.0)</f>
        <v>79</v>
      </c>
      <c r="N13" s="16">
        <f>IFERROR(__xludf.DUMMYFUNCTION("""COMPUTED_VALUE"""),46161.0)</f>
        <v>46161</v>
      </c>
      <c r="O13" s="11" t="str">
        <f>IFERROR(__xludf.DUMMYFUNCTION("""COMPUTED_VALUE"""),"A")</f>
        <v>A</v>
      </c>
    </row>
    <row r="14">
      <c r="A14" s="5">
        <v>1013.0</v>
      </c>
      <c r="B14" s="5" t="s">
        <v>107</v>
      </c>
      <c r="C14" s="5">
        <v>98.0</v>
      </c>
      <c r="D14" s="5">
        <v>90.0</v>
      </c>
      <c r="E14" s="5">
        <v>97.0</v>
      </c>
      <c r="F14" s="7">
        <v>45261.0</v>
      </c>
      <c r="G14" s="11" t="str">
        <f t="shared" si="1"/>
        <v>A</v>
      </c>
      <c r="H14" s="11" t="str">
        <f t="shared" si="2"/>
        <v>Yes</v>
      </c>
      <c r="I14" s="11">
        <f>IFERROR(__xludf.DUMMYFUNCTION("""COMPUTED_VALUE"""),1019.0)</f>
        <v>1019</v>
      </c>
      <c r="J14" s="11" t="str">
        <f>IFERROR(__xludf.DUMMYFUNCTION("""COMPUTED_VALUE"""),"Student 19")</f>
        <v>Student 19</v>
      </c>
      <c r="K14" s="11">
        <f>IFERROR(__xludf.DUMMYFUNCTION("""COMPUTED_VALUE"""),90.0)</f>
        <v>90</v>
      </c>
      <c r="L14" s="11">
        <f>IFERROR(__xludf.DUMMYFUNCTION("""COMPUTED_VALUE"""),78.0)</f>
        <v>78</v>
      </c>
      <c r="M14" s="11">
        <f>IFERROR(__xludf.DUMMYFUNCTION("""COMPUTED_VALUE"""),60.0)</f>
        <v>60</v>
      </c>
      <c r="N14" s="16">
        <f>IFERROR(__xludf.DUMMYFUNCTION("""COMPUTED_VALUE"""),46341.0)</f>
        <v>46341</v>
      </c>
      <c r="O14" s="11" t="str">
        <f>IFERROR(__xludf.DUMMYFUNCTION("""COMPUTED_VALUE"""),"A")</f>
        <v>A</v>
      </c>
    </row>
    <row r="15">
      <c r="A15" s="5">
        <v>1014.0</v>
      </c>
      <c r="B15" s="5" t="s">
        <v>112</v>
      </c>
      <c r="C15" s="5">
        <v>93.0</v>
      </c>
      <c r="D15" s="5">
        <v>40.0</v>
      </c>
      <c r="E15" s="5">
        <v>44.0</v>
      </c>
      <c r="F15" s="7">
        <v>45441.0</v>
      </c>
      <c r="G15" s="11" t="str">
        <f t="shared" si="1"/>
        <v>A</v>
      </c>
      <c r="H15" s="11" t="str">
        <f t="shared" si="2"/>
        <v>No</v>
      </c>
      <c r="I15" s="11">
        <f>IFERROR(__xludf.DUMMYFUNCTION("""COMPUTED_VALUE"""),1020.0)</f>
        <v>1020</v>
      </c>
      <c r="J15" s="11" t="str">
        <f>IFERROR(__xludf.DUMMYFUNCTION("""COMPUTED_VALUE"""),"Student 20")</f>
        <v>Student 20</v>
      </c>
      <c r="K15" s="11">
        <f>IFERROR(__xludf.DUMMYFUNCTION("""COMPUTED_VALUE"""),83.0)</f>
        <v>83</v>
      </c>
      <c r="L15" s="11">
        <f>IFERROR(__xludf.DUMMYFUNCTION("""COMPUTED_VALUE"""),92.0)</f>
        <v>92</v>
      </c>
      <c r="M15" s="11">
        <f>IFERROR(__xludf.DUMMYFUNCTION("""COMPUTED_VALUE"""),55.0)</f>
        <v>55</v>
      </c>
      <c r="N15" s="16">
        <f>IFERROR(__xludf.DUMMYFUNCTION("""COMPUTED_VALUE"""),46521.0)</f>
        <v>46521</v>
      </c>
      <c r="O15" s="11" t="str">
        <f>IFERROR(__xludf.DUMMYFUNCTION("""COMPUTED_VALUE"""),"A")</f>
        <v>A</v>
      </c>
    </row>
    <row r="16">
      <c r="A16" s="5">
        <v>1015.0</v>
      </c>
      <c r="B16" s="5" t="s">
        <v>115</v>
      </c>
      <c r="C16" s="5">
        <v>70.0</v>
      </c>
      <c r="D16" s="5">
        <v>51.0</v>
      </c>
      <c r="E16" s="5">
        <v>75.0</v>
      </c>
      <c r="F16" s="7">
        <v>45621.0</v>
      </c>
      <c r="G16" s="11" t="str">
        <f t="shared" si="1"/>
        <v>B</v>
      </c>
      <c r="H16" s="11" t="str">
        <f t="shared" si="2"/>
        <v>No</v>
      </c>
    </row>
    <row r="17">
      <c r="A17" s="5">
        <v>1016.0</v>
      </c>
      <c r="B17" s="5" t="s">
        <v>116</v>
      </c>
      <c r="C17" s="5">
        <v>98.0</v>
      </c>
      <c r="D17" s="5">
        <v>77.0</v>
      </c>
      <c r="E17" s="5">
        <v>60.0</v>
      </c>
      <c r="F17" s="7">
        <v>45801.0</v>
      </c>
      <c r="G17" s="11" t="str">
        <f t="shared" si="1"/>
        <v>A</v>
      </c>
      <c r="H17" s="11" t="str">
        <f t="shared" si="2"/>
        <v>No</v>
      </c>
      <c r="I17" s="2" t="s">
        <v>117</v>
      </c>
    </row>
    <row r="18">
      <c r="A18" s="5">
        <v>1017.0</v>
      </c>
      <c r="B18" s="5" t="s">
        <v>118</v>
      </c>
      <c r="C18" s="5">
        <v>66.0</v>
      </c>
      <c r="D18" s="5">
        <v>59.0</v>
      </c>
      <c r="E18" s="5">
        <v>40.0</v>
      </c>
      <c r="F18" s="7">
        <v>45981.0</v>
      </c>
      <c r="G18" s="11" t="str">
        <f t="shared" si="1"/>
        <v>B</v>
      </c>
      <c r="H18" s="11" t="str">
        <f t="shared" si="2"/>
        <v>No</v>
      </c>
      <c r="I18" s="12">
        <f t="shared" ref="I18:I21" si="3">COUNTIFS(C2:C21,"&gt;50")</f>
        <v>19</v>
      </c>
    </row>
    <row r="19">
      <c r="A19" s="5">
        <v>1018.0</v>
      </c>
      <c r="B19" s="5" t="s">
        <v>119</v>
      </c>
      <c r="C19" s="5">
        <v>82.0</v>
      </c>
      <c r="D19" s="5">
        <v>48.0</v>
      </c>
      <c r="E19" s="5">
        <v>79.0</v>
      </c>
      <c r="F19" s="7">
        <v>46161.0</v>
      </c>
      <c r="G19" s="11" t="str">
        <f t="shared" si="1"/>
        <v>A</v>
      </c>
      <c r="H19" s="11" t="str">
        <f t="shared" si="2"/>
        <v>No</v>
      </c>
      <c r="I19" s="12">
        <f t="shared" si="3"/>
        <v>18</v>
      </c>
    </row>
    <row r="20">
      <c r="A20" s="5">
        <v>1019.0</v>
      </c>
      <c r="B20" s="5" t="s">
        <v>120</v>
      </c>
      <c r="C20" s="5">
        <v>90.0</v>
      </c>
      <c r="D20" s="5">
        <v>78.0</v>
      </c>
      <c r="E20" s="5">
        <v>60.0</v>
      </c>
      <c r="F20" s="7">
        <v>46341.0</v>
      </c>
      <c r="G20" s="11" t="str">
        <f t="shared" si="1"/>
        <v>A</v>
      </c>
      <c r="H20" s="11" t="str">
        <f t="shared" si="2"/>
        <v>No</v>
      </c>
      <c r="I20" s="12">
        <f t="shared" si="3"/>
        <v>17</v>
      </c>
    </row>
    <row r="21">
      <c r="A21" s="5">
        <v>1020.0</v>
      </c>
      <c r="B21" s="5" t="s">
        <v>121</v>
      </c>
      <c r="C21" s="5">
        <v>83.0</v>
      </c>
      <c r="D21" s="5">
        <v>92.0</v>
      </c>
      <c r="E21" s="5">
        <v>55.0</v>
      </c>
      <c r="F21" s="7">
        <v>46521.0</v>
      </c>
      <c r="G21" s="11" t="str">
        <f t="shared" si="1"/>
        <v>A</v>
      </c>
      <c r="H21" s="11" t="str">
        <f t="shared" si="2"/>
        <v>Yes</v>
      </c>
      <c r="I21" s="12">
        <f t="shared" si="3"/>
        <v>16</v>
      </c>
    </row>
  </sheetData>
  <mergeCells count="1">
    <mergeCell ref="I5:O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88"/>
    <col customWidth="1" min="8" max="8" width="19.38"/>
    <col customWidth="1" min="9" max="9" width="15.25"/>
    <col customWidth="1" min="11" max="11" width="16.25"/>
  </cols>
  <sheetData>
    <row r="1">
      <c r="A1" s="1" t="s">
        <v>8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H1" s="6" t="s">
        <v>20</v>
      </c>
      <c r="I1" s="4"/>
      <c r="K1" s="6" t="s">
        <v>24</v>
      </c>
      <c r="L1" s="4"/>
    </row>
    <row r="2">
      <c r="A2" s="5">
        <v>2001.0</v>
      </c>
      <c r="B2" s="5" t="s">
        <v>25</v>
      </c>
      <c r="C2" s="5" t="s">
        <v>26</v>
      </c>
      <c r="D2" s="5" t="s">
        <v>27</v>
      </c>
      <c r="E2" s="5">
        <v>7048.0</v>
      </c>
      <c r="F2" s="7">
        <v>44927.0</v>
      </c>
      <c r="H2" s="9" t="s">
        <v>28</v>
      </c>
      <c r="I2" s="9" t="s">
        <v>16</v>
      </c>
      <c r="K2" s="9" t="s">
        <v>31</v>
      </c>
      <c r="L2" s="9" t="s">
        <v>32</v>
      </c>
    </row>
    <row r="3">
      <c r="A3" s="5">
        <v>2002.0</v>
      </c>
      <c r="B3" s="5" t="s">
        <v>33</v>
      </c>
      <c r="C3" s="5" t="s">
        <v>34</v>
      </c>
      <c r="D3" s="5" t="s">
        <v>35</v>
      </c>
      <c r="E3" s="5">
        <v>17428.0</v>
      </c>
      <c r="F3" s="7">
        <v>44942.0</v>
      </c>
      <c r="H3" s="12" t="s">
        <v>25</v>
      </c>
      <c r="I3" s="11">
        <f>VLOOKUP(H3,B2:E21,4,FALSE)</f>
        <v>7048</v>
      </c>
      <c r="K3" s="12" t="s">
        <v>41</v>
      </c>
      <c r="L3" s="11">
        <f t="shared" ref="L3:L6" si="1">OFFSET(E2,1,0)</f>
        <v>17428</v>
      </c>
    </row>
    <row r="4">
      <c r="A4" s="5">
        <v>2003.0</v>
      </c>
      <c r="B4" s="5" t="s">
        <v>45</v>
      </c>
      <c r="C4" s="5" t="s">
        <v>26</v>
      </c>
      <c r="D4" s="5" t="s">
        <v>46</v>
      </c>
      <c r="E4" s="5">
        <v>23672.0</v>
      </c>
      <c r="F4" s="7">
        <v>44957.0</v>
      </c>
      <c r="H4" s="12" t="s">
        <v>33</v>
      </c>
      <c r="I4" s="11">
        <f>VLOOKUP(H4,B3:E21,4,FALSE)</f>
        <v>17428</v>
      </c>
      <c r="K4" s="12" t="s">
        <v>50</v>
      </c>
      <c r="L4" s="11">
        <f t="shared" si="1"/>
        <v>23672</v>
      </c>
    </row>
    <row r="5">
      <c r="A5" s="5">
        <v>2004.0</v>
      </c>
      <c r="B5" s="5" t="s">
        <v>33</v>
      </c>
      <c r="C5" s="5" t="s">
        <v>51</v>
      </c>
      <c r="D5" s="5" t="s">
        <v>52</v>
      </c>
      <c r="E5" s="5">
        <v>5264.0</v>
      </c>
      <c r="F5" s="7">
        <v>44972.0</v>
      </c>
      <c r="H5" s="12" t="s">
        <v>45</v>
      </c>
      <c r="I5" s="11">
        <f>VLOOKUP(H5,B4:E21,4,FALSE)</f>
        <v>23672</v>
      </c>
      <c r="K5" s="12" t="s">
        <v>56</v>
      </c>
      <c r="L5" s="11">
        <f t="shared" si="1"/>
        <v>5264</v>
      </c>
    </row>
    <row r="6">
      <c r="A6" s="5">
        <v>2005.0</v>
      </c>
      <c r="B6" s="5" t="s">
        <v>25</v>
      </c>
      <c r="C6" s="5" t="s">
        <v>58</v>
      </c>
      <c r="D6" s="5" t="s">
        <v>59</v>
      </c>
      <c r="E6" s="5">
        <v>43388.0</v>
      </c>
      <c r="F6" s="7">
        <v>44987.0</v>
      </c>
      <c r="K6" s="12" t="s">
        <v>60</v>
      </c>
      <c r="L6" s="11">
        <f t="shared" si="1"/>
        <v>43388</v>
      </c>
    </row>
    <row r="7">
      <c r="A7" s="5">
        <v>2006.0</v>
      </c>
      <c r="B7" s="5" t="s">
        <v>45</v>
      </c>
      <c r="C7" s="5" t="s">
        <v>58</v>
      </c>
      <c r="D7" s="5" t="s">
        <v>63</v>
      </c>
      <c r="E7" s="5">
        <v>19757.0</v>
      </c>
      <c r="F7" s="7">
        <v>45002.0</v>
      </c>
      <c r="H7" s="15"/>
      <c r="I7" s="15"/>
    </row>
    <row r="8">
      <c r="A8" s="5">
        <v>2007.0</v>
      </c>
      <c r="B8" s="5" t="s">
        <v>45</v>
      </c>
      <c r="C8" s="5" t="s">
        <v>51</v>
      </c>
      <c r="D8" s="5" t="s">
        <v>66</v>
      </c>
      <c r="E8" s="5">
        <v>32058.0</v>
      </c>
      <c r="F8" s="7">
        <v>45017.0</v>
      </c>
      <c r="H8" s="17"/>
      <c r="I8" s="17"/>
      <c r="J8" s="17"/>
      <c r="K8" s="3" t="s">
        <v>69</v>
      </c>
      <c r="L8" s="14"/>
      <c r="M8" s="14"/>
      <c r="N8" s="4"/>
    </row>
    <row r="9">
      <c r="A9" s="5">
        <v>2008.0</v>
      </c>
      <c r="B9" s="5" t="s">
        <v>25</v>
      </c>
      <c r="C9" s="5" t="s">
        <v>51</v>
      </c>
      <c r="D9" s="5" t="s">
        <v>73</v>
      </c>
      <c r="E9" s="5">
        <v>46429.0</v>
      </c>
      <c r="F9" s="7">
        <v>45032.0</v>
      </c>
      <c r="H9" s="17"/>
      <c r="I9" s="17"/>
      <c r="J9" s="18"/>
      <c r="K9" s="9" t="s">
        <v>16</v>
      </c>
      <c r="L9" s="9" t="s">
        <v>74</v>
      </c>
      <c r="M9" s="9" t="s">
        <v>75</v>
      </c>
      <c r="N9" s="9" t="s">
        <v>77</v>
      </c>
    </row>
    <row r="10">
      <c r="A10" s="5">
        <v>2009.0</v>
      </c>
      <c r="B10" s="5" t="s">
        <v>33</v>
      </c>
      <c r="C10" s="5" t="s">
        <v>51</v>
      </c>
      <c r="D10" s="5" t="s">
        <v>78</v>
      </c>
      <c r="E10" s="5">
        <v>19746.0</v>
      </c>
      <c r="F10" s="7">
        <v>45047.0</v>
      </c>
      <c r="H10" s="20" t="s">
        <v>79</v>
      </c>
      <c r="I10" s="4"/>
      <c r="K10" s="12">
        <v>17428.0</v>
      </c>
      <c r="L10" s="11">
        <f>ROUND(K10,0)</f>
        <v>17428</v>
      </c>
      <c r="M10" s="11">
        <f>CEILING(K10,100)</f>
        <v>17500</v>
      </c>
      <c r="N10" s="11">
        <f>FLOOR(K10,100)</f>
        <v>17400</v>
      </c>
    </row>
    <row r="11">
      <c r="A11" s="5">
        <v>2010.0</v>
      </c>
      <c r="B11" s="5" t="s">
        <v>25</v>
      </c>
      <c r="C11" s="5" t="s">
        <v>26</v>
      </c>
      <c r="D11" s="5" t="s">
        <v>88</v>
      </c>
      <c r="E11" s="5">
        <v>35185.0</v>
      </c>
      <c r="F11" s="7">
        <v>45062.0</v>
      </c>
      <c r="H11" s="5" t="s">
        <v>25</v>
      </c>
      <c r="I11" s="12">
        <f t="shared" ref="I11:I13" si="2">_xlfn.XMATCH(H11,B2:B21,0)</f>
        <v>1</v>
      </c>
    </row>
    <row r="12">
      <c r="A12" s="5">
        <v>2011.0</v>
      </c>
      <c r="B12" s="5" t="s">
        <v>25</v>
      </c>
      <c r="C12" s="5" t="s">
        <v>51</v>
      </c>
      <c r="D12" s="5" t="s">
        <v>91</v>
      </c>
      <c r="E12" s="5">
        <v>33920.0</v>
      </c>
      <c r="F12" s="7">
        <v>45077.0</v>
      </c>
      <c r="H12" s="5" t="s">
        <v>33</v>
      </c>
      <c r="I12" s="12">
        <f t="shared" si="2"/>
        <v>1</v>
      </c>
    </row>
    <row r="13">
      <c r="A13" s="5">
        <v>2012.0</v>
      </c>
      <c r="B13" s="5" t="s">
        <v>94</v>
      </c>
      <c r="C13" s="5" t="s">
        <v>58</v>
      </c>
      <c r="D13" s="5" t="s">
        <v>95</v>
      </c>
      <c r="E13" s="5">
        <v>35611.0</v>
      </c>
      <c r="F13" s="7">
        <v>45092.0</v>
      </c>
      <c r="H13" s="5" t="s">
        <v>45</v>
      </c>
      <c r="I13" s="12">
        <f t="shared" si="2"/>
        <v>1</v>
      </c>
    </row>
    <row r="14">
      <c r="A14" s="5">
        <v>2013.0</v>
      </c>
      <c r="B14" s="5" t="s">
        <v>97</v>
      </c>
      <c r="C14" s="5" t="s">
        <v>51</v>
      </c>
      <c r="D14" s="5" t="s">
        <v>98</v>
      </c>
      <c r="E14" s="5">
        <v>15560.0</v>
      </c>
      <c r="F14" s="7">
        <v>45107.0</v>
      </c>
    </row>
    <row r="15">
      <c r="A15" s="5">
        <v>2014.0</v>
      </c>
      <c r="B15" s="5" t="s">
        <v>97</v>
      </c>
      <c r="C15" s="5" t="s">
        <v>26</v>
      </c>
      <c r="D15" s="5" t="s">
        <v>100</v>
      </c>
      <c r="E15" s="5">
        <v>7283.0</v>
      </c>
      <c r="F15" s="7">
        <v>45122.0</v>
      </c>
      <c r="H15" s="2" t="s">
        <v>102</v>
      </c>
      <c r="I15" s="2" t="s">
        <v>103</v>
      </c>
    </row>
    <row r="16">
      <c r="A16" s="5">
        <v>2015.0</v>
      </c>
      <c r="B16" s="5" t="s">
        <v>97</v>
      </c>
      <c r="C16" s="5" t="s">
        <v>51</v>
      </c>
      <c r="D16" s="5" t="s">
        <v>104</v>
      </c>
      <c r="E16" s="5">
        <v>15678.0</v>
      </c>
      <c r="F16" s="7">
        <v>45137.0</v>
      </c>
      <c r="H16" s="12" t="s">
        <v>41</v>
      </c>
      <c r="I16" s="11">
        <f t="shared" ref="I16:I19" si="3">INDIRECT(H16)</f>
        <v>7048</v>
      </c>
    </row>
    <row r="17">
      <c r="A17" s="5">
        <v>2016.0</v>
      </c>
      <c r="B17" s="5" t="s">
        <v>45</v>
      </c>
      <c r="C17" s="5" t="s">
        <v>51</v>
      </c>
      <c r="D17" s="5" t="s">
        <v>108</v>
      </c>
      <c r="E17" s="5">
        <v>5277.0</v>
      </c>
      <c r="F17" s="7">
        <v>45152.0</v>
      </c>
      <c r="H17" s="12" t="s">
        <v>109</v>
      </c>
      <c r="I17" s="11">
        <f t="shared" si="3"/>
        <v>17428</v>
      </c>
    </row>
    <row r="18">
      <c r="A18" s="5">
        <v>2017.0</v>
      </c>
      <c r="B18" s="5" t="s">
        <v>94</v>
      </c>
      <c r="C18" s="5" t="s">
        <v>58</v>
      </c>
      <c r="D18" s="5" t="s">
        <v>110</v>
      </c>
      <c r="E18" s="5">
        <v>41871.0</v>
      </c>
      <c r="F18" s="7">
        <v>45167.0</v>
      </c>
      <c r="H18" s="12" t="s">
        <v>50</v>
      </c>
      <c r="I18" s="11">
        <f t="shared" si="3"/>
        <v>7283</v>
      </c>
    </row>
    <row r="19">
      <c r="A19" s="5">
        <v>2018.0</v>
      </c>
      <c r="B19" s="5" t="s">
        <v>94</v>
      </c>
      <c r="C19" s="5" t="s">
        <v>34</v>
      </c>
      <c r="D19" s="5" t="s">
        <v>111</v>
      </c>
      <c r="E19" s="5">
        <v>38161.0</v>
      </c>
      <c r="F19" s="7">
        <v>45182.0</v>
      </c>
      <c r="H19" s="12" t="s">
        <v>56</v>
      </c>
      <c r="I19" s="11">
        <f t="shared" si="3"/>
        <v>41871</v>
      </c>
    </row>
    <row r="20">
      <c r="A20" s="5">
        <v>2019.0</v>
      </c>
      <c r="B20" s="5" t="s">
        <v>45</v>
      </c>
      <c r="C20" s="5" t="s">
        <v>34</v>
      </c>
      <c r="D20" s="5" t="s">
        <v>113</v>
      </c>
      <c r="E20" s="5">
        <v>30436.0</v>
      </c>
      <c r="F20" s="7">
        <v>45197.0</v>
      </c>
    </row>
    <row r="21">
      <c r="A21" s="5">
        <v>2020.0</v>
      </c>
      <c r="B21" s="5" t="s">
        <v>33</v>
      </c>
      <c r="C21" s="5" t="s">
        <v>34</v>
      </c>
      <c r="D21" s="5" t="s">
        <v>114</v>
      </c>
      <c r="E21" s="5">
        <v>33953.0</v>
      </c>
      <c r="F21" s="7">
        <v>45212.0</v>
      </c>
    </row>
  </sheetData>
  <mergeCells count="4">
    <mergeCell ref="H1:I1"/>
    <mergeCell ref="H10:I10"/>
    <mergeCell ref="K1:L1"/>
    <mergeCell ref="K8:N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38"/>
    <col customWidth="1" min="7" max="7" width="18.25"/>
    <col customWidth="1" min="10" max="11" width="15.88"/>
    <col customWidth="1" min="13" max="13" width="20.13"/>
    <col customWidth="1" min="14" max="14" width="21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G1" s="3" t="s">
        <v>10</v>
      </c>
      <c r="H1" s="4"/>
      <c r="J1" s="3" t="s">
        <v>21</v>
      </c>
      <c r="K1" s="4"/>
      <c r="M1" s="2" t="s">
        <v>23</v>
      </c>
      <c r="N1" s="8">
        <f>TODAY()</f>
        <v>46266</v>
      </c>
    </row>
    <row r="2">
      <c r="A2" s="5">
        <v>3001.0</v>
      </c>
      <c r="B2" s="5" t="s">
        <v>29</v>
      </c>
      <c r="C2" s="5" t="s">
        <v>30</v>
      </c>
      <c r="D2" s="5">
        <v>86766.0</v>
      </c>
      <c r="E2" s="7">
        <v>42005.0</v>
      </c>
      <c r="G2" s="10" t="s">
        <v>0</v>
      </c>
      <c r="H2" s="10" t="s">
        <v>2</v>
      </c>
      <c r="J2" s="9" t="s">
        <v>0</v>
      </c>
      <c r="K2" s="9" t="s">
        <v>4</v>
      </c>
      <c r="M2" s="2" t="s">
        <v>36</v>
      </c>
      <c r="N2" s="13">
        <f>NOW()</f>
        <v>46266.66509</v>
      </c>
    </row>
    <row r="3">
      <c r="A3" s="5">
        <v>3002.0</v>
      </c>
      <c r="B3" s="5" t="s">
        <v>37</v>
      </c>
      <c r="C3" s="5" t="s">
        <v>30</v>
      </c>
      <c r="D3" s="5">
        <v>31943.0</v>
      </c>
      <c r="E3" s="7">
        <v>42255.0</v>
      </c>
      <c r="G3" s="12">
        <v>3001.0</v>
      </c>
      <c r="H3" s="11" t="str">
        <f t="array" ref="H3">INDEX(B2:B21,MATCH(G3,A2:A21,0))</f>
        <v>Employee 1</v>
      </c>
      <c r="J3" s="12">
        <v>3005.0</v>
      </c>
      <c r="K3" s="11">
        <f t="shared" ref="K3:K7" si="1">_xlfn.XLOOKUP(J3,A2:A21,D2:D21)</f>
        <v>54149</v>
      </c>
      <c r="M3" s="2" t="s">
        <v>42</v>
      </c>
      <c r="N3" s="11">
        <f>DATEDIF(E2,TODAY(),"Y")</f>
        <v>11</v>
      </c>
    </row>
    <row r="4">
      <c r="A4" s="5">
        <v>3003.0</v>
      </c>
      <c r="B4" s="5" t="s">
        <v>47</v>
      </c>
      <c r="C4" s="5" t="s">
        <v>48</v>
      </c>
      <c r="D4" s="5">
        <v>63374.0</v>
      </c>
      <c r="E4" s="7">
        <v>42505.0</v>
      </c>
      <c r="G4" s="12">
        <v>3002.0</v>
      </c>
      <c r="H4" s="11" t="str">
        <f t="shared" ref="H4:H12" si="2">INDEX(B2:B21,MATCH(G4,A2:A21,0))</f>
        <v>Employee 2</v>
      </c>
      <c r="J4" s="12">
        <v>3002.0</v>
      </c>
      <c r="K4" s="11">
        <f t="shared" si="1"/>
        <v>31943</v>
      </c>
    </row>
    <row r="5">
      <c r="A5" s="5">
        <v>3004.0</v>
      </c>
      <c r="B5" s="5" t="s">
        <v>53</v>
      </c>
      <c r="C5" s="5" t="s">
        <v>30</v>
      </c>
      <c r="D5" s="5">
        <v>109972.0</v>
      </c>
      <c r="E5" s="7">
        <v>42755.0</v>
      </c>
      <c r="G5" s="12">
        <v>3003.0</v>
      </c>
      <c r="H5" s="11" t="str">
        <f t="shared" si="2"/>
        <v>Employee 3</v>
      </c>
      <c r="J5" s="12">
        <v>3006.0</v>
      </c>
      <c r="K5" s="11">
        <f t="shared" si="1"/>
        <v>78689</v>
      </c>
    </row>
    <row r="6">
      <c r="A6" s="5">
        <v>3005.0</v>
      </c>
      <c r="B6" s="5" t="s">
        <v>54</v>
      </c>
      <c r="C6" s="5" t="s">
        <v>55</v>
      </c>
      <c r="D6" s="5">
        <v>54149.0</v>
      </c>
      <c r="E6" s="7">
        <v>43005.0</v>
      </c>
      <c r="G6" s="12">
        <v>3004.0</v>
      </c>
      <c r="H6" s="11" t="str">
        <f t="shared" si="2"/>
        <v>Employee 4</v>
      </c>
      <c r="J6" s="12">
        <v>3010.0</v>
      </c>
      <c r="K6" s="11">
        <f t="shared" si="1"/>
        <v>107877</v>
      </c>
    </row>
    <row r="7">
      <c r="A7" s="5">
        <v>3006.0</v>
      </c>
      <c r="B7" s="5" t="s">
        <v>57</v>
      </c>
      <c r="C7" s="5" t="s">
        <v>55</v>
      </c>
      <c r="D7" s="5">
        <v>78689.0</v>
      </c>
      <c r="E7" s="7">
        <v>43255.0</v>
      </c>
      <c r="G7" s="12">
        <v>3005.0</v>
      </c>
      <c r="H7" s="11" t="str">
        <f t="shared" si="2"/>
        <v>Employee 5</v>
      </c>
      <c r="J7" s="12">
        <v>3018.0</v>
      </c>
      <c r="K7" s="11">
        <f t="shared" si="1"/>
        <v>116284</v>
      </c>
    </row>
    <row r="8">
      <c r="A8" s="5">
        <v>3007.0</v>
      </c>
      <c r="B8" s="5" t="s">
        <v>61</v>
      </c>
      <c r="C8" s="5" t="s">
        <v>62</v>
      </c>
      <c r="D8" s="5">
        <v>35960.0</v>
      </c>
      <c r="E8" s="7">
        <v>43505.0</v>
      </c>
      <c r="G8" s="12">
        <v>3006.0</v>
      </c>
      <c r="H8" s="11" t="str">
        <f t="shared" si="2"/>
        <v>Employee 6</v>
      </c>
    </row>
    <row r="9">
      <c r="A9" s="5">
        <v>3008.0</v>
      </c>
      <c r="B9" s="5" t="s">
        <v>64</v>
      </c>
      <c r="C9" s="5" t="s">
        <v>55</v>
      </c>
      <c r="D9" s="5">
        <v>91659.0</v>
      </c>
      <c r="E9" s="7">
        <v>43755.0</v>
      </c>
      <c r="G9" s="12">
        <v>3015.0</v>
      </c>
      <c r="H9" s="11" t="str">
        <f t="shared" si="2"/>
        <v>Employee 15</v>
      </c>
      <c r="J9" s="6" t="s">
        <v>65</v>
      </c>
      <c r="K9" s="4"/>
    </row>
    <row r="10">
      <c r="A10" s="5">
        <v>3009.0</v>
      </c>
      <c r="B10" s="5" t="s">
        <v>68</v>
      </c>
      <c r="C10" s="5" t="s">
        <v>55</v>
      </c>
      <c r="D10" s="5">
        <v>90423.0</v>
      </c>
      <c r="E10" s="7">
        <v>44005.0</v>
      </c>
      <c r="G10" s="12">
        <v>3008.0</v>
      </c>
      <c r="H10" s="11" t="str">
        <f t="shared" si="2"/>
        <v>Employee 8</v>
      </c>
      <c r="J10" s="9" t="s">
        <v>70</v>
      </c>
      <c r="K10" s="9" t="s">
        <v>71</v>
      </c>
    </row>
    <row r="11">
      <c r="A11" s="5">
        <v>3010.0</v>
      </c>
      <c r="B11" s="5" t="s">
        <v>72</v>
      </c>
      <c r="C11" s="5" t="s">
        <v>48</v>
      </c>
      <c r="D11" s="5">
        <v>107877.0</v>
      </c>
      <c r="E11" s="7">
        <v>44255.0</v>
      </c>
      <c r="G11" s="12">
        <v>3009.0</v>
      </c>
      <c r="H11" s="11" t="str">
        <f t="shared" si="2"/>
        <v>Employee 9</v>
      </c>
      <c r="J11" s="12">
        <f t="shared" ref="J11:J12" si="3">D2</f>
        <v>86766</v>
      </c>
      <c r="K11" s="19">
        <v>0.05</v>
      </c>
    </row>
    <row r="12">
      <c r="A12" s="5">
        <v>3011.0</v>
      </c>
      <c r="B12" s="5" t="s">
        <v>80</v>
      </c>
      <c r="C12" s="5" t="s">
        <v>30</v>
      </c>
      <c r="D12" s="5">
        <v>107634.0</v>
      </c>
      <c r="E12" s="7">
        <v>44505.0</v>
      </c>
      <c r="G12" s="12">
        <v>3010.0</v>
      </c>
      <c r="H12" s="11" t="str">
        <f t="shared" si="2"/>
        <v>Employee 10</v>
      </c>
      <c r="J12" s="11">
        <f t="shared" si="3"/>
        <v>31943</v>
      </c>
      <c r="K12" s="11"/>
    </row>
    <row r="13">
      <c r="A13" s="5">
        <v>3012.0</v>
      </c>
      <c r="B13" s="5" t="s">
        <v>81</v>
      </c>
      <c r="C13" s="5" t="s">
        <v>30</v>
      </c>
      <c r="D13" s="5">
        <v>35226.0</v>
      </c>
      <c r="E13" s="7">
        <v>44755.0</v>
      </c>
      <c r="H13" s="21"/>
      <c r="J13" s="18"/>
      <c r="K13" s="21"/>
    </row>
    <row r="14">
      <c r="A14" s="5">
        <v>3013.0</v>
      </c>
      <c r="B14" s="5" t="s">
        <v>83</v>
      </c>
      <c r="C14" s="5" t="s">
        <v>48</v>
      </c>
      <c r="D14" s="5">
        <v>40872.0</v>
      </c>
      <c r="E14" s="7">
        <v>45005.0</v>
      </c>
      <c r="G14" s="22" t="s">
        <v>84</v>
      </c>
      <c r="H14" s="22" t="s">
        <v>0</v>
      </c>
      <c r="J14" s="6" t="s">
        <v>85</v>
      </c>
      <c r="K14" s="4"/>
    </row>
    <row r="15">
      <c r="A15" s="5">
        <v>3014.0</v>
      </c>
      <c r="B15" s="5" t="s">
        <v>86</v>
      </c>
      <c r="C15" s="5" t="s">
        <v>48</v>
      </c>
      <c r="D15" s="5">
        <v>55378.0</v>
      </c>
      <c r="E15" s="7">
        <v>45255.0</v>
      </c>
      <c r="G15" s="11">
        <f t="shared" ref="G15:G21" si="4">YEAR(E2)</f>
        <v>2015</v>
      </c>
      <c r="H15" s="12">
        <v>3001.0</v>
      </c>
      <c r="J15" s="9" t="s">
        <v>0</v>
      </c>
      <c r="K15" s="9" t="s">
        <v>3</v>
      </c>
    </row>
    <row r="16">
      <c r="A16" s="5">
        <v>3015.0</v>
      </c>
      <c r="B16" s="5" t="s">
        <v>89</v>
      </c>
      <c r="C16" s="5" t="s">
        <v>48</v>
      </c>
      <c r="D16" s="5">
        <v>63297.0</v>
      </c>
      <c r="E16" s="7">
        <v>45505.0</v>
      </c>
      <c r="G16" s="11">
        <f t="shared" si="4"/>
        <v>2015</v>
      </c>
      <c r="H16" s="12">
        <v>3002.0</v>
      </c>
      <c r="J16" s="12">
        <v>3002.0</v>
      </c>
      <c r="K16" s="11" t="str">
        <f t="shared" ref="K16:K21" si="5">INDEX(C2:C21,MATCH(J16,A2:A21,0))</f>
        <v>Finance</v>
      </c>
    </row>
    <row r="17">
      <c r="A17" s="5">
        <v>3016.0</v>
      </c>
      <c r="B17" s="5" t="s">
        <v>92</v>
      </c>
      <c r="C17" s="5" t="s">
        <v>30</v>
      </c>
      <c r="D17" s="5">
        <v>114173.0</v>
      </c>
      <c r="E17" s="7">
        <v>45755.0</v>
      </c>
      <c r="G17" s="11">
        <f t="shared" si="4"/>
        <v>2016</v>
      </c>
      <c r="H17" s="12">
        <v>3003.0</v>
      </c>
      <c r="J17" s="12">
        <v>3003.0</v>
      </c>
      <c r="K17" s="11" t="str">
        <f t="shared" si="5"/>
        <v>HR</v>
      </c>
    </row>
    <row r="18">
      <c r="A18" s="5">
        <v>3017.0</v>
      </c>
      <c r="B18" s="5" t="s">
        <v>96</v>
      </c>
      <c r="C18" s="5" t="s">
        <v>48</v>
      </c>
      <c r="D18" s="5">
        <v>86915.0</v>
      </c>
      <c r="E18" s="7">
        <v>46005.0</v>
      </c>
      <c r="G18" s="11">
        <f t="shared" si="4"/>
        <v>2017</v>
      </c>
      <c r="H18" s="12">
        <v>3004.0</v>
      </c>
      <c r="J18" s="12">
        <v>3004.0</v>
      </c>
      <c r="K18" s="11" t="str">
        <f t="shared" si="5"/>
        <v>Finance</v>
      </c>
    </row>
    <row r="19">
      <c r="A19" s="5">
        <v>3018.0</v>
      </c>
      <c r="B19" s="5" t="s">
        <v>101</v>
      </c>
      <c r="C19" s="5" t="s">
        <v>55</v>
      </c>
      <c r="D19" s="5">
        <v>116284.0</v>
      </c>
      <c r="E19" s="7">
        <v>46255.0</v>
      </c>
      <c r="G19" s="11">
        <f t="shared" si="4"/>
        <v>2017</v>
      </c>
      <c r="H19" s="12">
        <v>3005.0</v>
      </c>
      <c r="J19" s="12">
        <v>3005.0</v>
      </c>
      <c r="K19" s="11" t="str">
        <f t="shared" si="5"/>
        <v>IT</v>
      </c>
    </row>
    <row r="20">
      <c r="A20" s="5">
        <v>3019.0</v>
      </c>
      <c r="B20" s="5" t="s">
        <v>105</v>
      </c>
      <c r="C20" s="5" t="s">
        <v>62</v>
      </c>
      <c r="D20" s="5">
        <v>116283.0</v>
      </c>
      <c r="E20" s="7">
        <v>46505.0</v>
      </c>
      <c r="G20" s="11">
        <f t="shared" si="4"/>
        <v>2018</v>
      </c>
      <c r="H20" s="12">
        <v>3006.0</v>
      </c>
      <c r="J20" s="12">
        <v>3015.0</v>
      </c>
      <c r="K20" s="11" t="str">
        <f t="shared" si="5"/>
        <v>HR</v>
      </c>
    </row>
    <row r="21">
      <c r="A21" s="5">
        <v>3020.0</v>
      </c>
      <c r="B21" s="5" t="s">
        <v>106</v>
      </c>
      <c r="C21" s="5" t="s">
        <v>62</v>
      </c>
      <c r="D21" s="5">
        <v>99924.0</v>
      </c>
      <c r="E21" s="7">
        <v>46755.0</v>
      </c>
      <c r="G21" s="11">
        <f t="shared" si="4"/>
        <v>2019</v>
      </c>
      <c r="H21" s="12">
        <v>3007.0</v>
      </c>
      <c r="J21" s="12">
        <v>3020.0</v>
      </c>
      <c r="K21" s="11" t="str">
        <f t="shared" si="5"/>
        <v>Marketing</v>
      </c>
    </row>
  </sheetData>
  <mergeCells count="4">
    <mergeCell ref="G1:H1"/>
    <mergeCell ref="J1:K1"/>
    <mergeCell ref="J9:K9"/>
    <mergeCell ref="J14:K14"/>
  </mergeCells>
  <drawing r:id="rId1"/>
</worksheet>
</file>