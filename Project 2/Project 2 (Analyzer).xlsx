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DC18A47-9A57-4F0A-9931-B0CA36CDDECA}" xr6:coauthVersionLast="47" xr6:coauthVersionMax="47" xr10:uidLastSave="{00000000-0000-0000-0000-000000000000}"/>
  <bookViews>
    <workbookView xWindow="-108" yWindow="-108" windowWidth="23256" windowHeight="12456" activeTab="3" xr2:uid="{30FB167B-03BA-4166-B7D8-F379DF84C0AA}"/>
  </bookViews>
  <sheets>
    <sheet name="Pivot_Table" sheetId="3" r:id="rId1"/>
    <sheet name="DATASET" sheetId="1" r:id="rId2"/>
    <sheet name="Main_Task" sheetId="2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B6" i="4"/>
  <c r="B5" i="4"/>
  <c r="B4" i="4"/>
  <c r="B3" i="4"/>
  <c r="B51" i="3"/>
  <c r="B50" i="3"/>
  <c r="B49" i="3"/>
  <c r="B48" i="3"/>
  <c r="B47" i="3"/>
  <c r="A30" i="3"/>
  <c r="A31" i="3" s="1"/>
  <c r="D89" i="2"/>
  <c r="A89" i="2" a="1"/>
  <c r="A89" i="2" s="1"/>
  <c r="E89" i="2"/>
  <c r="A84" i="2"/>
  <c r="A68" i="2"/>
  <c r="A69" i="2" s="1"/>
  <c r="B67" i="2"/>
  <c r="A67" i="2"/>
  <c r="A32" i="3" l="1"/>
  <c r="B31" i="3"/>
  <c r="B30" i="3"/>
  <c r="A70" i="2"/>
  <c r="B69" i="2"/>
  <c r="B68" i="2"/>
  <c r="C68" i="2" s="1"/>
  <c r="A33" i="3" l="1"/>
  <c r="B32" i="3"/>
  <c r="C69" i="2"/>
  <c r="A71" i="2"/>
  <c r="B70" i="2"/>
  <c r="C70" i="2" s="1"/>
  <c r="B33" i="3" l="1"/>
  <c r="A72" i="2"/>
  <c r="B71" i="2"/>
  <c r="C71" i="2" s="1"/>
  <c r="E40" i="2" a="1"/>
  <c r="E40" i="2" s="1"/>
  <c r="B39" i="2" s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6" i="2"/>
  <c r="A6" i="2" a="1"/>
  <c r="A6" i="2" s="1"/>
  <c r="B34" i="3" l="1"/>
  <c r="A35" i="3"/>
  <c r="B72" i="2"/>
  <c r="C72" i="2" s="1"/>
  <c r="A73" i="2"/>
  <c r="A36" i="3" l="1"/>
  <c r="B35" i="3"/>
  <c r="A74" i="2"/>
  <c r="B73" i="2"/>
  <c r="C73" i="2" s="1"/>
  <c r="A37" i="3" l="1"/>
  <c r="B36" i="3"/>
  <c r="A75" i="2"/>
  <c r="B74" i="2"/>
  <c r="C74" i="2" s="1"/>
  <c r="A38" i="3" l="1"/>
  <c r="B37" i="3"/>
  <c r="A76" i="2"/>
  <c r="B75" i="2"/>
  <c r="C75" i="2" s="1"/>
  <c r="A39" i="3" l="1"/>
  <c r="B38" i="3"/>
  <c r="A77" i="2"/>
  <c r="B76" i="2"/>
  <c r="C76" i="2" s="1"/>
  <c r="A40" i="3" l="1"/>
  <c r="B39" i="3"/>
  <c r="A78" i="2"/>
  <c r="B77" i="2"/>
  <c r="C77" i="2" s="1"/>
  <c r="A41" i="3" l="1"/>
  <c r="B40" i="3"/>
  <c r="A79" i="2"/>
  <c r="B79" i="2" s="1"/>
  <c r="B78" i="2"/>
  <c r="C78" i="2" s="1"/>
  <c r="A42" i="3" l="1"/>
  <c r="B42" i="3" s="1"/>
  <c r="B41" i="3"/>
  <c r="C7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<sst xmlns="http://schemas.openxmlformats.org/spreadsheetml/2006/main" count="963" uniqueCount="146">
  <si>
    <t>Customer_ID</t>
  </si>
  <si>
    <t>CUST019</t>
  </si>
  <si>
    <t>CUST012</t>
  </si>
  <si>
    <t>CUST017</t>
  </si>
  <si>
    <t>CUST005</t>
  </si>
  <si>
    <t>CUST030</t>
  </si>
  <si>
    <t>CUST007</t>
  </si>
  <si>
    <t>CUST001</t>
  </si>
  <si>
    <t>CUST026</t>
  </si>
  <si>
    <t>CUST009</t>
  </si>
  <si>
    <t>CUST010</t>
  </si>
  <si>
    <t>CUST014</t>
  </si>
  <si>
    <t>CUST023</t>
  </si>
  <si>
    <t>CUST029</t>
  </si>
  <si>
    <t>CUST008</t>
  </si>
  <si>
    <t>CUST006</t>
  </si>
  <si>
    <t>CUST022</t>
  </si>
  <si>
    <t>CUST028</t>
  </si>
  <si>
    <t>CUST025</t>
  </si>
  <si>
    <t>CUST021</t>
  </si>
  <si>
    <t>CUST015</t>
  </si>
  <si>
    <t>CUST016</t>
  </si>
  <si>
    <t>CUST011</t>
  </si>
  <si>
    <t>CUST002</t>
  </si>
  <si>
    <t>CUST003</t>
  </si>
  <si>
    <t>CUST020</t>
  </si>
  <si>
    <t>CUST024</t>
  </si>
  <si>
    <t>CUST004</t>
  </si>
  <si>
    <t>CUST013</t>
  </si>
  <si>
    <t>CUST027</t>
  </si>
  <si>
    <t>CUST018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</si>
  <si>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</si>
  <si>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</si>
  <si>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</si>
  <si>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</si>
  <si>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</si>
  <si>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</si>
  <si>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</si>
  <si>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</si>
  <si>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James Davis</t>
  </si>
  <si>
    <t>Robert Anderson</t>
  </si>
  <si>
    <t>James Taylor</t>
  </si>
  <si>
    <t>James Wilson</t>
  </si>
  <si>
    <t>Michael Anderson</t>
  </si>
  <si>
    <t>Linda Wilson</t>
  </si>
  <si>
    <t>Mary Davis</t>
  </si>
  <si>
    <t>Linda Jackson</t>
  </si>
  <si>
    <t>David Thomas</t>
  </si>
  <si>
    <t>Emma Davis</t>
  </si>
  <si>
    <t>David Smith</t>
  </si>
  <si>
    <t>Sarah Anderson</t>
  </si>
  <si>
    <t>Lisa Thomas</t>
  </si>
  <si>
    <t>Mary Jackson</t>
  </si>
  <si>
    <t>Lisa Davis</t>
  </si>
  <si>
    <t>Linda Brown</t>
  </si>
  <si>
    <t>John Brown</t>
  </si>
  <si>
    <t>Linda Taylor</t>
  </si>
  <si>
    <t>David Brown</t>
  </si>
  <si>
    <t>David Davis</t>
  </si>
  <si>
    <t>Mary Wilson</t>
  </si>
  <si>
    <t>Emma Wilson</t>
  </si>
  <si>
    <t>Linda Davis</t>
  </si>
  <si>
    <t>Sarah Davis</t>
  </si>
  <si>
    <t>Emma Taylor</t>
  </si>
  <si>
    <t>Linda Moore</t>
  </si>
  <si>
    <t>David Anderson</t>
  </si>
  <si>
    <t>West</t>
  </si>
  <si>
    <t>East</t>
  </si>
  <si>
    <t>South</t>
  </si>
  <si>
    <t>North</t>
  </si>
  <si>
    <t>Central</t>
  </si>
  <si>
    <t>Books</t>
  </si>
  <si>
    <t>Clothing</t>
  </si>
  <si>
    <t>Electronics</t>
  </si>
  <si>
    <t>Furniture</t>
  </si>
  <si>
    <t>Office Supplies</t>
  </si>
  <si>
    <t>Main Task to Perform :-</t>
  </si>
  <si>
    <t>1. Apply conditional formatting to highlight top 10 customers based on total purchase.</t>
  </si>
  <si>
    <t>Customer ID</t>
  </si>
  <si>
    <t>Total Purchase</t>
  </si>
  <si>
    <t>2. Perform WHAT IF Analysis to see impact of changing discount on total profit.</t>
  </si>
  <si>
    <t>Total Profit</t>
  </si>
  <si>
    <t>Discount Input</t>
  </si>
  <si>
    <t>4. Use 'Descriptive Statistics' from Analysis Toolpak on the dataset.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</si>
  <si>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</si>
  <si>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</si>
  <si>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</si>
  <si>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</si>
  <si>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</si>
  <si>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</si>
  <si>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</si>
  <si>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</si>
  <si>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</si>
  <si>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</si>
  <si>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</si>
  <si>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</si>
  <si>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</si>
  <si>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5. Add up/down arrows on monthly sales growth.</t>
  </si>
  <si>
    <t>Month</t>
  </si>
  <si>
    <t>Total Sales</t>
  </si>
  <si>
    <t>Sales Growth</t>
  </si>
  <si>
    <t>6. Create a timestamp column using NOW().</t>
  </si>
  <si>
    <t>TimeStamp</t>
  </si>
  <si>
    <t>7. Identify high-value customers using index(), match(), and filters.</t>
  </si>
  <si>
    <t>High-Value Customer ID</t>
  </si>
  <si>
    <t>Threshold</t>
  </si>
  <si>
    <t>8. Create Pivot Table to analyze total sales by region and product.</t>
  </si>
  <si>
    <t>Row Labels</t>
  </si>
  <si>
    <t>Grand Total</t>
  </si>
  <si>
    <t>Column Labels</t>
  </si>
  <si>
    <t>Sum of Sales</t>
  </si>
  <si>
    <t>Total Sales by Region</t>
  </si>
  <si>
    <t>Product</t>
  </si>
  <si>
    <t>Sales &amp; Profit Dashboard</t>
  </si>
  <si>
    <t>Total Quantity</t>
  </si>
  <si>
    <t>Average Discount</t>
  </si>
  <si>
    <t>Select Region</t>
  </si>
  <si>
    <t>Key Insights:</t>
  </si>
  <si>
    <t>1. West reigon has the highest total sales.</t>
  </si>
  <si>
    <t>2. Books is the highest-selling product category.</t>
  </si>
  <si>
    <t>3. East region has the lowest total sales.</t>
  </si>
  <si>
    <t>4. Office Supplies has the lowest total sales among product categories.</t>
  </si>
  <si>
    <t>3. Use Data Analysis Toolpak to run Linear Regression (Profit vs Sales).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</si>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</sst>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20"/>
      <color theme="1" tint="4.9989318521683403E-2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4" fontId="3" fillId="0" borderId="8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wrapText="1"/>
    </xf>
    <xf numFmtId="164" fontId="0" fillId="0" borderId="16" xfId="0" applyNumberFormat="1" applyBorder="1"/>
    <xf numFmtId="0" fontId="0" fillId="0" borderId="16" xfId="0" applyBorder="1"/>
    <xf numFmtId="0" fontId="0" fillId="2" borderId="16" xfId="0" applyFill="1" applyBorder="1" applyAlignment="1">
      <alignment horizontal="center"/>
    </xf>
    <xf numFmtId="22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4" fillId="4" borderId="24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3" fillId="2" borderId="19" xfId="0" applyFont="1" applyFill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0" fontId="9" fillId="6" borderId="21" xfId="0" applyFont="1" applyFill="1" applyBorder="1" applyAlignment="1">
      <alignment horizontal="center"/>
    </xf>
    <xf numFmtId="0" fontId="9" fillId="6" borderId="22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12" fillId="7" borderId="22" xfId="0" applyFont="1" applyFill="1" applyBorder="1" applyAlignment="1">
      <alignment horizontal="center"/>
    </xf>
    <xf numFmtId="0" fontId="12" fillId="7" borderId="23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Pivot_Table!$G$14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Pivot_Table!$H$14</c:f>
              <c:numCache>
                <c:formatCode>General</c:formatCode>
                <c:ptCount val="1"/>
                <c:pt idx="0">
                  <c:v>43468.33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6-468E-95C9-688DEAC2B51D}"/>
            </c:ext>
          </c:extLst>
        </c:ser>
        <c:ser>
          <c:idx val="1"/>
          <c:order val="1"/>
          <c:tx>
            <c:strRef>
              <c:f>Pivot_Table!$G$15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Pivot_Table!$H$15</c:f>
              <c:numCache>
                <c:formatCode>General</c:formatCode>
                <c:ptCount val="1"/>
                <c:pt idx="0">
                  <c:v>32441.640000000003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76-468E-95C9-688DEAC2B51D}"/>
            </c:ext>
          </c:extLst>
        </c:ser>
        <c:ser>
          <c:idx val="2"/>
          <c:order val="2"/>
          <c:tx>
            <c:strRef>
              <c:f>Pivot_Table!$G$16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Pivot_Table!$H$16</c:f>
              <c:numCache>
                <c:formatCode>General</c:formatCode>
                <c:ptCount val="1"/>
                <c:pt idx="0">
                  <c:v>34975.420000000006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76-468E-95C9-688DEAC2B51D}"/>
            </c:ext>
          </c:extLst>
        </c:ser>
        <c:ser>
          <c:idx val="3"/>
          <c:order val="3"/>
          <c:tx>
            <c:strRef>
              <c:f>Pivot_Table!$G$17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Pivot_Table!$H$17</c:f>
              <c:numCache>
                <c:formatCode>General</c:formatCode>
                <c:ptCount val="1"/>
                <c:pt idx="0">
                  <c:v>40248.79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76-468E-95C9-688DEAC2B51D}"/>
            </c:ext>
          </c:extLst>
        </c:ser>
        <c:ser>
          <c:idx val="4"/>
          <c:order val="4"/>
          <c:tx>
            <c:strRef>
              <c:f>Pivot_Table!$G$18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Pivot_Table!$H$18</c:f>
              <c:numCache>
                <c:formatCode>General</c:formatCode>
                <c:ptCount val="1"/>
                <c:pt idx="0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76-468E-95C9-688DEAC2B5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6724383"/>
        <c:axId val="1773474255"/>
      </c:barChart>
      <c:catAx>
        <c:axId val="206672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74255"/>
        <c:crosses val="autoZero"/>
        <c:auto val="1"/>
        <c:lblAlgn val="ctr"/>
        <c:lblOffset val="100"/>
        <c:noMultiLvlLbl val="0"/>
      </c:catAx>
      <c:valAx>
        <c:axId val="177347425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Grand</a:t>
                </a:r>
                <a:r>
                  <a:rPr lang="en-IN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667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Pivot_Table!$B$29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Pivot_Table!$A$30:$A$42</c:f>
              <c:numCache>
                <c:formatCode>[$-F800]dddd\,\ mmmm\ dd\,\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Pivot_Table!$B$30:$B$42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8-4A7D-B051-B7B347500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614815"/>
        <c:axId val="1773471375"/>
      </c:lineChart>
      <c:dateAx>
        <c:axId val="1891614815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71375"/>
        <c:crosses val="autoZero"/>
        <c:auto val="1"/>
        <c:lblOffset val="100"/>
        <c:baseTimeUnit val="months"/>
      </c:dateAx>
      <c:valAx>
        <c:axId val="17734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6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Product Category</a:t>
            </a:r>
          </a:p>
        </c:rich>
      </c:tx>
      <c:layout>
        <c:manualLayout>
          <c:xMode val="edge"/>
          <c:yMode val="edge"/>
          <c:x val="0.1587082239720034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Pivot_Table!$B$46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12-443D-8DBE-BC4A8D7293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12-443D-8DBE-BC4A8D7293D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12-443D-8DBE-BC4A8D7293D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12-443D-8DBE-BC4A8D7293D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12-443D-8DBE-BC4A8D7293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Pivot_Table!$A$47:$A$51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Pivot_Table!$B$47:$B$51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9-45D5-AD54-A25D79F027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Dashboard!$F$6</c:f>
          <c:strCache>
            <c:ptCount val="1"/>
            <c:pt idx="0">
              <c:v>Total Sales by Region - Central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Pivot_Table!$G$14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Pivot_Table!$H$14</c:f>
              <c:numCache>
                <c:formatCode>General</c:formatCode>
                <c:ptCount val="1"/>
                <c:pt idx="0">
                  <c:v>43468.33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0-4094-AF1B-A3E018F8E7EB}"/>
            </c:ext>
          </c:extLst>
        </c:ser>
        <c:ser>
          <c:idx val="1"/>
          <c:order val="1"/>
          <c:tx>
            <c:strRef>
              <c:f>Pivot_Table!$G$15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Pivot_Table!$H$15</c:f>
              <c:numCache>
                <c:formatCode>General</c:formatCode>
                <c:ptCount val="1"/>
                <c:pt idx="0">
                  <c:v>32441.640000000003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0-4094-AF1B-A3E018F8E7EB}"/>
            </c:ext>
          </c:extLst>
        </c:ser>
        <c:ser>
          <c:idx val="2"/>
          <c:order val="2"/>
          <c:tx>
            <c:strRef>
              <c:f>Pivot_Table!$G$16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Pivot_Table!$H$16</c:f>
              <c:numCache>
                <c:formatCode>General</c:formatCode>
                <c:ptCount val="1"/>
                <c:pt idx="0">
                  <c:v>34975.420000000006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0-4094-AF1B-A3E018F8E7EB}"/>
            </c:ext>
          </c:extLst>
        </c:ser>
        <c:ser>
          <c:idx val="3"/>
          <c:order val="3"/>
          <c:tx>
            <c:strRef>
              <c:f>Pivot_Table!$G$17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Pivot_Table!$H$17</c:f>
              <c:numCache>
                <c:formatCode>General</c:formatCode>
                <c:ptCount val="1"/>
                <c:pt idx="0">
                  <c:v>40248.79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0-4094-AF1B-A3E018F8E7EB}"/>
            </c:ext>
          </c:extLst>
        </c:ser>
        <c:ser>
          <c:idx val="4"/>
          <c:order val="4"/>
          <c:tx>
            <c:strRef>
              <c:f>Pivot_Table!$G$18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Pivot_Table!$H$13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Pivot_Table!$H$18</c:f>
              <c:numCache>
                <c:formatCode>General</c:formatCode>
                <c:ptCount val="1"/>
                <c:pt idx="0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0-4094-AF1B-A3E018F8E7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6724383"/>
        <c:axId val="1773474255"/>
      </c:barChart>
      <c:catAx>
        <c:axId val="206672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74255"/>
        <c:crosses val="autoZero"/>
        <c:auto val="1"/>
        <c:lblAlgn val="ctr"/>
        <c:lblOffset val="100"/>
        <c:noMultiLvlLbl val="0"/>
      </c:catAx>
      <c:valAx>
        <c:axId val="177347425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Grand</a:t>
                </a:r>
                <a:r>
                  <a:rPr lang="en-IN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667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Pivot_Table!$B$29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Pivot_Table!$A$30:$A$42</c:f>
              <c:numCache>
                <c:formatCode>[$-F800]dddd\,\ mmmm\ dd\,\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Pivot_Table!$B$30:$B$42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D-4575-83F2-48DA71252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614815"/>
        <c:axId val="1773471375"/>
      </c:lineChart>
      <c:dateAx>
        <c:axId val="1891614815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71375"/>
        <c:crosses val="autoZero"/>
        <c:auto val="1"/>
        <c:lblOffset val="100"/>
        <c:baseTimeUnit val="months"/>
      </c:dateAx>
      <c:valAx>
        <c:axId val="17734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6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Product Category</a:t>
            </a:r>
          </a:p>
        </c:rich>
      </c:tx>
      <c:layout>
        <c:manualLayout>
          <c:xMode val="edge"/>
          <c:yMode val="edge"/>
          <c:x val="0.1587082239720034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Pivot_Table!$B$46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15-4270-8A77-5844A51A9F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15-4270-8A77-5844A51A9F4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15-4270-8A77-5844A51A9F4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15-4270-8A77-5844A51A9F4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15-4270-8A77-5844A51A9F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Pivot_Table!$A$47:$A$51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Pivot_Table!$B$47:$B$51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15-4270-8A77-5844A51A9F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11</xdr:row>
      <xdr:rowOff>95250</xdr:rowOff>
    </xdr:from>
    <xdr:to>
      <xdr:col>5</xdr:col>
      <xdr:colOff>739140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A40AB4-34DE-9D7D-7A19-FA87FD2B5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114299</xdr:colOff>
      <xdr:row>27</xdr:row>
      <xdr:rowOff>118110</xdr:rowOff>
    </xdr:from>
    <xdr:to>
      <xdr:col>14</xdr:col>
      <xdr:colOff>356680</xdr:colOff>
      <xdr:row>42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43BEE6-FE31-1F87-EB5F-4345EC931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299935</xdr:colOff>
      <xdr:row>44</xdr:row>
      <xdr:rowOff>184826</xdr:rowOff>
    </xdr:from>
    <xdr:to>
      <xdr:col>8</xdr:col>
      <xdr:colOff>486382</xdr:colOff>
      <xdr:row>59</xdr:row>
      <xdr:rowOff>131324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FE88A3-BAA9-5488-F417-D0FE461B0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8</xdr:row>
      <xdr:rowOff>36576</xdr:rowOff>
    </xdr:from>
    <xdr:to>
      <xdr:col>7</xdr:col>
      <xdr:colOff>213846</xdr:colOff>
      <xdr:row>23</xdr:row>
      <xdr:rowOff>106291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7F7BB-E3F6-414F-9D90-3A1E97A6C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359664</xdr:colOff>
      <xdr:row>24</xdr:row>
      <xdr:rowOff>152400</xdr:rowOff>
    </xdr:from>
    <xdr:to>
      <xdr:col>14</xdr:col>
      <xdr:colOff>18385</xdr:colOff>
      <xdr:row>40</xdr:row>
      <xdr:rowOff>11592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3E1DA-1DA4-4034-89EA-CB9F29DD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435428</xdr:colOff>
      <xdr:row>8</xdr:row>
      <xdr:rowOff>48381</xdr:rowOff>
    </xdr:from>
    <xdr:to>
      <xdr:col>15</xdr:col>
      <xdr:colOff>135466</xdr:colOff>
      <xdr:row>23</xdr:row>
      <xdr:rowOff>48381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440BC5-D975-45E1-BE9D-1667CF641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" refreshedDate="46276.834352777776" createdVersion="8" refreshedVersion="8" minRefreshableVersion="3" recordCount="200" xr:uid="{C6E2C936-537F-4A28-ABAB-4111026964B5}">
  <cacheSource type="worksheet">
    <worksheetSource name="Sales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847B8-322C-4F22-BC94-BF91D6D66F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92742-6F91-4B2F-A851-0AB31229FB6D}" name="SalesData" displayName="SalesData" ref="A1:I201" totalsRowShown="0" headerRowDxfId="14" dataDxfId="12" headerRowBorderDxfId="13" tableBorderDxfId="11" totalsRowBorderDxfId="10">
  <autoFilter ref="A1:I201" xr:uid="{88192742-6F91-4B2F-A851-0AB31229FB6D}"/>
  <tableColumns count="9">
    <tableColumn id="1" xr3:uid="{E8491B3A-1524-4C48-80FE-A707B4ABFBBC}" name="Customer_ID" dataDxfId="9"/>
    <tableColumn id="2" xr3:uid="{C75B1631-5CE0-4134-9E77-3A9EE0BA8892}" name="Customer_Name" dataDxfId="8"/>
    <tableColumn id="3" xr3:uid="{B178A63A-6F06-41CF-9822-E6CE6AD3443C}" name="Region" dataDxfId="7"/>
    <tableColumn id="4" xr3:uid="{E271AA11-3E5E-4CF8-8978-5622EC6CBAE1}" name="Product_Category" dataDxfId="6"/>
    <tableColumn id="5" xr3:uid="{EF1422C9-E4B8-4FC0-B33B-1EAFB988E2FD}" name="Sales" dataDxfId="5"/>
    <tableColumn id="6" xr3:uid="{5F010BDA-E471-44DB-BB11-DF6D26349A01}" name="Quantity" dataDxfId="4"/>
    <tableColumn id="7" xr3:uid="{EFF9EDBC-F924-489F-9FC9-504A12EE7885}" name="Discount" dataDxfId="3"/>
    <tableColumn id="8" xr3:uid="{8E28A7FF-22AE-4D2D-A2A6-0F6D0995F860}" name="Order_Date" dataDxfId="2"/>
    <tableColumn id="9" xr3:uid="{3340E081-DDC8-45FF-A94D-C1A898863EAE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FD18-0F9B-4207-A31A-C6473E0D11FB}">
  <dimension ref="A1:H51"/>
  <sheetViews>
    <sheetView showGridLines="0" topLeftCell="A35" zoomScale="94" workbookViewId="0">
      <selection activeCell="G2" sqref="G2"/>
    </sheetView>
  </sheetViews>
  <sheetFormatPr defaultRowHeight="14.4" x14ac:dyDescent="0.3"/>
  <cols>
    <col min="1" max="1" width="17.33203125" customWidth="1"/>
    <col min="2" max="2" width="15.5546875" bestFit="1" customWidth="1"/>
    <col min="3" max="3" width="9" bestFit="1" customWidth="1"/>
    <col min="4" max="4" width="10.33203125" bestFit="1" customWidth="1"/>
    <col min="5" max="5" width="9" bestFit="1" customWidth="1"/>
    <col min="6" max="6" width="13.77734375" bestFit="1" customWidth="1"/>
    <col min="7" max="7" width="10.5546875" bestFit="1" customWidth="1"/>
    <col min="8" max="8" width="11.33203125" customWidth="1"/>
    <col min="9" max="9" width="11.88671875" customWidth="1"/>
    <col min="10" max="10" width="10.33203125" customWidth="1"/>
    <col min="11" max="11" width="12" customWidth="1"/>
  </cols>
  <sheetData>
    <row r="1" spans="1:8" ht="23.4" x14ac:dyDescent="0.45">
      <c r="A1" s="69" t="s">
        <v>106</v>
      </c>
      <c r="B1" s="69"/>
      <c r="C1" s="69"/>
      <c r="D1" s="69"/>
      <c r="E1" s="69"/>
      <c r="F1" s="69"/>
      <c r="G1" s="69"/>
      <c r="H1" s="69"/>
    </row>
    <row r="3" spans="1:8" ht="13.8" customHeight="1" x14ac:dyDescent="0.3">
      <c r="A3" s="36" t="s">
        <v>110</v>
      </c>
      <c r="B3" s="36" t="s">
        <v>109</v>
      </c>
    </row>
    <row r="4" spans="1:8" x14ac:dyDescent="0.3">
      <c r="A4" s="36" t="s">
        <v>107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108</v>
      </c>
    </row>
    <row r="5" spans="1:8" x14ac:dyDescent="0.3">
      <c r="A5" s="37" t="s">
        <v>70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8" x14ac:dyDescent="0.3">
      <c r="A6" s="37" t="s">
        <v>67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32441.640000000003</v>
      </c>
    </row>
    <row r="7" spans="1:8" x14ac:dyDescent="0.3">
      <c r="A7" s="37" t="s">
        <v>69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34975.420000000006</v>
      </c>
    </row>
    <row r="8" spans="1:8" x14ac:dyDescent="0.3">
      <c r="A8" s="37" t="s">
        <v>68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G8">
        <v>40248.79</v>
      </c>
    </row>
    <row r="9" spans="1:8" x14ac:dyDescent="0.3">
      <c r="A9" s="37" t="s">
        <v>66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8" x14ac:dyDescent="0.3">
      <c r="A10" s="37" t="s">
        <v>108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  <row r="11" spans="1:8" ht="15" thickBot="1" x14ac:dyDescent="0.35"/>
    <row r="12" spans="1:8" ht="15" thickBot="1" x14ac:dyDescent="0.35">
      <c r="G12" s="67" t="s">
        <v>111</v>
      </c>
      <c r="H12" s="68"/>
    </row>
    <row r="13" spans="1:8" x14ac:dyDescent="0.3">
      <c r="G13" s="38" t="s">
        <v>107</v>
      </c>
      <c r="H13" s="39" t="s">
        <v>108</v>
      </c>
    </row>
    <row r="14" spans="1:8" x14ac:dyDescent="0.3">
      <c r="G14" s="21" t="s">
        <v>70</v>
      </c>
      <c r="H14" s="13">
        <v>43468.33</v>
      </c>
    </row>
    <row r="15" spans="1:8" x14ac:dyDescent="0.3">
      <c r="G15" s="21" t="s">
        <v>67</v>
      </c>
      <c r="H15" s="13">
        <v>32441.640000000003</v>
      </c>
    </row>
    <row r="16" spans="1:8" x14ac:dyDescent="0.3">
      <c r="G16" s="21" t="s">
        <v>69</v>
      </c>
      <c r="H16" s="13">
        <v>34975.420000000006</v>
      </c>
    </row>
    <row r="17" spans="1:8" x14ac:dyDescent="0.3">
      <c r="G17" s="21" t="s">
        <v>68</v>
      </c>
      <c r="H17" s="13">
        <v>40248.79</v>
      </c>
    </row>
    <row r="18" spans="1:8" ht="15" thickBot="1" x14ac:dyDescent="0.35">
      <c r="G18" s="17" t="s">
        <v>66</v>
      </c>
      <c r="H18" s="15">
        <v>44083.58</v>
      </c>
    </row>
    <row r="29" spans="1:8" x14ac:dyDescent="0.3">
      <c r="A29" s="28" t="s">
        <v>98</v>
      </c>
      <c r="B29" s="28" t="s">
        <v>99</v>
      </c>
    </row>
    <row r="30" spans="1:8" x14ac:dyDescent="0.3">
      <c r="A30" s="29">
        <f>DATE(2024,4,1)</f>
        <v>45383</v>
      </c>
      <c r="B30" s="30">
        <f>SUMIFS(DATASET!$E$2:$E$201,DATASET!$H$2:$H$201,"&gt;="&amp;A30,DATASET!$H$2:$H$201,"&lt;"&amp;EDATE(A30,1))</f>
        <v>19029.96</v>
      </c>
    </row>
    <row r="31" spans="1:8" x14ac:dyDescent="0.3">
      <c r="A31" s="29">
        <f>EDATE(A30,1)</f>
        <v>45413</v>
      </c>
      <c r="B31" s="30">
        <f>SUMIFS(DATASET!$E$2:$E$201,DATASET!$H$2:$H$201,"&gt;="&amp;A31,DATASET!$H$2:$H$201,"&lt;"&amp;EDATE(A31,1))</f>
        <v>18507.339999999997</v>
      </c>
    </row>
    <row r="32" spans="1:8" x14ac:dyDescent="0.3">
      <c r="A32" s="29">
        <f t="shared" ref="A32:A33" si="0">EDATE(A31,1)</f>
        <v>45444</v>
      </c>
      <c r="B32" s="30">
        <f>SUMIFS(DATASET!$E$2:$E$201,DATASET!$H$2:$H$201,"&gt;="&amp;A32,DATASET!$H$2:$H$201,"&lt;"&amp;EDATE(A32,1))</f>
        <v>20187.509999999998</v>
      </c>
    </row>
    <row r="33" spans="1:2" x14ac:dyDescent="0.3">
      <c r="A33" s="29">
        <f t="shared" si="0"/>
        <v>45474</v>
      </c>
      <c r="B33" s="30">
        <f>SUMIFS(DATASET!$E$2:$E$201,DATASET!$H$2:$H$201,"&gt;="&amp;A33,DATASET!$H$2:$H$201,"&lt;"&amp;EDATE(A33,1))</f>
        <v>11609.039999999999</v>
      </c>
    </row>
    <row r="34" spans="1:2" x14ac:dyDescent="0.3">
      <c r="A34" s="29">
        <v>45505</v>
      </c>
      <c r="B34" s="30">
        <f>SUMIFS(DATASET!$E$2:$E$201,DATASET!$H$2:$H$201,"&gt;="&amp;A34,DATASET!$H$2:$H$201,"&lt;"&amp;EDATE(A34,1))</f>
        <v>10091.699999999999</v>
      </c>
    </row>
    <row r="35" spans="1:2" x14ac:dyDescent="0.3">
      <c r="A35" s="29">
        <f>EDATE(A34,1)</f>
        <v>45536</v>
      </c>
      <c r="B35" s="30">
        <f>SUMIFS(DATASET!$E$2:$E$201,DATASET!$H$2:$H$201,"&gt;="&amp;A35,DATASET!$H$2:$H$201,"&lt;"&amp;EDATE(A35,1))</f>
        <v>20533.499999999996</v>
      </c>
    </row>
    <row r="36" spans="1:2" x14ac:dyDescent="0.3">
      <c r="A36" s="29">
        <f t="shared" ref="A36:A42" si="1">EDATE(A35,1)</f>
        <v>45566</v>
      </c>
      <c r="B36" s="30">
        <f>SUMIFS(DATASET!$E$2:$E$201,DATASET!$H$2:$H$201,"&gt;="&amp;A36,DATASET!$H$2:$H$201,"&lt;"&amp;EDATE(A36,1))</f>
        <v>14215.240000000002</v>
      </c>
    </row>
    <row r="37" spans="1:2" x14ac:dyDescent="0.3">
      <c r="A37" s="29">
        <f t="shared" si="1"/>
        <v>45597</v>
      </c>
      <c r="B37" s="30">
        <f>SUMIFS(DATASET!$E$2:$E$201,DATASET!$H$2:$H$201,"&gt;="&amp;A37,DATASET!$H$2:$H$201,"&lt;"&amp;EDATE(A37,1))</f>
        <v>20135.030000000002</v>
      </c>
    </row>
    <row r="38" spans="1:2" x14ac:dyDescent="0.3">
      <c r="A38" s="29">
        <f t="shared" si="1"/>
        <v>45627</v>
      </c>
      <c r="B38" s="30">
        <f>SUMIFS(DATASET!$E$2:$E$201,DATASET!$H$2:$H$201,"&gt;="&amp;A38,DATASET!$H$2:$H$201,"&lt;"&amp;EDATE(A38,1))</f>
        <v>11120.04</v>
      </c>
    </row>
    <row r="39" spans="1:2" x14ac:dyDescent="0.3">
      <c r="A39" s="29">
        <f t="shared" si="1"/>
        <v>45658</v>
      </c>
      <c r="B39" s="30">
        <f>SUMIFS(DATASET!$E$2:$E$201,DATASET!$H$2:$H$201,"&gt;="&amp;A39,DATASET!$H$2:$H$201,"&lt;"&amp;EDATE(A39,1))</f>
        <v>14914.650000000001</v>
      </c>
    </row>
    <row r="40" spans="1:2" x14ac:dyDescent="0.3">
      <c r="A40" s="29">
        <f t="shared" si="1"/>
        <v>45689</v>
      </c>
      <c r="B40" s="30">
        <f>SUMIFS(DATASET!$E$2:$E$201,DATASET!$H$2:$H$201,"&gt;="&amp;A40,DATASET!$H$2:$H$201,"&lt;"&amp;EDATE(A40,1))</f>
        <v>14006.359999999999</v>
      </c>
    </row>
    <row r="41" spans="1:2" x14ac:dyDescent="0.3">
      <c r="A41" s="29">
        <f t="shared" si="1"/>
        <v>45717</v>
      </c>
      <c r="B41" s="30">
        <f>SUMIFS(DATASET!$E$2:$E$201,DATASET!$H$2:$H$201,"&gt;="&amp;A41,DATASET!$H$2:$H$201,"&lt;"&amp;EDATE(A41,1))</f>
        <v>17655.219999999998</v>
      </c>
    </row>
    <row r="42" spans="1:2" x14ac:dyDescent="0.3">
      <c r="A42" s="29">
        <f t="shared" si="1"/>
        <v>45748</v>
      </c>
      <c r="B42" s="30">
        <f>SUMIFS(DATASET!$E$2:$E$201,DATASET!$H$2:$H$201,"&gt;="&amp;A42,DATASET!$H$2:$H$201,"&lt;"&amp;EDATE(A42,1))</f>
        <v>3212.17</v>
      </c>
    </row>
    <row r="46" spans="1:2" x14ac:dyDescent="0.3">
      <c r="A46" s="35" t="s">
        <v>112</v>
      </c>
      <c r="B46" s="35" t="s">
        <v>99</v>
      </c>
    </row>
    <row r="47" spans="1:2" x14ac:dyDescent="0.3">
      <c r="A47" s="24" t="s">
        <v>71</v>
      </c>
      <c r="B47" s="24">
        <f>B10</f>
        <v>47002.460000000006</v>
      </c>
    </row>
    <row r="48" spans="1:2" x14ac:dyDescent="0.3">
      <c r="A48" s="24" t="s">
        <v>72</v>
      </c>
      <c r="B48" s="24">
        <f>C10</f>
        <v>41927.589999999997</v>
      </c>
    </row>
    <row r="49" spans="1:2" x14ac:dyDescent="0.3">
      <c r="A49" s="24" t="s">
        <v>73</v>
      </c>
      <c r="B49" s="24">
        <f>D10</f>
        <v>41044</v>
      </c>
    </row>
    <row r="50" spans="1:2" x14ac:dyDescent="0.3">
      <c r="A50" s="24" t="s">
        <v>74</v>
      </c>
      <c r="B50" s="24">
        <f>E10</f>
        <v>36612.89</v>
      </c>
    </row>
    <row r="51" spans="1:2" x14ac:dyDescent="0.3">
      <c r="A51" s="24" t="s">
        <v>75</v>
      </c>
      <c r="B51" s="24">
        <f>F10</f>
        <v>28630.82</v>
      </c>
    </row>
  </sheetData>
  <mergeCells count="2">
    <mergeCell ref="G12:H12"/>
    <mergeCell ref="A1:H1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BBFA-2CFE-44B4-B9BE-7BD301C61534}">
  <dimension ref="A1:I201"/>
  <sheetViews>
    <sheetView workbookViewId="0">
      <selection activeCell="D8" sqref="D8"/>
    </sheetView>
  </sheetViews>
  <sheetFormatPr defaultRowHeight="14.4" x14ac:dyDescent="0.3"/>
  <cols>
    <col min="1" max="1" width="17.44140625" customWidth="1"/>
    <col min="2" max="2" width="19.33203125" customWidth="1"/>
    <col min="3" max="3" width="14.33203125" customWidth="1"/>
    <col min="4" max="4" width="21.88671875" customWidth="1"/>
    <col min="5" max="5" width="12.21875" customWidth="1"/>
    <col min="6" max="6" width="14.21875" customWidth="1"/>
    <col min="7" max="7" width="15.21875" customWidth="1"/>
    <col min="8" max="8" width="17.109375" customWidth="1"/>
    <col min="9" max="9" width="13.33203125" customWidth="1"/>
  </cols>
  <sheetData>
    <row r="1" spans="1:9" ht="16.8" customHeight="1" thickBot="1" x14ac:dyDescent="0.35">
      <c r="A1" s="5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7" t="s">
        <v>38</v>
      </c>
    </row>
    <row r="2" spans="1:9" ht="15" thickBot="1" x14ac:dyDescent="0.35">
      <c r="A2" s="3" t="s">
        <v>1</v>
      </c>
      <c r="B2" s="1" t="s">
        <v>39</v>
      </c>
      <c r="C2" s="1" t="s">
        <v>66</v>
      </c>
      <c r="D2" s="1" t="s">
        <v>71</v>
      </c>
      <c r="E2" s="1">
        <v>1036.0899999999999</v>
      </c>
      <c r="F2" s="1">
        <v>4</v>
      </c>
      <c r="G2" s="1">
        <v>0.2</v>
      </c>
      <c r="H2" s="2">
        <v>45392</v>
      </c>
      <c r="I2" s="4">
        <v>331.55</v>
      </c>
    </row>
    <row r="3" spans="1:9" ht="15" thickBot="1" x14ac:dyDescent="0.35">
      <c r="A3" s="3" t="s">
        <v>2</v>
      </c>
      <c r="B3" s="1" t="s">
        <v>40</v>
      </c>
      <c r="C3" s="1" t="s">
        <v>66</v>
      </c>
      <c r="D3" s="1" t="s">
        <v>72</v>
      </c>
      <c r="E3" s="1">
        <v>1101.28</v>
      </c>
      <c r="F3" s="1">
        <v>3</v>
      </c>
      <c r="G3" s="1">
        <v>0.2</v>
      </c>
      <c r="H3" s="2">
        <v>45393</v>
      </c>
      <c r="I3" s="4">
        <v>440.51</v>
      </c>
    </row>
    <row r="4" spans="1:9" ht="15" thickBot="1" x14ac:dyDescent="0.35">
      <c r="A4" s="3" t="s">
        <v>3</v>
      </c>
      <c r="B4" s="1" t="s">
        <v>41</v>
      </c>
      <c r="C4" s="1" t="s">
        <v>67</v>
      </c>
      <c r="D4" s="1" t="s">
        <v>71</v>
      </c>
      <c r="E4" s="1">
        <v>713.34</v>
      </c>
      <c r="F4" s="1">
        <v>17</v>
      </c>
      <c r="G4" s="1">
        <v>0</v>
      </c>
      <c r="H4" s="2">
        <v>45396</v>
      </c>
      <c r="I4" s="4">
        <v>285.33999999999997</v>
      </c>
    </row>
    <row r="5" spans="1:9" ht="15" thickBot="1" x14ac:dyDescent="0.35">
      <c r="A5" s="3" t="s">
        <v>4</v>
      </c>
      <c r="B5" s="1" t="s">
        <v>40</v>
      </c>
      <c r="C5" s="1" t="s">
        <v>68</v>
      </c>
      <c r="D5" s="1" t="s">
        <v>73</v>
      </c>
      <c r="E5" s="1">
        <v>760.93</v>
      </c>
      <c r="F5" s="1">
        <v>4</v>
      </c>
      <c r="G5" s="1">
        <v>0.15</v>
      </c>
      <c r="H5" s="2">
        <v>45396</v>
      </c>
      <c r="I5" s="4">
        <v>161.69999999999999</v>
      </c>
    </row>
    <row r="6" spans="1:9" ht="15" thickBot="1" x14ac:dyDescent="0.35">
      <c r="A6" s="3" t="s">
        <v>5</v>
      </c>
      <c r="B6" s="1" t="s">
        <v>42</v>
      </c>
      <c r="C6" s="1" t="s">
        <v>69</v>
      </c>
      <c r="D6" s="1" t="s">
        <v>71</v>
      </c>
      <c r="E6" s="1">
        <v>847</v>
      </c>
      <c r="F6" s="1">
        <v>12</v>
      </c>
      <c r="G6" s="1">
        <v>0.2</v>
      </c>
      <c r="H6" s="2">
        <v>45397</v>
      </c>
      <c r="I6" s="4">
        <v>271.04000000000002</v>
      </c>
    </row>
    <row r="7" spans="1:9" ht="15" thickBot="1" x14ac:dyDescent="0.35">
      <c r="A7" s="3" t="s">
        <v>6</v>
      </c>
      <c r="B7" s="1" t="s">
        <v>43</v>
      </c>
      <c r="C7" s="1" t="s">
        <v>69</v>
      </c>
      <c r="D7" s="1" t="s">
        <v>74</v>
      </c>
      <c r="E7" s="1">
        <v>965.64</v>
      </c>
      <c r="F7" s="1">
        <v>8</v>
      </c>
      <c r="G7" s="1">
        <v>0.1</v>
      </c>
      <c r="H7" s="2">
        <v>45398</v>
      </c>
      <c r="I7" s="4">
        <v>304.18</v>
      </c>
    </row>
    <row r="8" spans="1:9" ht="15" thickBot="1" x14ac:dyDescent="0.35">
      <c r="A8" s="3" t="s">
        <v>7</v>
      </c>
      <c r="B8" s="1" t="s">
        <v>44</v>
      </c>
      <c r="C8" s="1" t="s">
        <v>66</v>
      </c>
      <c r="D8" s="1" t="s">
        <v>73</v>
      </c>
      <c r="E8" s="1">
        <v>1317.53</v>
      </c>
      <c r="F8" s="1">
        <v>12</v>
      </c>
      <c r="G8" s="1">
        <v>0.05</v>
      </c>
      <c r="H8" s="2">
        <v>45398</v>
      </c>
      <c r="I8" s="4">
        <v>312.91000000000003</v>
      </c>
    </row>
    <row r="9" spans="1:9" ht="15" thickBot="1" x14ac:dyDescent="0.35">
      <c r="A9" s="3" t="s">
        <v>8</v>
      </c>
      <c r="B9" s="1" t="s">
        <v>45</v>
      </c>
      <c r="C9" s="1" t="s">
        <v>67</v>
      </c>
      <c r="D9" s="1" t="s">
        <v>74</v>
      </c>
      <c r="E9" s="1">
        <v>1074.47</v>
      </c>
      <c r="F9" s="1">
        <v>6</v>
      </c>
      <c r="G9" s="1">
        <v>0.2</v>
      </c>
      <c r="H9" s="2">
        <v>45401</v>
      </c>
      <c r="I9" s="4">
        <v>300.85000000000002</v>
      </c>
    </row>
    <row r="10" spans="1:9" ht="15" thickBot="1" x14ac:dyDescent="0.35">
      <c r="A10" s="3" t="s">
        <v>9</v>
      </c>
      <c r="B10" s="1" t="s">
        <v>46</v>
      </c>
      <c r="C10" s="1" t="s">
        <v>70</v>
      </c>
      <c r="D10" s="1" t="s">
        <v>71</v>
      </c>
      <c r="E10" s="1">
        <v>501.54</v>
      </c>
      <c r="F10" s="1">
        <v>11</v>
      </c>
      <c r="G10" s="1">
        <v>0.05</v>
      </c>
      <c r="H10" s="2">
        <v>45401</v>
      </c>
      <c r="I10" s="4">
        <v>190.59</v>
      </c>
    </row>
    <row r="11" spans="1:9" ht="15" thickBot="1" x14ac:dyDescent="0.35">
      <c r="A11" s="3" t="s">
        <v>10</v>
      </c>
      <c r="B11" s="1" t="s">
        <v>47</v>
      </c>
      <c r="C11" s="1" t="s">
        <v>70</v>
      </c>
      <c r="D11" s="1" t="s">
        <v>72</v>
      </c>
      <c r="E11" s="1">
        <v>737.31</v>
      </c>
      <c r="F11" s="1">
        <v>2</v>
      </c>
      <c r="G11" s="1">
        <v>0.05</v>
      </c>
      <c r="H11" s="2">
        <v>45401</v>
      </c>
      <c r="I11" s="4">
        <v>350.22</v>
      </c>
    </row>
    <row r="12" spans="1:9" ht="15" thickBot="1" x14ac:dyDescent="0.35">
      <c r="A12" s="3" t="s">
        <v>11</v>
      </c>
      <c r="B12" s="1" t="s">
        <v>48</v>
      </c>
      <c r="C12" s="1" t="s">
        <v>66</v>
      </c>
      <c r="D12" s="1" t="s">
        <v>75</v>
      </c>
      <c r="E12" s="1">
        <v>1572.82</v>
      </c>
      <c r="F12" s="1">
        <v>6</v>
      </c>
      <c r="G12" s="1">
        <v>0.05</v>
      </c>
      <c r="H12" s="2">
        <v>45402</v>
      </c>
      <c r="I12" s="4">
        <v>672.38</v>
      </c>
    </row>
    <row r="13" spans="1:9" ht="15" thickBot="1" x14ac:dyDescent="0.35">
      <c r="A13" s="3" t="s">
        <v>11</v>
      </c>
      <c r="B13" s="1" t="s">
        <v>47</v>
      </c>
      <c r="C13" s="1" t="s">
        <v>70</v>
      </c>
      <c r="D13" s="1" t="s">
        <v>71</v>
      </c>
      <c r="E13" s="1">
        <v>1343.13</v>
      </c>
      <c r="F13" s="1">
        <v>14</v>
      </c>
      <c r="G13" s="1">
        <v>0.15</v>
      </c>
      <c r="H13" s="2">
        <v>45404</v>
      </c>
      <c r="I13" s="4">
        <v>456.66</v>
      </c>
    </row>
    <row r="14" spans="1:9" ht="15" thickBot="1" x14ac:dyDescent="0.35">
      <c r="A14" s="3" t="s">
        <v>6</v>
      </c>
      <c r="B14" s="1" t="s">
        <v>43</v>
      </c>
      <c r="C14" s="1" t="s">
        <v>70</v>
      </c>
      <c r="D14" s="1" t="s">
        <v>71</v>
      </c>
      <c r="E14" s="1">
        <v>1191.58</v>
      </c>
      <c r="F14" s="1">
        <v>14</v>
      </c>
      <c r="G14" s="1">
        <v>0.05</v>
      </c>
      <c r="H14" s="2">
        <v>45406</v>
      </c>
      <c r="I14" s="4">
        <v>452.8</v>
      </c>
    </row>
    <row r="15" spans="1:9" ht="15" thickBot="1" x14ac:dyDescent="0.35">
      <c r="A15" s="3" t="s">
        <v>12</v>
      </c>
      <c r="B15" s="1" t="s">
        <v>40</v>
      </c>
      <c r="C15" s="1" t="s">
        <v>66</v>
      </c>
      <c r="D15" s="1" t="s">
        <v>74</v>
      </c>
      <c r="E15" s="1">
        <v>822.28</v>
      </c>
      <c r="F15" s="1">
        <v>7</v>
      </c>
      <c r="G15" s="1">
        <v>0.05</v>
      </c>
      <c r="H15" s="2">
        <v>45406</v>
      </c>
      <c r="I15" s="4">
        <v>273.41000000000003</v>
      </c>
    </row>
    <row r="16" spans="1:9" ht="15" thickBot="1" x14ac:dyDescent="0.35">
      <c r="A16" s="3" t="s">
        <v>13</v>
      </c>
      <c r="B16" s="1" t="s">
        <v>49</v>
      </c>
      <c r="C16" s="1" t="s">
        <v>69</v>
      </c>
      <c r="D16" s="1" t="s">
        <v>74</v>
      </c>
      <c r="E16" s="1">
        <v>521.66999999999996</v>
      </c>
      <c r="F16" s="1">
        <v>15</v>
      </c>
      <c r="G16" s="1">
        <v>0.15</v>
      </c>
      <c r="H16" s="2">
        <v>45409</v>
      </c>
      <c r="I16" s="4">
        <v>155.19999999999999</v>
      </c>
    </row>
    <row r="17" spans="1:9" ht="15" thickBot="1" x14ac:dyDescent="0.35">
      <c r="A17" s="3" t="s">
        <v>4</v>
      </c>
      <c r="B17" s="1" t="s">
        <v>50</v>
      </c>
      <c r="C17" s="1" t="s">
        <v>68</v>
      </c>
      <c r="D17" s="1" t="s">
        <v>73</v>
      </c>
      <c r="E17" s="1">
        <v>1502.93</v>
      </c>
      <c r="F17" s="1">
        <v>14</v>
      </c>
      <c r="G17" s="1">
        <v>0.2</v>
      </c>
      <c r="H17" s="2">
        <v>45410</v>
      </c>
      <c r="I17" s="4">
        <v>300.58999999999997</v>
      </c>
    </row>
    <row r="18" spans="1:9" ht="15" thickBot="1" x14ac:dyDescent="0.35">
      <c r="A18" s="3" t="s">
        <v>14</v>
      </c>
      <c r="B18" s="1" t="s">
        <v>40</v>
      </c>
      <c r="C18" s="1" t="s">
        <v>68</v>
      </c>
      <c r="D18" s="1" t="s">
        <v>71</v>
      </c>
      <c r="E18" s="1">
        <v>877.58</v>
      </c>
      <c r="F18" s="1">
        <v>10</v>
      </c>
      <c r="G18" s="1">
        <v>0.15</v>
      </c>
      <c r="H18" s="2">
        <v>45411</v>
      </c>
      <c r="I18" s="4">
        <v>298.38</v>
      </c>
    </row>
    <row r="19" spans="1:9" ht="15" thickBot="1" x14ac:dyDescent="0.35">
      <c r="A19" s="3" t="s">
        <v>7</v>
      </c>
      <c r="B19" s="1" t="s">
        <v>51</v>
      </c>
      <c r="C19" s="1" t="s">
        <v>66</v>
      </c>
      <c r="D19" s="1" t="s">
        <v>71</v>
      </c>
      <c r="E19" s="1">
        <v>636.70000000000005</v>
      </c>
      <c r="F19" s="1">
        <v>4</v>
      </c>
      <c r="G19" s="1">
        <v>0.2</v>
      </c>
      <c r="H19" s="2">
        <v>45411</v>
      </c>
      <c r="I19" s="4">
        <v>203.74</v>
      </c>
    </row>
    <row r="20" spans="1:9" ht="15" thickBot="1" x14ac:dyDescent="0.35">
      <c r="A20" s="3" t="s">
        <v>15</v>
      </c>
      <c r="B20" s="1" t="s">
        <v>52</v>
      </c>
      <c r="C20" s="1" t="s">
        <v>66</v>
      </c>
      <c r="D20" s="1" t="s">
        <v>71</v>
      </c>
      <c r="E20" s="1">
        <v>1506.14</v>
      </c>
      <c r="F20" s="1">
        <v>13</v>
      </c>
      <c r="G20" s="1">
        <v>0.2</v>
      </c>
      <c r="H20" s="2">
        <v>45412</v>
      </c>
      <c r="I20" s="4">
        <v>481.96</v>
      </c>
    </row>
    <row r="21" spans="1:9" ht="15" thickBot="1" x14ac:dyDescent="0.35">
      <c r="A21" s="3" t="s">
        <v>8</v>
      </c>
      <c r="B21" s="1" t="s">
        <v>45</v>
      </c>
      <c r="C21" s="1" t="s">
        <v>70</v>
      </c>
      <c r="D21" s="1" t="s">
        <v>73</v>
      </c>
      <c r="E21" s="1">
        <v>645.02</v>
      </c>
      <c r="F21" s="1">
        <v>4</v>
      </c>
      <c r="G21" s="1">
        <v>0</v>
      </c>
      <c r="H21" s="2">
        <v>45414</v>
      </c>
      <c r="I21" s="4">
        <v>161.26</v>
      </c>
    </row>
    <row r="22" spans="1:9" ht="15" thickBot="1" x14ac:dyDescent="0.35">
      <c r="A22" s="3" t="s">
        <v>6</v>
      </c>
      <c r="B22" s="1" t="s">
        <v>53</v>
      </c>
      <c r="C22" s="1" t="s">
        <v>68</v>
      </c>
      <c r="D22" s="1" t="s">
        <v>72</v>
      </c>
      <c r="E22" s="1">
        <v>953.3</v>
      </c>
      <c r="F22" s="1">
        <v>11</v>
      </c>
      <c r="G22" s="1">
        <v>0</v>
      </c>
      <c r="H22" s="2">
        <v>45415</v>
      </c>
      <c r="I22" s="4">
        <v>476.65</v>
      </c>
    </row>
    <row r="23" spans="1:9" ht="15" thickBot="1" x14ac:dyDescent="0.35">
      <c r="A23" s="3" t="s">
        <v>16</v>
      </c>
      <c r="B23" s="1" t="s">
        <v>40</v>
      </c>
      <c r="C23" s="1" t="s">
        <v>69</v>
      </c>
      <c r="D23" s="1" t="s">
        <v>73</v>
      </c>
      <c r="E23" s="1">
        <v>388.56</v>
      </c>
      <c r="F23" s="1">
        <v>14</v>
      </c>
      <c r="G23" s="1">
        <v>0.15</v>
      </c>
      <c r="H23" s="2">
        <v>45416</v>
      </c>
      <c r="I23" s="4">
        <v>82.57</v>
      </c>
    </row>
    <row r="24" spans="1:9" ht="15" thickBot="1" x14ac:dyDescent="0.35">
      <c r="A24" s="3" t="s">
        <v>1</v>
      </c>
      <c r="B24" s="1" t="s">
        <v>45</v>
      </c>
      <c r="C24" s="1" t="s">
        <v>66</v>
      </c>
      <c r="D24" s="1" t="s">
        <v>71</v>
      </c>
      <c r="E24" s="1">
        <v>743.17</v>
      </c>
      <c r="F24" s="1">
        <v>9</v>
      </c>
      <c r="G24" s="1">
        <v>0</v>
      </c>
      <c r="H24" s="2">
        <v>45416</v>
      </c>
      <c r="I24" s="4">
        <v>297.27</v>
      </c>
    </row>
    <row r="25" spans="1:9" ht="15" thickBot="1" x14ac:dyDescent="0.35">
      <c r="A25" s="3" t="s">
        <v>12</v>
      </c>
      <c r="B25" s="1" t="s">
        <v>45</v>
      </c>
      <c r="C25" s="1" t="s">
        <v>70</v>
      </c>
      <c r="D25" s="1" t="s">
        <v>73</v>
      </c>
      <c r="E25" s="1">
        <v>706.37</v>
      </c>
      <c r="F25" s="1">
        <v>6</v>
      </c>
      <c r="G25" s="1">
        <v>0</v>
      </c>
      <c r="H25" s="2">
        <v>45416</v>
      </c>
      <c r="I25" s="4">
        <v>176.59</v>
      </c>
    </row>
    <row r="26" spans="1:9" ht="15" thickBot="1" x14ac:dyDescent="0.35">
      <c r="A26" s="3" t="s">
        <v>2</v>
      </c>
      <c r="B26" s="1" t="s">
        <v>45</v>
      </c>
      <c r="C26" s="1" t="s">
        <v>70</v>
      </c>
      <c r="D26" s="1" t="s">
        <v>75</v>
      </c>
      <c r="E26" s="1">
        <v>925.31</v>
      </c>
      <c r="F26" s="1">
        <v>8</v>
      </c>
      <c r="G26" s="1">
        <v>0.1</v>
      </c>
      <c r="H26" s="2">
        <v>45418</v>
      </c>
      <c r="I26" s="4">
        <v>374.75</v>
      </c>
    </row>
    <row r="27" spans="1:9" ht="15" thickBot="1" x14ac:dyDescent="0.35">
      <c r="A27" s="3" t="s">
        <v>10</v>
      </c>
      <c r="B27" s="1" t="s">
        <v>54</v>
      </c>
      <c r="C27" s="1" t="s">
        <v>68</v>
      </c>
      <c r="D27" s="1" t="s">
        <v>73</v>
      </c>
      <c r="E27" s="1">
        <v>1173.1199999999999</v>
      </c>
      <c r="F27" s="1">
        <v>18</v>
      </c>
      <c r="G27" s="1">
        <v>0</v>
      </c>
      <c r="H27" s="2">
        <v>45418</v>
      </c>
      <c r="I27" s="4">
        <v>293.27999999999997</v>
      </c>
    </row>
    <row r="28" spans="1:9" ht="15" thickBot="1" x14ac:dyDescent="0.35">
      <c r="A28" s="3" t="s">
        <v>5</v>
      </c>
      <c r="B28" s="1" t="s">
        <v>55</v>
      </c>
      <c r="C28" s="1" t="s">
        <v>69</v>
      </c>
      <c r="D28" s="1" t="s">
        <v>74</v>
      </c>
      <c r="E28" s="1">
        <v>675.54</v>
      </c>
      <c r="F28" s="1">
        <v>17</v>
      </c>
      <c r="G28" s="1">
        <v>0</v>
      </c>
      <c r="H28" s="2">
        <v>45420</v>
      </c>
      <c r="I28" s="4">
        <v>236.44</v>
      </c>
    </row>
    <row r="29" spans="1:9" ht="15" thickBot="1" x14ac:dyDescent="0.35">
      <c r="A29" s="3" t="s">
        <v>6</v>
      </c>
      <c r="B29" s="1" t="s">
        <v>40</v>
      </c>
      <c r="C29" s="1" t="s">
        <v>70</v>
      </c>
      <c r="D29" s="1" t="s">
        <v>71</v>
      </c>
      <c r="E29" s="1">
        <v>939.09</v>
      </c>
      <c r="F29" s="1">
        <v>2</v>
      </c>
      <c r="G29" s="1">
        <v>0.05</v>
      </c>
      <c r="H29" s="2">
        <v>45422</v>
      </c>
      <c r="I29" s="4">
        <v>356.85</v>
      </c>
    </row>
    <row r="30" spans="1:9" ht="15" thickBot="1" x14ac:dyDescent="0.35">
      <c r="A30" s="3" t="s">
        <v>17</v>
      </c>
      <c r="B30" s="1" t="s">
        <v>56</v>
      </c>
      <c r="C30" s="1" t="s">
        <v>67</v>
      </c>
      <c r="D30" s="1" t="s">
        <v>75</v>
      </c>
      <c r="E30" s="1">
        <v>983.34</v>
      </c>
      <c r="F30" s="1">
        <v>19</v>
      </c>
      <c r="G30" s="1">
        <v>0.1</v>
      </c>
      <c r="H30" s="2">
        <v>45426</v>
      </c>
      <c r="I30" s="4">
        <v>398.25</v>
      </c>
    </row>
    <row r="31" spans="1:9" ht="15" thickBot="1" x14ac:dyDescent="0.35">
      <c r="A31" s="3" t="s">
        <v>17</v>
      </c>
      <c r="B31" s="1" t="s">
        <v>42</v>
      </c>
      <c r="C31" s="1" t="s">
        <v>68</v>
      </c>
      <c r="D31" s="1" t="s">
        <v>73</v>
      </c>
      <c r="E31" s="1">
        <v>801.21</v>
      </c>
      <c r="F31" s="1">
        <v>3</v>
      </c>
      <c r="G31" s="1">
        <v>0.2</v>
      </c>
      <c r="H31" s="2">
        <v>45426</v>
      </c>
      <c r="I31" s="4">
        <v>160.24</v>
      </c>
    </row>
    <row r="32" spans="1:9" ht="15" thickBot="1" x14ac:dyDescent="0.35">
      <c r="A32" s="3" t="s">
        <v>18</v>
      </c>
      <c r="B32" s="1" t="s">
        <v>57</v>
      </c>
      <c r="C32" s="1" t="s">
        <v>69</v>
      </c>
      <c r="D32" s="1" t="s">
        <v>73</v>
      </c>
      <c r="E32" s="1">
        <v>1450.71</v>
      </c>
      <c r="F32" s="1">
        <v>5</v>
      </c>
      <c r="G32" s="1">
        <v>0.1</v>
      </c>
      <c r="H32" s="2">
        <v>45427</v>
      </c>
      <c r="I32" s="4">
        <v>326.41000000000003</v>
      </c>
    </row>
    <row r="33" spans="1:9" ht="15" thickBot="1" x14ac:dyDescent="0.35">
      <c r="A33" s="3" t="s">
        <v>16</v>
      </c>
      <c r="B33" s="1" t="s">
        <v>58</v>
      </c>
      <c r="C33" s="1" t="s">
        <v>70</v>
      </c>
      <c r="D33" s="1" t="s">
        <v>71</v>
      </c>
      <c r="E33" s="1">
        <v>1023.21</v>
      </c>
      <c r="F33" s="1">
        <v>18</v>
      </c>
      <c r="G33" s="1">
        <v>0.05</v>
      </c>
      <c r="H33" s="2">
        <v>45428</v>
      </c>
      <c r="I33" s="4">
        <v>388.82</v>
      </c>
    </row>
    <row r="34" spans="1:9" ht="15" thickBot="1" x14ac:dyDescent="0.35">
      <c r="A34" s="3" t="s">
        <v>7</v>
      </c>
      <c r="B34" s="1" t="s">
        <v>52</v>
      </c>
      <c r="C34" s="1" t="s">
        <v>66</v>
      </c>
      <c r="D34" s="1" t="s">
        <v>74</v>
      </c>
      <c r="E34" s="1">
        <v>853.72</v>
      </c>
      <c r="F34" s="1">
        <v>5</v>
      </c>
      <c r="G34" s="1">
        <v>0.15</v>
      </c>
      <c r="H34" s="2">
        <v>45428</v>
      </c>
      <c r="I34" s="4">
        <v>253.98</v>
      </c>
    </row>
    <row r="35" spans="1:9" ht="15" thickBot="1" x14ac:dyDescent="0.35">
      <c r="A35" s="3" t="s">
        <v>19</v>
      </c>
      <c r="B35" s="1" t="s">
        <v>50</v>
      </c>
      <c r="C35" s="1" t="s">
        <v>68</v>
      </c>
      <c r="D35" s="1" t="s">
        <v>73</v>
      </c>
      <c r="E35" s="1">
        <v>967.89</v>
      </c>
      <c r="F35" s="1">
        <v>10</v>
      </c>
      <c r="G35" s="1">
        <v>0.1</v>
      </c>
      <c r="H35" s="2">
        <v>45429</v>
      </c>
      <c r="I35" s="4">
        <v>217.78</v>
      </c>
    </row>
    <row r="36" spans="1:9" ht="15" thickBot="1" x14ac:dyDescent="0.35">
      <c r="A36" s="3" t="s">
        <v>20</v>
      </c>
      <c r="B36" s="1" t="s">
        <v>56</v>
      </c>
      <c r="C36" s="1" t="s">
        <v>69</v>
      </c>
      <c r="D36" s="1" t="s">
        <v>75</v>
      </c>
      <c r="E36" s="1">
        <v>1200.9000000000001</v>
      </c>
      <c r="F36" s="1">
        <v>14</v>
      </c>
      <c r="G36" s="1">
        <v>0.05</v>
      </c>
      <c r="H36" s="2">
        <v>45429</v>
      </c>
      <c r="I36" s="4">
        <v>513.38</v>
      </c>
    </row>
    <row r="37" spans="1:9" ht="15" thickBot="1" x14ac:dyDescent="0.35">
      <c r="A37" s="3" t="s">
        <v>2</v>
      </c>
      <c r="B37" s="1" t="s">
        <v>43</v>
      </c>
      <c r="C37" s="1" t="s">
        <v>66</v>
      </c>
      <c r="D37" s="1" t="s">
        <v>71</v>
      </c>
      <c r="E37" s="1">
        <v>472.38</v>
      </c>
      <c r="F37" s="1">
        <v>12</v>
      </c>
      <c r="G37" s="1">
        <v>0.2</v>
      </c>
      <c r="H37" s="2">
        <v>45429</v>
      </c>
      <c r="I37" s="4">
        <v>151.16</v>
      </c>
    </row>
    <row r="38" spans="1:9" ht="15" thickBot="1" x14ac:dyDescent="0.35">
      <c r="A38" s="3" t="s">
        <v>1</v>
      </c>
      <c r="B38" s="1" t="s">
        <v>57</v>
      </c>
      <c r="C38" s="1" t="s">
        <v>67</v>
      </c>
      <c r="D38" s="1" t="s">
        <v>75</v>
      </c>
      <c r="E38" s="1">
        <v>840.92</v>
      </c>
      <c r="F38" s="1">
        <v>9</v>
      </c>
      <c r="G38" s="1">
        <v>0.05</v>
      </c>
      <c r="H38" s="2">
        <v>45429</v>
      </c>
      <c r="I38" s="4">
        <v>359.49</v>
      </c>
    </row>
    <row r="39" spans="1:9" ht="15" thickBot="1" x14ac:dyDescent="0.35">
      <c r="A39" s="3" t="s">
        <v>17</v>
      </c>
      <c r="B39" s="1" t="s">
        <v>53</v>
      </c>
      <c r="C39" s="1" t="s">
        <v>70</v>
      </c>
      <c r="D39" s="1" t="s">
        <v>74</v>
      </c>
      <c r="E39" s="1">
        <v>1410.06</v>
      </c>
      <c r="F39" s="1">
        <v>11</v>
      </c>
      <c r="G39" s="1">
        <v>0.05</v>
      </c>
      <c r="H39" s="2">
        <v>45434</v>
      </c>
      <c r="I39" s="4">
        <v>468.84</v>
      </c>
    </row>
    <row r="40" spans="1:9" ht="15" thickBot="1" x14ac:dyDescent="0.35">
      <c r="A40" s="3" t="s">
        <v>14</v>
      </c>
      <c r="B40" s="1" t="s">
        <v>59</v>
      </c>
      <c r="C40" s="1" t="s">
        <v>70</v>
      </c>
      <c r="D40" s="1" t="s">
        <v>74</v>
      </c>
      <c r="E40" s="1">
        <v>773.09</v>
      </c>
      <c r="F40" s="1">
        <v>13</v>
      </c>
      <c r="G40" s="1">
        <v>0.15</v>
      </c>
      <c r="H40" s="2">
        <v>45434</v>
      </c>
      <c r="I40" s="4">
        <v>229.99</v>
      </c>
    </row>
    <row r="41" spans="1:9" ht="15" thickBot="1" x14ac:dyDescent="0.35">
      <c r="A41" s="3" t="s">
        <v>21</v>
      </c>
      <c r="B41" s="1" t="s">
        <v>60</v>
      </c>
      <c r="C41" s="1" t="s">
        <v>67</v>
      </c>
      <c r="D41" s="1" t="s">
        <v>71</v>
      </c>
      <c r="E41" s="1">
        <v>580.42999999999995</v>
      </c>
      <c r="F41" s="1">
        <v>19</v>
      </c>
      <c r="G41" s="1">
        <v>0.15</v>
      </c>
      <c r="H41" s="2">
        <v>45435</v>
      </c>
      <c r="I41" s="4">
        <v>197.35</v>
      </c>
    </row>
    <row r="42" spans="1:9" ht="15" thickBot="1" x14ac:dyDescent="0.35">
      <c r="A42" s="3" t="s">
        <v>4</v>
      </c>
      <c r="B42" s="1" t="s">
        <v>49</v>
      </c>
      <c r="C42" s="1" t="s">
        <v>68</v>
      </c>
      <c r="D42" s="1" t="s">
        <v>71</v>
      </c>
      <c r="E42" s="1">
        <v>1151.21</v>
      </c>
      <c r="F42" s="1">
        <v>15</v>
      </c>
      <c r="G42" s="1">
        <v>0.1</v>
      </c>
      <c r="H42" s="2">
        <v>45445</v>
      </c>
      <c r="I42" s="4">
        <v>414.44</v>
      </c>
    </row>
    <row r="43" spans="1:9" ht="15" thickBot="1" x14ac:dyDescent="0.35">
      <c r="A43" s="3" t="s">
        <v>17</v>
      </c>
      <c r="B43" s="1" t="s">
        <v>42</v>
      </c>
      <c r="C43" s="1" t="s">
        <v>70</v>
      </c>
      <c r="D43" s="1" t="s">
        <v>75</v>
      </c>
      <c r="E43" s="1">
        <v>1025.98</v>
      </c>
      <c r="F43" s="1">
        <v>5</v>
      </c>
      <c r="G43" s="1">
        <v>0.2</v>
      </c>
      <c r="H43" s="2">
        <v>45447</v>
      </c>
      <c r="I43" s="4">
        <v>369.35</v>
      </c>
    </row>
    <row r="44" spans="1:9" ht="15" thickBot="1" x14ac:dyDescent="0.35">
      <c r="A44" s="3" t="s">
        <v>12</v>
      </c>
      <c r="B44" s="1" t="s">
        <v>58</v>
      </c>
      <c r="C44" s="1" t="s">
        <v>67</v>
      </c>
      <c r="D44" s="1" t="s">
        <v>75</v>
      </c>
      <c r="E44" s="1">
        <v>556.41999999999996</v>
      </c>
      <c r="F44" s="1">
        <v>11</v>
      </c>
      <c r="G44" s="1">
        <v>0.15</v>
      </c>
      <c r="H44" s="2">
        <v>45447</v>
      </c>
      <c r="I44" s="4">
        <v>212.83</v>
      </c>
    </row>
    <row r="45" spans="1:9" ht="15" thickBot="1" x14ac:dyDescent="0.35">
      <c r="A45" s="3" t="s">
        <v>19</v>
      </c>
      <c r="B45" s="1" t="s">
        <v>42</v>
      </c>
      <c r="C45" s="1" t="s">
        <v>70</v>
      </c>
      <c r="D45" s="1" t="s">
        <v>71</v>
      </c>
      <c r="E45" s="1">
        <v>840.85</v>
      </c>
      <c r="F45" s="1">
        <v>19</v>
      </c>
      <c r="G45" s="1">
        <v>0.1</v>
      </c>
      <c r="H45" s="2">
        <v>45448</v>
      </c>
      <c r="I45" s="4">
        <v>302.70999999999998</v>
      </c>
    </row>
    <row r="46" spans="1:9" ht="15" thickBot="1" x14ac:dyDescent="0.35">
      <c r="A46" s="3" t="s">
        <v>8</v>
      </c>
      <c r="B46" s="1" t="s">
        <v>60</v>
      </c>
      <c r="C46" s="1" t="s">
        <v>69</v>
      </c>
      <c r="D46" s="1" t="s">
        <v>74</v>
      </c>
      <c r="E46" s="1">
        <v>1227.25</v>
      </c>
      <c r="F46" s="1">
        <v>12</v>
      </c>
      <c r="G46" s="1">
        <v>0.15</v>
      </c>
      <c r="H46" s="2">
        <v>45448</v>
      </c>
      <c r="I46" s="4">
        <v>365.11</v>
      </c>
    </row>
    <row r="47" spans="1:9" ht="15" thickBot="1" x14ac:dyDescent="0.35">
      <c r="A47" s="3" t="s">
        <v>3</v>
      </c>
      <c r="B47" s="1" t="s">
        <v>61</v>
      </c>
      <c r="C47" s="1" t="s">
        <v>70</v>
      </c>
      <c r="D47" s="1" t="s">
        <v>73</v>
      </c>
      <c r="E47" s="1">
        <v>856.7</v>
      </c>
      <c r="F47" s="1">
        <v>2</v>
      </c>
      <c r="G47" s="1">
        <v>0</v>
      </c>
      <c r="H47" s="2">
        <v>45449</v>
      </c>
      <c r="I47" s="4">
        <v>214.18</v>
      </c>
    </row>
    <row r="48" spans="1:9" ht="15" thickBot="1" x14ac:dyDescent="0.35">
      <c r="A48" s="3" t="s">
        <v>18</v>
      </c>
      <c r="B48" s="1" t="s">
        <v>58</v>
      </c>
      <c r="C48" s="1" t="s">
        <v>70</v>
      </c>
      <c r="D48" s="1" t="s">
        <v>75</v>
      </c>
      <c r="E48" s="1">
        <v>1225.42</v>
      </c>
      <c r="F48" s="1">
        <v>8</v>
      </c>
      <c r="G48" s="1">
        <v>0.15</v>
      </c>
      <c r="H48" s="2">
        <v>45449</v>
      </c>
      <c r="I48" s="4">
        <v>468.72</v>
      </c>
    </row>
    <row r="49" spans="1:9" ht="15" thickBot="1" x14ac:dyDescent="0.35">
      <c r="A49" s="3" t="s">
        <v>22</v>
      </c>
      <c r="B49" s="1" t="s">
        <v>45</v>
      </c>
      <c r="C49" s="1" t="s">
        <v>69</v>
      </c>
      <c r="D49" s="1" t="s">
        <v>75</v>
      </c>
      <c r="E49" s="1">
        <v>1001.57</v>
      </c>
      <c r="F49" s="1">
        <v>12</v>
      </c>
      <c r="G49" s="1">
        <v>0</v>
      </c>
      <c r="H49" s="2">
        <v>45450</v>
      </c>
      <c r="I49" s="4">
        <v>450.71</v>
      </c>
    </row>
    <row r="50" spans="1:9" ht="15" thickBot="1" x14ac:dyDescent="0.35">
      <c r="A50" s="3" t="s">
        <v>19</v>
      </c>
      <c r="B50" s="1" t="s">
        <v>43</v>
      </c>
      <c r="C50" s="1" t="s">
        <v>67</v>
      </c>
      <c r="D50" s="1" t="s">
        <v>74</v>
      </c>
      <c r="E50" s="1">
        <v>1186.8499999999999</v>
      </c>
      <c r="F50" s="1">
        <v>19</v>
      </c>
      <c r="G50" s="1">
        <v>0.2</v>
      </c>
      <c r="H50" s="2">
        <v>45451</v>
      </c>
      <c r="I50" s="4">
        <v>332.32</v>
      </c>
    </row>
    <row r="51" spans="1:9" ht="15" thickBot="1" x14ac:dyDescent="0.35">
      <c r="A51" s="3" t="s">
        <v>14</v>
      </c>
      <c r="B51" s="1" t="s">
        <v>55</v>
      </c>
      <c r="C51" s="1" t="s">
        <v>68</v>
      </c>
      <c r="D51" s="1" t="s">
        <v>73</v>
      </c>
      <c r="E51" s="1">
        <v>775.45</v>
      </c>
      <c r="F51" s="1">
        <v>6</v>
      </c>
      <c r="G51" s="1">
        <v>0.1</v>
      </c>
      <c r="H51" s="2">
        <v>45457</v>
      </c>
      <c r="I51" s="4">
        <v>174.48</v>
      </c>
    </row>
    <row r="52" spans="1:9" ht="15" thickBot="1" x14ac:dyDescent="0.35">
      <c r="A52" s="3" t="s">
        <v>6</v>
      </c>
      <c r="B52" s="1" t="s">
        <v>46</v>
      </c>
      <c r="C52" s="1" t="s">
        <v>68</v>
      </c>
      <c r="D52" s="1" t="s">
        <v>73</v>
      </c>
      <c r="E52" s="1">
        <v>1021.47</v>
      </c>
      <c r="F52" s="1">
        <v>6</v>
      </c>
      <c r="G52" s="1">
        <v>0.05</v>
      </c>
      <c r="H52" s="2">
        <v>45461</v>
      </c>
      <c r="I52" s="4">
        <v>242.6</v>
      </c>
    </row>
    <row r="53" spans="1:9" ht="15" thickBot="1" x14ac:dyDescent="0.35">
      <c r="A53" s="3" t="s">
        <v>20</v>
      </c>
      <c r="B53" s="1" t="s">
        <v>42</v>
      </c>
      <c r="C53" s="1" t="s">
        <v>68</v>
      </c>
      <c r="D53" s="1" t="s">
        <v>72</v>
      </c>
      <c r="E53" s="1">
        <v>1226.6199999999999</v>
      </c>
      <c r="F53" s="1">
        <v>7</v>
      </c>
      <c r="G53" s="1">
        <v>0.1</v>
      </c>
      <c r="H53" s="2">
        <v>45463</v>
      </c>
      <c r="I53" s="4">
        <v>551.98</v>
      </c>
    </row>
    <row r="54" spans="1:9" ht="15" thickBot="1" x14ac:dyDescent="0.35">
      <c r="A54" s="3" t="s">
        <v>5</v>
      </c>
      <c r="B54" s="1" t="s">
        <v>62</v>
      </c>
      <c r="C54" s="1" t="s">
        <v>68</v>
      </c>
      <c r="D54" s="1" t="s">
        <v>74</v>
      </c>
      <c r="E54" s="1">
        <v>1086.93</v>
      </c>
      <c r="F54" s="1">
        <v>2</v>
      </c>
      <c r="G54" s="1">
        <v>0</v>
      </c>
      <c r="H54" s="2">
        <v>45464</v>
      </c>
      <c r="I54" s="4">
        <v>380.43</v>
      </c>
    </row>
    <row r="55" spans="1:9" ht="15" thickBot="1" x14ac:dyDescent="0.35">
      <c r="A55" s="3" t="s">
        <v>23</v>
      </c>
      <c r="B55" s="1" t="s">
        <v>53</v>
      </c>
      <c r="C55" s="1" t="s">
        <v>66</v>
      </c>
      <c r="D55" s="1" t="s">
        <v>71</v>
      </c>
      <c r="E55" s="1">
        <v>942.9</v>
      </c>
      <c r="F55" s="1">
        <v>18</v>
      </c>
      <c r="G55" s="1">
        <v>0.1</v>
      </c>
      <c r="H55" s="2">
        <v>45466</v>
      </c>
      <c r="I55" s="4">
        <v>339.44</v>
      </c>
    </row>
    <row r="56" spans="1:9" ht="15" thickBot="1" x14ac:dyDescent="0.35">
      <c r="A56" s="3" t="s">
        <v>9</v>
      </c>
      <c r="B56" s="1" t="s">
        <v>48</v>
      </c>
      <c r="C56" s="1" t="s">
        <v>69</v>
      </c>
      <c r="D56" s="1" t="s">
        <v>73</v>
      </c>
      <c r="E56" s="1">
        <v>818.8</v>
      </c>
      <c r="F56" s="1">
        <v>15</v>
      </c>
      <c r="G56" s="1">
        <v>0.15</v>
      </c>
      <c r="H56" s="2">
        <v>45468</v>
      </c>
      <c r="I56" s="4">
        <v>173.99</v>
      </c>
    </row>
    <row r="57" spans="1:9" ht="15" thickBot="1" x14ac:dyDescent="0.35">
      <c r="A57" s="3" t="s">
        <v>4</v>
      </c>
      <c r="B57" s="1" t="s">
        <v>40</v>
      </c>
      <c r="C57" s="1" t="s">
        <v>68</v>
      </c>
      <c r="D57" s="1" t="s">
        <v>74</v>
      </c>
      <c r="E57" s="1">
        <v>919.04</v>
      </c>
      <c r="F57" s="1">
        <v>10</v>
      </c>
      <c r="G57" s="1">
        <v>0.2</v>
      </c>
      <c r="H57" s="2">
        <v>45468</v>
      </c>
      <c r="I57" s="4">
        <v>257.33</v>
      </c>
    </row>
    <row r="58" spans="1:9" ht="15" thickBot="1" x14ac:dyDescent="0.35">
      <c r="A58" s="3" t="s">
        <v>5</v>
      </c>
      <c r="B58" s="1" t="s">
        <v>63</v>
      </c>
      <c r="C58" s="1" t="s">
        <v>70</v>
      </c>
      <c r="D58" s="1" t="s">
        <v>71</v>
      </c>
      <c r="E58" s="1">
        <v>973.26</v>
      </c>
      <c r="F58" s="1">
        <v>11</v>
      </c>
      <c r="G58" s="1">
        <v>0</v>
      </c>
      <c r="H58" s="2">
        <v>45470</v>
      </c>
      <c r="I58" s="4">
        <v>389.3</v>
      </c>
    </row>
    <row r="59" spans="1:9" ht="15" thickBot="1" x14ac:dyDescent="0.35">
      <c r="A59" s="3" t="s">
        <v>13</v>
      </c>
      <c r="B59" s="1" t="s">
        <v>62</v>
      </c>
      <c r="C59" s="1" t="s">
        <v>69</v>
      </c>
      <c r="D59" s="1" t="s">
        <v>73</v>
      </c>
      <c r="E59" s="1">
        <v>741.61</v>
      </c>
      <c r="F59" s="1">
        <v>1</v>
      </c>
      <c r="G59" s="1">
        <v>0.2</v>
      </c>
      <c r="H59" s="2">
        <v>45471</v>
      </c>
      <c r="I59" s="4">
        <v>148.32</v>
      </c>
    </row>
    <row r="60" spans="1:9" ht="15" thickBot="1" x14ac:dyDescent="0.35">
      <c r="A60" s="3" t="s">
        <v>24</v>
      </c>
      <c r="B60" s="1" t="s">
        <v>48</v>
      </c>
      <c r="C60" s="1" t="s">
        <v>69</v>
      </c>
      <c r="D60" s="1" t="s">
        <v>71</v>
      </c>
      <c r="E60" s="1">
        <v>1248.82</v>
      </c>
      <c r="F60" s="1">
        <v>2</v>
      </c>
      <c r="G60" s="1">
        <v>0.1</v>
      </c>
      <c r="H60" s="2">
        <v>45473</v>
      </c>
      <c r="I60" s="4">
        <v>449.58</v>
      </c>
    </row>
    <row r="61" spans="1:9" ht="15" thickBot="1" x14ac:dyDescent="0.35">
      <c r="A61" s="3" t="s">
        <v>2</v>
      </c>
      <c r="B61" s="1" t="s">
        <v>59</v>
      </c>
      <c r="C61" s="1" t="s">
        <v>66</v>
      </c>
      <c r="D61" s="1" t="s">
        <v>72</v>
      </c>
      <c r="E61" s="1">
        <v>1360.36</v>
      </c>
      <c r="F61" s="1">
        <v>17</v>
      </c>
      <c r="G61" s="1">
        <v>0</v>
      </c>
      <c r="H61" s="2">
        <v>45473</v>
      </c>
      <c r="I61" s="4">
        <v>680.18</v>
      </c>
    </row>
    <row r="62" spans="1:9" ht="15" thickBot="1" x14ac:dyDescent="0.35">
      <c r="A62" s="3" t="s">
        <v>19</v>
      </c>
      <c r="B62" s="1" t="s">
        <v>45</v>
      </c>
      <c r="C62" s="1" t="s">
        <v>67</v>
      </c>
      <c r="D62" s="1" t="s">
        <v>71</v>
      </c>
      <c r="E62" s="1">
        <v>1383.3</v>
      </c>
      <c r="F62" s="1">
        <v>8</v>
      </c>
      <c r="G62" s="1">
        <v>0.1</v>
      </c>
      <c r="H62" s="2">
        <v>45478</v>
      </c>
      <c r="I62" s="4">
        <v>497.99</v>
      </c>
    </row>
    <row r="63" spans="1:9" ht="15" thickBot="1" x14ac:dyDescent="0.35">
      <c r="A63" s="3" t="s">
        <v>10</v>
      </c>
      <c r="B63" s="1" t="s">
        <v>57</v>
      </c>
      <c r="C63" s="1" t="s">
        <v>70</v>
      </c>
      <c r="D63" s="1" t="s">
        <v>75</v>
      </c>
      <c r="E63" s="1">
        <v>488.99</v>
      </c>
      <c r="F63" s="1">
        <v>9</v>
      </c>
      <c r="G63" s="1">
        <v>0</v>
      </c>
      <c r="H63" s="2">
        <v>45479</v>
      </c>
      <c r="I63" s="4">
        <v>220.05</v>
      </c>
    </row>
    <row r="64" spans="1:9" ht="15" thickBot="1" x14ac:dyDescent="0.35">
      <c r="A64" s="3" t="s">
        <v>8</v>
      </c>
      <c r="B64" s="1" t="s">
        <v>45</v>
      </c>
      <c r="C64" s="1" t="s">
        <v>67</v>
      </c>
      <c r="D64" s="1" t="s">
        <v>74</v>
      </c>
      <c r="E64" s="1">
        <v>933.71</v>
      </c>
      <c r="F64" s="1">
        <v>17</v>
      </c>
      <c r="G64" s="1">
        <v>0.1</v>
      </c>
      <c r="H64" s="2">
        <v>45481</v>
      </c>
      <c r="I64" s="4">
        <v>294.12</v>
      </c>
    </row>
    <row r="65" spans="1:9" ht="15" thickBot="1" x14ac:dyDescent="0.35">
      <c r="A65" s="3" t="s">
        <v>24</v>
      </c>
      <c r="B65" s="1" t="s">
        <v>39</v>
      </c>
      <c r="C65" s="1" t="s">
        <v>66</v>
      </c>
      <c r="D65" s="1" t="s">
        <v>73</v>
      </c>
      <c r="E65" s="1">
        <v>1005.53</v>
      </c>
      <c r="F65" s="1">
        <v>17</v>
      </c>
      <c r="G65" s="1">
        <v>0.2</v>
      </c>
      <c r="H65" s="2">
        <v>45481</v>
      </c>
      <c r="I65" s="4">
        <v>201.11</v>
      </c>
    </row>
    <row r="66" spans="1:9" ht="15" thickBot="1" x14ac:dyDescent="0.35">
      <c r="A66" s="3" t="s">
        <v>13</v>
      </c>
      <c r="B66" s="1" t="s">
        <v>60</v>
      </c>
      <c r="C66" s="1" t="s">
        <v>68</v>
      </c>
      <c r="D66" s="1" t="s">
        <v>73</v>
      </c>
      <c r="E66" s="1">
        <v>1100.0999999999999</v>
      </c>
      <c r="F66" s="1">
        <v>5</v>
      </c>
      <c r="G66" s="1">
        <v>0.05</v>
      </c>
      <c r="H66" s="2">
        <v>45482</v>
      </c>
      <c r="I66" s="4">
        <v>261.27</v>
      </c>
    </row>
    <row r="67" spans="1:9" ht="15" thickBot="1" x14ac:dyDescent="0.35">
      <c r="A67" s="3" t="s">
        <v>24</v>
      </c>
      <c r="B67" s="1" t="s">
        <v>42</v>
      </c>
      <c r="C67" s="1" t="s">
        <v>69</v>
      </c>
      <c r="D67" s="1" t="s">
        <v>74</v>
      </c>
      <c r="E67" s="1">
        <v>1034.7</v>
      </c>
      <c r="F67" s="1">
        <v>15</v>
      </c>
      <c r="G67" s="1">
        <v>0.15</v>
      </c>
      <c r="H67" s="2">
        <v>45487</v>
      </c>
      <c r="I67" s="4">
        <v>307.82</v>
      </c>
    </row>
    <row r="68" spans="1:9" ht="15" thickBot="1" x14ac:dyDescent="0.35">
      <c r="A68" s="3" t="s">
        <v>23</v>
      </c>
      <c r="B68" s="1" t="s">
        <v>45</v>
      </c>
      <c r="C68" s="1" t="s">
        <v>68</v>
      </c>
      <c r="D68" s="1" t="s">
        <v>71</v>
      </c>
      <c r="E68" s="1">
        <v>876.44</v>
      </c>
      <c r="F68" s="1">
        <v>12</v>
      </c>
      <c r="G68" s="1">
        <v>0.05</v>
      </c>
      <c r="H68" s="2">
        <v>45488</v>
      </c>
      <c r="I68" s="4">
        <v>333.05</v>
      </c>
    </row>
    <row r="69" spans="1:9" ht="15" thickBot="1" x14ac:dyDescent="0.35">
      <c r="A69" s="3" t="s">
        <v>25</v>
      </c>
      <c r="B69" s="1" t="s">
        <v>57</v>
      </c>
      <c r="C69" s="1" t="s">
        <v>66</v>
      </c>
      <c r="D69" s="1" t="s">
        <v>74</v>
      </c>
      <c r="E69" s="1">
        <v>1371.34</v>
      </c>
      <c r="F69" s="1">
        <v>5</v>
      </c>
      <c r="G69" s="1">
        <v>0.05</v>
      </c>
      <c r="H69" s="2">
        <v>45488</v>
      </c>
      <c r="I69" s="4">
        <v>455.97</v>
      </c>
    </row>
    <row r="70" spans="1:9" ht="15" thickBot="1" x14ac:dyDescent="0.35">
      <c r="A70" s="3" t="s">
        <v>19</v>
      </c>
      <c r="B70" s="1" t="s">
        <v>52</v>
      </c>
      <c r="C70" s="1" t="s">
        <v>69</v>
      </c>
      <c r="D70" s="1" t="s">
        <v>73</v>
      </c>
      <c r="E70" s="1">
        <v>1020.26</v>
      </c>
      <c r="F70" s="1">
        <v>11</v>
      </c>
      <c r="G70" s="1">
        <v>0.05</v>
      </c>
      <c r="H70" s="2">
        <v>45494</v>
      </c>
      <c r="I70" s="4">
        <v>242.31</v>
      </c>
    </row>
    <row r="71" spans="1:9" ht="15" thickBot="1" x14ac:dyDescent="0.35">
      <c r="A71" s="3" t="s">
        <v>14</v>
      </c>
      <c r="B71" s="1" t="s">
        <v>39</v>
      </c>
      <c r="C71" s="1" t="s">
        <v>70</v>
      </c>
      <c r="D71" s="1" t="s">
        <v>75</v>
      </c>
      <c r="E71" s="1">
        <v>804.81</v>
      </c>
      <c r="F71" s="1">
        <v>1</v>
      </c>
      <c r="G71" s="1">
        <v>0.05</v>
      </c>
      <c r="H71" s="2">
        <v>45502</v>
      </c>
      <c r="I71" s="4">
        <v>344.06</v>
      </c>
    </row>
    <row r="72" spans="1:9" ht="15" thickBot="1" x14ac:dyDescent="0.35">
      <c r="A72" s="3" t="s">
        <v>5</v>
      </c>
      <c r="B72" s="1" t="s">
        <v>57</v>
      </c>
      <c r="C72" s="1" t="s">
        <v>70</v>
      </c>
      <c r="D72" s="1" t="s">
        <v>73</v>
      </c>
      <c r="E72" s="1">
        <v>608.66</v>
      </c>
      <c r="F72" s="1">
        <v>1</v>
      </c>
      <c r="G72" s="1">
        <v>0.05</v>
      </c>
      <c r="H72" s="2">
        <v>45503</v>
      </c>
      <c r="I72" s="4">
        <v>144.56</v>
      </c>
    </row>
    <row r="73" spans="1:9" ht="15" thickBot="1" x14ac:dyDescent="0.35">
      <c r="A73" s="3" t="s">
        <v>25</v>
      </c>
      <c r="B73" s="1" t="s">
        <v>64</v>
      </c>
      <c r="C73" s="1" t="s">
        <v>68</v>
      </c>
      <c r="D73" s="1" t="s">
        <v>75</v>
      </c>
      <c r="E73" s="1">
        <v>981.2</v>
      </c>
      <c r="F73" s="1">
        <v>19</v>
      </c>
      <c r="G73" s="1">
        <v>0</v>
      </c>
      <c r="H73" s="2">
        <v>45504</v>
      </c>
      <c r="I73" s="4">
        <v>441.54</v>
      </c>
    </row>
    <row r="74" spans="1:9" ht="15" thickBot="1" x14ac:dyDescent="0.35">
      <c r="A74" s="3" t="s">
        <v>26</v>
      </c>
      <c r="B74" s="1" t="s">
        <v>57</v>
      </c>
      <c r="C74" s="1" t="s">
        <v>67</v>
      </c>
      <c r="D74" s="1" t="s">
        <v>73</v>
      </c>
      <c r="E74" s="1">
        <v>539.77</v>
      </c>
      <c r="F74" s="1">
        <v>10</v>
      </c>
      <c r="G74" s="1">
        <v>0.15</v>
      </c>
      <c r="H74" s="2">
        <v>45509</v>
      </c>
      <c r="I74" s="4">
        <v>114.7</v>
      </c>
    </row>
    <row r="75" spans="1:9" ht="15" thickBot="1" x14ac:dyDescent="0.35">
      <c r="A75" s="3" t="s">
        <v>2</v>
      </c>
      <c r="B75" s="1" t="s">
        <v>65</v>
      </c>
      <c r="C75" s="1" t="s">
        <v>68</v>
      </c>
      <c r="D75" s="1" t="s">
        <v>71</v>
      </c>
      <c r="E75" s="1">
        <v>804.45</v>
      </c>
      <c r="F75" s="1">
        <v>5</v>
      </c>
      <c r="G75" s="1">
        <v>0.2</v>
      </c>
      <c r="H75" s="2">
        <v>45509</v>
      </c>
      <c r="I75" s="4">
        <v>257.42</v>
      </c>
    </row>
    <row r="76" spans="1:9" ht="15" thickBot="1" x14ac:dyDescent="0.35">
      <c r="A76" s="3" t="s">
        <v>26</v>
      </c>
      <c r="B76" s="1" t="s">
        <v>48</v>
      </c>
      <c r="C76" s="1" t="s">
        <v>66</v>
      </c>
      <c r="D76" s="1" t="s">
        <v>73</v>
      </c>
      <c r="E76" s="1">
        <v>1526.6</v>
      </c>
      <c r="F76" s="1">
        <v>13</v>
      </c>
      <c r="G76" s="1">
        <v>0.2</v>
      </c>
      <c r="H76" s="2">
        <v>45512</v>
      </c>
      <c r="I76" s="4">
        <v>305.32</v>
      </c>
    </row>
    <row r="77" spans="1:9" ht="15" thickBot="1" x14ac:dyDescent="0.35">
      <c r="A77" s="3" t="s">
        <v>2</v>
      </c>
      <c r="B77" s="1" t="s">
        <v>44</v>
      </c>
      <c r="C77" s="1" t="s">
        <v>66</v>
      </c>
      <c r="D77" s="1" t="s">
        <v>73</v>
      </c>
      <c r="E77" s="1">
        <v>1215.26</v>
      </c>
      <c r="F77" s="1">
        <v>5</v>
      </c>
      <c r="G77" s="1">
        <v>0.15</v>
      </c>
      <c r="H77" s="2">
        <v>45513</v>
      </c>
      <c r="I77" s="4">
        <v>258.24</v>
      </c>
    </row>
    <row r="78" spans="1:9" ht="15" thickBot="1" x14ac:dyDescent="0.35">
      <c r="A78" s="3" t="s">
        <v>4</v>
      </c>
      <c r="B78" s="1" t="s">
        <v>56</v>
      </c>
      <c r="C78" s="1" t="s">
        <v>70</v>
      </c>
      <c r="D78" s="1" t="s">
        <v>74</v>
      </c>
      <c r="E78" s="1">
        <v>1261.3399999999999</v>
      </c>
      <c r="F78" s="1">
        <v>3</v>
      </c>
      <c r="G78" s="1">
        <v>0</v>
      </c>
      <c r="H78" s="2">
        <v>45519</v>
      </c>
      <c r="I78" s="4">
        <v>441.47</v>
      </c>
    </row>
    <row r="79" spans="1:9" ht="15" thickBot="1" x14ac:dyDescent="0.35">
      <c r="A79" s="3" t="s">
        <v>27</v>
      </c>
      <c r="B79" s="1" t="s">
        <v>51</v>
      </c>
      <c r="C79" s="1" t="s">
        <v>69</v>
      </c>
      <c r="D79" s="1" t="s">
        <v>74</v>
      </c>
      <c r="E79" s="1">
        <v>518.07000000000005</v>
      </c>
      <c r="F79" s="1">
        <v>7</v>
      </c>
      <c r="G79" s="1">
        <v>0.05</v>
      </c>
      <c r="H79" s="2">
        <v>45522</v>
      </c>
      <c r="I79" s="4">
        <v>172.26</v>
      </c>
    </row>
    <row r="80" spans="1:9" ht="15" thickBot="1" x14ac:dyDescent="0.35">
      <c r="A80" s="3" t="s">
        <v>8</v>
      </c>
      <c r="B80" s="1" t="s">
        <v>44</v>
      </c>
      <c r="C80" s="1" t="s">
        <v>66</v>
      </c>
      <c r="D80" s="1" t="s">
        <v>75</v>
      </c>
      <c r="E80" s="1">
        <v>1111.3399999999999</v>
      </c>
      <c r="F80" s="1">
        <v>1</v>
      </c>
      <c r="G80" s="1">
        <v>0</v>
      </c>
      <c r="H80" s="2">
        <v>45523</v>
      </c>
      <c r="I80" s="4">
        <v>500.1</v>
      </c>
    </row>
    <row r="81" spans="1:9" ht="15" thickBot="1" x14ac:dyDescent="0.35">
      <c r="A81" s="3" t="s">
        <v>5</v>
      </c>
      <c r="B81" s="1" t="s">
        <v>45</v>
      </c>
      <c r="C81" s="1" t="s">
        <v>67</v>
      </c>
      <c r="D81" s="1" t="s">
        <v>72</v>
      </c>
      <c r="E81" s="1">
        <v>1291.47</v>
      </c>
      <c r="F81" s="1">
        <v>18</v>
      </c>
      <c r="G81" s="1">
        <v>0.1</v>
      </c>
      <c r="H81" s="2">
        <v>45526</v>
      </c>
      <c r="I81" s="4">
        <v>581.16</v>
      </c>
    </row>
    <row r="82" spans="1:9" ht="15" thickBot="1" x14ac:dyDescent="0.35">
      <c r="A82" s="3" t="s">
        <v>6</v>
      </c>
      <c r="B82" s="1" t="s">
        <v>57</v>
      </c>
      <c r="C82" s="1" t="s">
        <v>69</v>
      </c>
      <c r="D82" s="1" t="s">
        <v>71</v>
      </c>
      <c r="E82" s="1">
        <v>679.71</v>
      </c>
      <c r="F82" s="1">
        <v>19</v>
      </c>
      <c r="G82" s="1">
        <v>0</v>
      </c>
      <c r="H82" s="2">
        <v>45534</v>
      </c>
      <c r="I82" s="4">
        <v>271.88</v>
      </c>
    </row>
    <row r="83" spans="1:9" ht="15" thickBot="1" x14ac:dyDescent="0.35">
      <c r="A83" s="3" t="s">
        <v>25</v>
      </c>
      <c r="B83" s="1" t="s">
        <v>46</v>
      </c>
      <c r="C83" s="1" t="s">
        <v>67</v>
      </c>
      <c r="D83" s="1" t="s">
        <v>74</v>
      </c>
      <c r="E83" s="1">
        <v>1143.69</v>
      </c>
      <c r="F83" s="1">
        <v>17</v>
      </c>
      <c r="G83" s="1">
        <v>0</v>
      </c>
      <c r="H83" s="2">
        <v>45534</v>
      </c>
      <c r="I83" s="4">
        <v>400.29</v>
      </c>
    </row>
    <row r="84" spans="1:9" ht="15" thickBot="1" x14ac:dyDescent="0.35">
      <c r="A84" s="3" t="s">
        <v>17</v>
      </c>
      <c r="B84" s="1" t="s">
        <v>54</v>
      </c>
      <c r="C84" s="1" t="s">
        <v>70</v>
      </c>
      <c r="D84" s="1" t="s">
        <v>73</v>
      </c>
      <c r="E84" s="1">
        <v>790.08</v>
      </c>
      <c r="F84" s="1">
        <v>7</v>
      </c>
      <c r="G84" s="1">
        <v>0.1</v>
      </c>
      <c r="H84" s="2">
        <v>45536</v>
      </c>
      <c r="I84" s="4">
        <v>177.77</v>
      </c>
    </row>
    <row r="85" spans="1:9" ht="15" thickBot="1" x14ac:dyDescent="0.35">
      <c r="A85" s="3" t="s">
        <v>4</v>
      </c>
      <c r="B85" s="1" t="s">
        <v>53</v>
      </c>
      <c r="C85" s="1" t="s">
        <v>70</v>
      </c>
      <c r="D85" s="1" t="s">
        <v>71</v>
      </c>
      <c r="E85" s="1">
        <v>1070.68</v>
      </c>
      <c r="F85" s="1">
        <v>7</v>
      </c>
      <c r="G85" s="1">
        <v>0.05</v>
      </c>
      <c r="H85" s="2">
        <v>45536</v>
      </c>
      <c r="I85" s="4">
        <v>406.86</v>
      </c>
    </row>
    <row r="86" spans="1:9" ht="15" thickBot="1" x14ac:dyDescent="0.35">
      <c r="A86" s="3" t="s">
        <v>20</v>
      </c>
      <c r="B86" s="1" t="s">
        <v>47</v>
      </c>
      <c r="C86" s="1" t="s">
        <v>66</v>
      </c>
      <c r="D86" s="1" t="s">
        <v>72</v>
      </c>
      <c r="E86" s="1">
        <v>1168.8900000000001</v>
      </c>
      <c r="F86" s="1">
        <v>4</v>
      </c>
      <c r="G86" s="1">
        <v>0.1</v>
      </c>
      <c r="H86" s="2">
        <v>45544</v>
      </c>
      <c r="I86" s="4">
        <v>526</v>
      </c>
    </row>
    <row r="87" spans="1:9" ht="15" thickBot="1" x14ac:dyDescent="0.35">
      <c r="A87" s="3" t="s">
        <v>24</v>
      </c>
      <c r="B87" s="1" t="s">
        <v>39</v>
      </c>
      <c r="C87" s="1" t="s">
        <v>68</v>
      </c>
      <c r="D87" s="1" t="s">
        <v>73</v>
      </c>
      <c r="E87" s="1">
        <v>1335.87</v>
      </c>
      <c r="F87" s="1">
        <v>17</v>
      </c>
      <c r="G87" s="1">
        <v>0</v>
      </c>
      <c r="H87" s="2">
        <v>45544</v>
      </c>
      <c r="I87" s="4">
        <v>333.97</v>
      </c>
    </row>
    <row r="88" spans="1:9" ht="15" thickBot="1" x14ac:dyDescent="0.35">
      <c r="A88" s="3" t="s">
        <v>12</v>
      </c>
      <c r="B88" s="1" t="s">
        <v>57</v>
      </c>
      <c r="C88" s="1" t="s">
        <v>67</v>
      </c>
      <c r="D88" s="1" t="s">
        <v>74</v>
      </c>
      <c r="E88" s="1">
        <v>873.7</v>
      </c>
      <c r="F88" s="1">
        <v>9</v>
      </c>
      <c r="G88" s="1">
        <v>0</v>
      </c>
      <c r="H88" s="2">
        <v>45546</v>
      </c>
      <c r="I88" s="4">
        <v>305.8</v>
      </c>
    </row>
    <row r="89" spans="1:9" ht="15" thickBot="1" x14ac:dyDescent="0.35">
      <c r="A89" s="3" t="s">
        <v>27</v>
      </c>
      <c r="B89" s="1" t="s">
        <v>62</v>
      </c>
      <c r="C89" s="1" t="s">
        <v>66</v>
      </c>
      <c r="D89" s="1" t="s">
        <v>75</v>
      </c>
      <c r="E89" s="1">
        <v>1443.98</v>
      </c>
      <c r="F89" s="1">
        <v>19</v>
      </c>
      <c r="G89" s="1">
        <v>0</v>
      </c>
      <c r="H89" s="2">
        <v>45547</v>
      </c>
      <c r="I89" s="4">
        <v>649.79</v>
      </c>
    </row>
    <row r="90" spans="1:9" ht="15" thickBot="1" x14ac:dyDescent="0.35">
      <c r="A90" s="3" t="s">
        <v>12</v>
      </c>
      <c r="B90" s="1" t="s">
        <v>42</v>
      </c>
      <c r="C90" s="1" t="s">
        <v>67</v>
      </c>
      <c r="D90" s="1" t="s">
        <v>75</v>
      </c>
      <c r="E90" s="1">
        <v>1154.33</v>
      </c>
      <c r="F90" s="1">
        <v>11</v>
      </c>
      <c r="G90" s="1">
        <v>0.15</v>
      </c>
      <c r="H90" s="2">
        <v>45549</v>
      </c>
      <c r="I90" s="4">
        <v>441.53</v>
      </c>
    </row>
    <row r="91" spans="1:9" ht="15" thickBot="1" x14ac:dyDescent="0.35">
      <c r="A91" s="3" t="s">
        <v>16</v>
      </c>
      <c r="B91" s="1" t="s">
        <v>54</v>
      </c>
      <c r="C91" s="1" t="s">
        <v>68</v>
      </c>
      <c r="D91" s="1" t="s">
        <v>71</v>
      </c>
      <c r="E91" s="1">
        <v>1264.49</v>
      </c>
      <c r="F91" s="1">
        <v>16</v>
      </c>
      <c r="G91" s="1">
        <v>0.05</v>
      </c>
      <c r="H91" s="2">
        <v>45549</v>
      </c>
      <c r="I91" s="4">
        <v>480.51</v>
      </c>
    </row>
    <row r="92" spans="1:9" ht="15" thickBot="1" x14ac:dyDescent="0.35">
      <c r="A92" s="3" t="s">
        <v>6</v>
      </c>
      <c r="B92" s="1" t="s">
        <v>63</v>
      </c>
      <c r="C92" s="1" t="s">
        <v>66</v>
      </c>
      <c r="D92" s="1" t="s">
        <v>74</v>
      </c>
      <c r="E92" s="1">
        <v>1101.55</v>
      </c>
      <c r="F92" s="1">
        <v>4</v>
      </c>
      <c r="G92" s="1">
        <v>0.1</v>
      </c>
      <c r="H92" s="2">
        <v>45551</v>
      </c>
      <c r="I92" s="4">
        <v>346.99</v>
      </c>
    </row>
    <row r="93" spans="1:9" ht="15" thickBot="1" x14ac:dyDescent="0.35">
      <c r="A93" s="3" t="s">
        <v>28</v>
      </c>
      <c r="B93" s="1" t="s">
        <v>40</v>
      </c>
      <c r="C93" s="1" t="s">
        <v>68</v>
      </c>
      <c r="D93" s="1" t="s">
        <v>74</v>
      </c>
      <c r="E93" s="1">
        <v>727.73</v>
      </c>
      <c r="F93" s="1">
        <v>1</v>
      </c>
      <c r="G93" s="1">
        <v>0.1</v>
      </c>
      <c r="H93" s="2">
        <v>45552</v>
      </c>
      <c r="I93" s="4">
        <v>229.23</v>
      </c>
    </row>
    <row r="94" spans="1:9" ht="15" thickBot="1" x14ac:dyDescent="0.35">
      <c r="A94" s="3" t="s">
        <v>29</v>
      </c>
      <c r="B94" s="1" t="s">
        <v>48</v>
      </c>
      <c r="C94" s="1" t="s">
        <v>67</v>
      </c>
      <c r="D94" s="1" t="s">
        <v>75</v>
      </c>
      <c r="E94" s="1">
        <v>875.41</v>
      </c>
      <c r="F94" s="1">
        <v>13</v>
      </c>
      <c r="G94" s="1">
        <v>0.15</v>
      </c>
      <c r="H94" s="2">
        <v>45552</v>
      </c>
      <c r="I94" s="4">
        <v>334.84</v>
      </c>
    </row>
    <row r="95" spans="1:9" ht="15" thickBot="1" x14ac:dyDescent="0.35">
      <c r="A95" s="3" t="s">
        <v>24</v>
      </c>
      <c r="B95" s="1" t="s">
        <v>42</v>
      </c>
      <c r="C95" s="1" t="s">
        <v>66</v>
      </c>
      <c r="D95" s="1" t="s">
        <v>73</v>
      </c>
      <c r="E95" s="1">
        <v>1158.94</v>
      </c>
      <c r="F95" s="1">
        <v>19</v>
      </c>
      <c r="G95" s="1">
        <v>0.2</v>
      </c>
      <c r="H95" s="2">
        <v>45553</v>
      </c>
      <c r="I95" s="4">
        <v>231.79</v>
      </c>
    </row>
    <row r="96" spans="1:9" ht="15" thickBot="1" x14ac:dyDescent="0.35">
      <c r="A96" s="3" t="s">
        <v>30</v>
      </c>
      <c r="B96" s="1" t="s">
        <v>52</v>
      </c>
      <c r="C96" s="1" t="s">
        <v>68</v>
      </c>
      <c r="D96" s="1" t="s">
        <v>71</v>
      </c>
      <c r="E96" s="1">
        <v>966.3</v>
      </c>
      <c r="F96" s="1">
        <v>2</v>
      </c>
      <c r="G96" s="1">
        <v>0.15</v>
      </c>
      <c r="H96" s="2">
        <v>45557</v>
      </c>
      <c r="I96" s="4">
        <v>328.54</v>
      </c>
    </row>
    <row r="97" spans="1:9" ht="15" thickBot="1" x14ac:dyDescent="0.35">
      <c r="A97" s="3" t="s">
        <v>25</v>
      </c>
      <c r="B97" s="1" t="s">
        <v>41</v>
      </c>
      <c r="C97" s="1" t="s">
        <v>68</v>
      </c>
      <c r="D97" s="1" t="s">
        <v>71</v>
      </c>
      <c r="E97" s="1">
        <v>917.48</v>
      </c>
      <c r="F97" s="1">
        <v>6</v>
      </c>
      <c r="G97" s="1">
        <v>0</v>
      </c>
      <c r="H97" s="2">
        <v>45558</v>
      </c>
      <c r="I97" s="4">
        <v>366.99</v>
      </c>
    </row>
    <row r="98" spans="1:9" ht="15" thickBot="1" x14ac:dyDescent="0.35">
      <c r="A98" s="3" t="s">
        <v>13</v>
      </c>
      <c r="B98" s="1" t="s">
        <v>60</v>
      </c>
      <c r="C98" s="1" t="s">
        <v>66</v>
      </c>
      <c r="D98" s="1" t="s">
        <v>74</v>
      </c>
      <c r="E98" s="1">
        <v>1172.97</v>
      </c>
      <c r="F98" s="1">
        <v>7</v>
      </c>
      <c r="G98" s="1">
        <v>0.15</v>
      </c>
      <c r="H98" s="2">
        <v>45559</v>
      </c>
      <c r="I98" s="4">
        <v>348.96</v>
      </c>
    </row>
    <row r="99" spans="1:9" ht="15" thickBot="1" x14ac:dyDescent="0.35">
      <c r="A99" s="3" t="s">
        <v>19</v>
      </c>
      <c r="B99" s="1" t="s">
        <v>42</v>
      </c>
      <c r="C99" s="1" t="s">
        <v>69</v>
      </c>
      <c r="D99" s="1" t="s">
        <v>72</v>
      </c>
      <c r="E99" s="1">
        <v>1205.82</v>
      </c>
      <c r="F99" s="1">
        <v>11</v>
      </c>
      <c r="G99" s="1">
        <v>0.1</v>
      </c>
      <c r="H99" s="2">
        <v>45559</v>
      </c>
      <c r="I99" s="4">
        <v>542.62</v>
      </c>
    </row>
    <row r="100" spans="1:9" ht="15" thickBot="1" x14ac:dyDescent="0.35">
      <c r="A100" s="3" t="s">
        <v>3</v>
      </c>
      <c r="B100" s="1" t="s">
        <v>62</v>
      </c>
      <c r="C100" s="1" t="s">
        <v>66</v>
      </c>
      <c r="D100" s="1" t="s">
        <v>75</v>
      </c>
      <c r="E100" s="1">
        <v>826.93</v>
      </c>
      <c r="F100" s="1">
        <v>10</v>
      </c>
      <c r="G100" s="1">
        <v>0.2</v>
      </c>
      <c r="H100" s="2">
        <v>45564</v>
      </c>
      <c r="I100" s="4">
        <v>297.69</v>
      </c>
    </row>
    <row r="101" spans="1:9" ht="15" thickBot="1" x14ac:dyDescent="0.35">
      <c r="A101" s="3" t="s">
        <v>24</v>
      </c>
      <c r="B101" s="1" t="s">
        <v>42</v>
      </c>
      <c r="C101" s="1" t="s">
        <v>70</v>
      </c>
      <c r="D101" s="1" t="s">
        <v>72</v>
      </c>
      <c r="E101" s="1">
        <v>902.19</v>
      </c>
      <c r="F101" s="1">
        <v>12</v>
      </c>
      <c r="G101" s="1">
        <v>0</v>
      </c>
      <c r="H101" s="2">
        <v>45564</v>
      </c>
      <c r="I101" s="4">
        <v>451.1</v>
      </c>
    </row>
    <row r="102" spans="1:9" ht="15" thickBot="1" x14ac:dyDescent="0.35">
      <c r="A102" s="3" t="s">
        <v>29</v>
      </c>
      <c r="B102" s="1" t="s">
        <v>48</v>
      </c>
      <c r="C102" s="1" t="s">
        <v>69</v>
      </c>
      <c r="D102" s="1" t="s">
        <v>71</v>
      </c>
      <c r="E102" s="1">
        <v>585.97</v>
      </c>
      <c r="F102" s="1">
        <v>17</v>
      </c>
      <c r="G102" s="1">
        <v>0.1</v>
      </c>
      <c r="H102" s="2">
        <v>45565</v>
      </c>
      <c r="I102" s="4">
        <v>210.95</v>
      </c>
    </row>
    <row r="103" spans="1:9" ht="15" thickBot="1" x14ac:dyDescent="0.35">
      <c r="A103" s="3" t="s">
        <v>21</v>
      </c>
      <c r="B103" s="1" t="s">
        <v>43</v>
      </c>
      <c r="C103" s="1" t="s">
        <v>69</v>
      </c>
      <c r="D103" s="1" t="s">
        <v>72</v>
      </c>
      <c r="E103" s="1">
        <v>990.19</v>
      </c>
      <c r="F103" s="1">
        <v>8</v>
      </c>
      <c r="G103" s="1">
        <v>0.1</v>
      </c>
      <c r="H103" s="2">
        <v>45565</v>
      </c>
      <c r="I103" s="4">
        <v>445.59</v>
      </c>
    </row>
    <row r="104" spans="1:9" ht="15" thickBot="1" x14ac:dyDescent="0.35">
      <c r="A104" s="3" t="s">
        <v>14</v>
      </c>
      <c r="B104" s="1" t="s">
        <v>58</v>
      </c>
      <c r="C104" s="1" t="s">
        <v>70</v>
      </c>
      <c r="D104" s="1" t="s">
        <v>73</v>
      </c>
      <c r="E104" s="1">
        <v>1014.09</v>
      </c>
      <c r="F104" s="1">
        <v>13</v>
      </c>
      <c r="G104" s="1">
        <v>0.2</v>
      </c>
      <c r="H104" s="2">
        <v>45567</v>
      </c>
      <c r="I104" s="4">
        <v>202.82</v>
      </c>
    </row>
    <row r="105" spans="1:9" ht="15" thickBot="1" x14ac:dyDescent="0.35">
      <c r="A105" s="3" t="s">
        <v>2</v>
      </c>
      <c r="B105" s="1" t="s">
        <v>53</v>
      </c>
      <c r="C105" s="1" t="s">
        <v>69</v>
      </c>
      <c r="D105" s="1" t="s">
        <v>73</v>
      </c>
      <c r="E105" s="1">
        <v>925.29</v>
      </c>
      <c r="F105" s="1">
        <v>17</v>
      </c>
      <c r="G105" s="1">
        <v>0</v>
      </c>
      <c r="H105" s="2">
        <v>45570</v>
      </c>
      <c r="I105" s="4">
        <v>231.32</v>
      </c>
    </row>
    <row r="106" spans="1:9" ht="15" thickBot="1" x14ac:dyDescent="0.35">
      <c r="A106" s="3" t="s">
        <v>18</v>
      </c>
      <c r="B106" s="1" t="s">
        <v>52</v>
      </c>
      <c r="C106" s="1" t="s">
        <v>67</v>
      </c>
      <c r="D106" s="1" t="s">
        <v>74</v>
      </c>
      <c r="E106" s="1">
        <v>1286.54</v>
      </c>
      <c r="F106" s="1">
        <v>8</v>
      </c>
      <c r="G106" s="1">
        <v>0</v>
      </c>
      <c r="H106" s="2">
        <v>45575</v>
      </c>
      <c r="I106" s="4">
        <v>450.29</v>
      </c>
    </row>
    <row r="107" spans="1:9" ht="15" thickBot="1" x14ac:dyDescent="0.35">
      <c r="A107" s="3" t="s">
        <v>11</v>
      </c>
      <c r="B107" s="1" t="s">
        <v>62</v>
      </c>
      <c r="C107" s="1" t="s">
        <v>68</v>
      </c>
      <c r="D107" s="1" t="s">
        <v>71</v>
      </c>
      <c r="E107" s="1">
        <v>961.62</v>
      </c>
      <c r="F107" s="1">
        <v>8</v>
      </c>
      <c r="G107" s="1">
        <v>0.2</v>
      </c>
      <c r="H107" s="2">
        <v>45577</v>
      </c>
      <c r="I107" s="4">
        <v>307.72000000000003</v>
      </c>
    </row>
    <row r="108" spans="1:9" ht="15" thickBot="1" x14ac:dyDescent="0.35">
      <c r="A108" s="3" t="s">
        <v>14</v>
      </c>
      <c r="B108" s="1" t="s">
        <v>42</v>
      </c>
      <c r="C108" s="1" t="s">
        <v>67</v>
      </c>
      <c r="D108" s="1" t="s">
        <v>71</v>
      </c>
      <c r="E108" s="1">
        <v>1081.1400000000001</v>
      </c>
      <c r="F108" s="1">
        <v>19</v>
      </c>
      <c r="G108" s="1">
        <v>0.15</v>
      </c>
      <c r="H108" s="2">
        <v>45577</v>
      </c>
      <c r="I108" s="4">
        <v>367.59</v>
      </c>
    </row>
    <row r="109" spans="1:9" ht="15" thickBot="1" x14ac:dyDescent="0.35">
      <c r="A109" s="3" t="s">
        <v>20</v>
      </c>
      <c r="B109" s="1" t="s">
        <v>42</v>
      </c>
      <c r="C109" s="1" t="s">
        <v>66</v>
      </c>
      <c r="D109" s="1" t="s">
        <v>72</v>
      </c>
      <c r="E109" s="1">
        <v>1923.66</v>
      </c>
      <c r="F109" s="1">
        <v>9</v>
      </c>
      <c r="G109" s="1">
        <v>0.2</v>
      </c>
      <c r="H109" s="2">
        <v>45580</v>
      </c>
      <c r="I109" s="4">
        <v>769.46</v>
      </c>
    </row>
    <row r="110" spans="1:9" ht="15" thickBot="1" x14ac:dyDescent="0.35">
      <c r="A110" s="3" t="s">
        <v>18</v>
      </c>
      <c r="B110" s="1" t="s">
        <v>63</v>
      </c>
      <c r="C110" s="1" t="s">
        <v>70</v>
      </c>
      <c r="D110" s="1" t="s">
        <v>72</v>
      </c>
      <c r="E110" s="1">
        <v>728.71</v>
      </c>
      <c r="F110" s="1">
        <v>14</v>
      </c>
      <c r="G110" s="1">
        <v>0.1</v>
      </c>
      <c r="H110" s="2">
        <v>45581</v>
      </c>
      <c r="I110" s="4">
        <v>327.92</v>
      </c>
    </row>
    <row r="111" spans="1:9" ht="15" thickBot="1" x14ac:dyDescent="0.35">
      <c r="A111" s="3" t="s">
        <v>1</v>
      </c>
      <c r="B111" s="1" t="s">
        <v>46</v>
      </c>
      <c r="C111" s="1" t="s">
        <v>70</v>
      </c>
      <c r="D111" s="1" t="s">
        <v>72</v>
      </c>
      <c r="E111" s="1">
        <v>1301.8900000000001</v>
      </c>
      <c r="F111" s="1">
        <v>7</v>
      </c>
      <c r="G111" s="1">
        <v>0.15</v>
      </c>
      <c r="H111" s="2">
        <v>45581</v>
      </c>
      <c r="I111" s="4">
        <v>553.29999999999995</v>
      </c>
    </row>
    <row r="112" spans="1:9" ht="15" thickBot="1" x14ac:dyDescent="0.35">
      <c r="A112" s="3" t="s">
        <v>26</v>
      </c>
      <c r="B112" s="1" t="s">
        <v>63</v>
      </c>
      <c r="C112" s="1" t="s">
        <v>67</v>
      </c>
      <c r="D112" s="1" t="s">
        <v>71</v>
      </c>
      <c r="E112" s="1">
        <v>980.18</v>
      </c>
      <c r="F112" s="1">
        <v>16</v>
      </c>
      <c r="G112" s="1">
        <v>0.1</v>
      </c>
      <c r="H112" s="2">
        <v>45582</v>
      </c>
      <c r="I112" s="4">
        <v>352.86</v>
      </c>
    </row>
    <row r="113" spans="1:9" ht="15" thickBot="1" x14ac:dyDescent="0.35">
      <c r="A113" s="3" t="s">
        <v>29</v>
      </c>
      <c r="B113" s="1" t="s">
        <v>42</v>
      </c>
      <c r="C113" s="1" t="s">
        <v>66</v>
      </c>
      <c r="D113" s="1" t="s">
        <v>72</v>
      </c>
      <c r="E113" s="1">
        <v>697.57</v>
      </c>
      <c r="F113" s="1">
        <v>17</v>
      </c>
      <c r="G113" s="1">
        <v>0.1</v>
      </c>
      <c r="H113" s="2">
        <v>45584</v>
      </c>
      <c r="I113" s="4">
        <v>313.91000000000003</v>
      </c>
    </row>
    <row r="114" spans="1:9" ht="15" thickBot="1" x14ac:dyDescent="0.35">
      <c r="A114" s="3" t="s">
        <v>15</v>
      </c>
      <c r="B114" s="1" t="s">
        <v>65</v>
      </c>
      <c r="C114" s="1" t="s">
        <v>66</v>
      </c>
      <c r="D114" s="1" t="s">
        <v>74</v>
      </c>
      <c r="E114" s="1">
        <v>1193.6099999999999</v>
      </c>
      <c r="F114" s="1">
        <v>1</v>
      </c>
      <c r="G114" s="1">
        <v>0.15</v>
      </c>
      <c r="H114" s="2">
        <v>45584</v>
      </c>
      <c r="I114" s="4">
        <v>355.1</v>
      </c>
    </row>
    <row r="115" spans="1:9" ht="15" thickBot="1" x14ac:dyDescent="0.35">
      <c r="A115" s="3" t="s">
        <v>9</v>
      </c>
      <c r="B115" s="1" t="s">
        <v>48</v>
      </c>
      <c r="C115" s="1" t="s">
        <v>68</v>
      </c>
      <c r="D115" s="1" t="s">
        <v>73</v>
      </c>
      <c r="E115" s="1">
        <v>771.02</v>
      </c>
      <c r="F115" s="1">
        <v>1</v>
      </c>
      <c r="G115" s="1">
        <v>0</v>
      </c>
      <c r="H115" s="2">
        <v>45585</v>
      </c>
      <c r="I115" s="4">
        <v>192.76</v>
      </c>
    </row>
    <row r="116" spans="1:9" ht="15" thickBot="1" x14ac:dyDescent="0.35">
      <c r="A116" s="3" t="s">
        <v>24</v>
      </c>
      <c r="B116" s="1" t="s">
        <v>64</v>
      </c>
      <c r="C116" s="1" t="s">
        <v>69</v>
      </c>
      <c r="D116" s="1" t="s">
        <v>72</v>
      </c>
      <c r="E116" s="1">
        <v>661.09</v>
      </c>
      <c r="F116" s="1">
        <v>1</v>
      </c>
      <c r="G116" s="1">
        <v>0.2</v>
      </c>
      <c r="H116" s="2">
        <v>45593</v>
      </c>
      <c r="I116" s="4">
        <v>264.44</v>
      </c>
    </row>
    <row r="117" spans="1:9" ht="15" thickBot="1" x14ac:dyDescent="0.35">
      <c r="A117" s="3" t="s">
        <v>2</v>
      </c>
      <c r="B117" s="1" t="s">
        <v>57</v>
      </c>
      <c r="C117" s="1" t="s">
        <v>66</v>
      </c>
      <c r="D117" s="1" t="s">
        <v>73</v>
      </c>
      <c r="E117" s="1">
        <v>688.83</v>
      </c>
      <c r="F117" s="1">
        <v>15</v>
      </c>
      <c r="G117" s="1">
        <v>0</v>
      </c>
      <c r="H117" s="2">
        <v>45595</v>
      </c>
      <c r="I117" s="4">
        <v>172.21</v>
      </c>
    </row>
    <row r="118" spans="1:9" ht="15" thickBot="1" x14ac:dyDescent="0.35">
      <c r="A118" s="3" t="s">
        <v>28</v>
      </c>
      <c r="B118" s="1" t="s">
        <v>44</v>
      </c>
      <c r="C118" s="1" t="s">
        <v>70</v>
      </c>
      <c r="D118" s="1" t="s">
        <v>71</v>
      </c>
      <c r="E118" s="1">
        <v>1249.0999999999999</v>
      </c>
      <c r="F118" s="1">
        <v>4</v>
      </c>
      <c r="G118" s="1">
        <v>0.05</v>
      </c>
      <c r="H118" s="2">
        <v>45597</v>
      </c>
      <c r="I118" s="4">
        <v>474.66</v>
      </c>
    </row>
    <row r="119" spans="1:9" ht="15" thickBot="1" x14ac:dyDescent="0.35">
      <c r="A119" s="3" t="s">
        <v>14</v>
      </c>
      <c r="B119" s="1" t="s">
        <v>42</v>
      </c>
      <c r="C119" s="1" t="s">
        <v>67</v>
      </c>
      <c r="D119" s="1" t="s">
        <v>75</v>
      </c>
      <c r="E119" s="1">
        <v>1014.22</v>
      </c>
      <c r="F119" s="1">
        <v>14</v>
      </c>
      <c r="G119" s="1">
        <v>0.05</v>
      </c>
      <c r="H119" s="2">
        <v>45599</v>
      </c>
      <c r="I119" s="4">
        <v>433.58</v>
      </c>
    </row>
    <row r="120" spans="1:9" ht="15" thickBot="1" x14ac:dyDescent="0.35">
      <c r="A120" s="3" t="s">
        <v>18</v>
      </c>
      <c r="B120" s="1" t="s">
        <v>53</v>
      </c>
      <c r="C120" s="1" t="s">
        <v>67</v>
      </c>
      <c r="D120" s="1" t="s">
        <v>71</v>
      </c>
      <c r="E120" s="1">
        <v>1010.58</v>
      </c>
      <c r="F120" s="1">
        <v>2</v>
      </c>
      <c r="G120" s="1">
        <v>0.15</v>
      </c>
      <c r="H120" s="2">
        <v>45605</v>
      </c>
      <c r="I120" s="4">
        <v>343.6</v>
      </c>
    </row>
    <row r="121" spans="1:9" ht="15" thickBot="1" x14ac:dyDescent="0.35">
      <c r="A121" s="3" t="s">
        <v>8</v>
      </c>
      <c r="B121" s="1" t="s">
        <v>59</v>
      </c>
      <c r="C121" s="1" t="s">
        <v>69</v>
      </c>
      <c r="D121" s="1" t="s">
        <v>74</v>
      </c>
      <c r="E121" s="1">
        <v>957.29</v>
      </c>
      <c r="F121" s="1">
        <v>4</v>
      </c>
      <c r="G121" s="1">
        <v>0.05</v>
      </c>
      <c r="H121" s="2">
        <v>45605</v>
      </c>
      <c r="I121" s="4">
        <v>318.3</v>
      </c>
    </row>
    <row r="122" spans="1:9" ht="15" thickBot="1" x14ac:dyDescent="0.35">
      <c r="A122" s="3" t="s">
        <v>7</v>
      </c>
      <c r="B122" s="1" t="s">
        <v>51</v>
      </c>
      <c r="C122" s="1" t="s">
        <v>69</v>
      </c>
      <c r="D122" s="1" t="s">
        <v>74</v>
      </c>
      <c r="E122" s="1">
        <v>1077.92</v>
      </c>
      <c r="F122" s="1">
        <v>3</v>
      </c>
      <c r="G122" s="1">
        <v>0.05</v>
      </c>
      <c r="H122" s="2">
        <v>45608</v>
      </c>
      <c r="I122" s="4">
        <v>358.41</v>
      </c>
    </row>
    <row r="123" spans="1:9" ht="15" thickBot="1" x14ac:dyDescent="0.35">
      <c r="A123" s="3" t="s">
        <v>17</v>
      </c>
      <c r="B123" s="1" t="s">
        <v>54</v>
      </c>
      <c r="C123" s="1" t="s">
        <v>68</v>
      </c>
      <c r="D123" s="1" t="s">
        <v>72</v>
      </c>
      <c r="E123" s="1">
        <v>1163.01</v>
      </c>
      <c r="F123" s="1">
        <v>5</v>
      </c>
      <c r="G123" s="1">
        <v>0</v>
      </c>
      <c r="H123" s="2">
        <v>45611</v>
      </c>
      <c r="I123" s="4">
        <v>581.5</v>
      </c>
    </row>
    <row r="124" spans="1:9" ht="15" thickBot="1" x14ac:dyDescent="0.35">
      <c r="A124" s="3" t="s">
        <v>18</v>
      </c>
      <c r="B124" s="1" t="s">
        <v>51</v>
      </c>
      <c r="C124" s="1" t="s">
        <v>67</v>
      </c>
      <c r="D124" s="1" t="s">
        <v>75</v>
      </c>
      <c r="E124" s="1">
        <v>1014.56</v>
      </c>
      <c r="F124" s="1">
        <v>10</v>
      </c>
      <c r="G124" s="1">
        <v>0.1</v>
      </c>
      <c r="H124" s="2">
        <v>45612</v>
      </c>
      <c r="I124" s="4">
        <v>410.9</v>
      </c>
    </row>
    <row r="125" spans="1:9" ht="15" thickBot="1" x14ac:dyDescent="0.35">
      <c r="A125" s="3" t="s">
        <v>1</v>
      </c>
      <c r="B125" s="1" t="s">
        <v>41</v>
      </c>
      <c r="C125" s="1" t="s">
        <v>68</v>
      </c>
      <c r="D125" s="1" t="s">
        <v>73</v>
      </c>
      <c r="E125" s="1">
        <v>718.04</v>
      </c>
      <c r="F125" s="1">
        <v>14</v>
      </c>
      <c r="G125" s="1">
        <v>0</v>
      </c>
      <c r="H125" s="2">
        <v>45613</v>
      </c>
      <c r="I125" s="4">
        <v>179.51</v>
      </c>
    </row>
    <row r="126" spans="1:9" ht="15" thickBot="1" x14ac:dyDescent="0.35">
      <c r="A126" s="3" t="s">
        <v>27</v>
      </c>
      <c r="B126" s="1" t="s">
        <v>41</v>
      </c>
      <c r="C126" s="1" t="s">
        <v>70</v>
      </c>
      <c r="D126" s="1" t="s">
        <v>72</v>
      </c>
      <c r="E126" s="1">
        <v>1277.8499999999999</v>
      </c>
      <c r="F126" s="1">
        <v>18</v>
      </c>
      <c r="G126" s="1">
        <v>0.2</v>
      </c>
      <c r="H126" s="2">
        <v>45613</v>
      </c>
      <c r="I126" s="4">
        <v>511.14</v>
      </c>
    </row>
    <row r="127" spans="1:9" ht="15" thickBot="1" x14ac:dyDescent="0.35">
      <c r="A127" s="3" t="s">
        <v>26</v>
      </c>
      <c r="B127" s="1" t="s">
        <v>42</v>
      </c>
      <c r="C127" s="1" t="s">
        <v>69</v>
      </c>
      <c r="D127" s="1" t="s">
        <v>73</v>
      </c>
      <c r="E127" s="1">
        <v>706.73</v>
      </c>
      <c r="F127" s="1">
        <v>1</v>
      </c>
      <c r="G127" s="1">
        <v>0.15</v>
      </c>
      <c r="H127" s="2">
        <v>45613</v>
      </c>
      <c r="I127" s="4">
        <v>150.18</v>
      </c>
    </row>
    <row r="128" spans="1:9" ht="15" thickBot="1" x14ac:dyDescent="0.35">
      <c r="A128" s="3" t="s">
        <v>23</v>
      </c>
      <c r="B128" s="1" t="s">
        <v>54</v>
      </c>
      <c r="C128" s="1" t="s">
        <v>67</v>
      </c>
      <c r="D128" s="1" t="s">
        <v>73</v>
      </c>
      <c r="E128" s="1">
        <v>1410.59</v>
      </c>
      <c r="F128" s="1">
        <v>15</v>
      </c>
      <c r="G128" s="1">
        <v>0</v>
      </c>
      <c r="H128" s="2">
        <v>45615</v>
      </c>
      <c r="I128" s="4">
        <v>352.65</v>
      </c>
    </row>
    <row r="129" spans="1:9" ht="15" thickBot="1" x14ac:dyDescent="0.35">
      <c r="A129" s="3" t="s">
        <v>9</v>
      </c>
      <c r="B129" s="1" t="s">
        <v>60</v>
      </c>
      <c r="C129" s="1" t="s">
        <v>68</v>
      </c>
      <c r="D129" s="1" t="s">
        <v>74</v>
      </c>
      <c r="E129" s="1">
        <v>1350.33</v>
      </c>
      <c r="F129" s="1">
        <v>10</v>
      </c>
      <c r="G129" s="1">
        <v>0</v>
      </c>
      <c r="H129" s="2">
        <v>45615</v>
      </c>
      <c r="I129" s="4">
        <v>472.62</v>
      </c>
    </row>
    <row r="130" spans="1:9" ht="15" thickBot="1" x14ac:dyDescent="0.35">
      <c r="A130" s="3" t="s">
        <v>13</v>
      </c>
      <c r="B130" s="1" t="s">
        <v>51</v>
      </c>
      <c r="C130" s="1" t="s">
        <v>67</v>
      </c>
      <c r="D130" s="1" t="s">
        <v>73</v>
      </c>
      <c r="E130" s="1">
        <v>919.18</v>
      </c>
      <c r="F130" s="1">
        <v>4</v>
      </c>
      <c r="G130" s="1">
        <v>0.15</v>
      </c>
      <c r="H130" s="2">
        <v>45615</v>
      </c>
      <c r="I130" s="4">
        <v>195.33</v>
      </c>
    </row>
    <row r="131" spans="1:9" ht="15" thickBot="1" x14ac:dyDescent="0.35">
      <c r="A131" s="3" t="s">
        <v>29</v>
      </c>
      <c r="B131" s="1" t="s">
        <v>42</v>
      </c>
      <c r="C131" s="1" t="s">
        <v>66</v>
      </c>
      <c r="D131" s="1" t="s">
        <v>73</v>
      </c>
      <c r="E131" s="1">
        <v>258.51</v>
      </c>
      <c r="F131" s="1">
        <v>19</v>
      </c>
      <c r="G131" s="1">
        <v>0</v>
      </c>
      <c r="H131" s="2">
        <v>45616</v>
      </c>
      <c r="I131" s="4">
        <v>64.63</v>
      </c>
    </row>
    <row r="132" spans="1:9" ht="15" thickBot="1" x14ac:dyDescent="0.35">
      <c r="A132" s="3" t="s">
        <v>22</v>
      </c>
      <c r="B132" s="1" t="s">
        <v>60</v>
      </c>
      <c r="C132" s="1" t="s">
        <v>67</v>
      </c>
      <c r="D132" s="1" t="s">
        <v>71</v>
      </c>
      <c r="E132" s="1">
        <v>1213.48</v>
      </c>
      <c r="F132" s="1">
        <v>5</v>
      </c>
      <c r="G132" s="1">
        <v>0.05</v>
      </c>
      <c r="H132" s="2">
        <v>45616</v>
      </c>
      <c r="I132" s="4">
        <v>461.12</v>
      </c>
    </row>
    <row r="133" spans="1:9" ht="15" thickBot="1" x14ac:dyDescent="0.35">
      <c r="A133" s="3" t="s">
        <v>19</v>
      </c>
      <c r="B133" s="1" t="s">
        <v>48</v>
      </c>
      <c r="C133" s="1" t="s">
        <v>70</v>
      </c>
      <c r="D133" s="1" t="s">
        <v>71</v>
      </c>
      <c r="E133" s="1">
        <v>1150.28</v>
      </c>
      <c r="F133" s="1">
        <v>8</v>
      </c>
      <c r="G133" s="1">
        <v>0.05</v>
      </c>
      <c r="H133" s="2">
        <v>45622</v>
      </c>
      <c r="I133" s="4">
        <v>437.11</v>
      </c>
    </row>
    <row r="134" spans="1:9" ht="15" thickBot="1" x14ac:dyDescent="0.35">
      <c r="A134" s="3" t="s">
        <v>11</v>
      </c>
      <c r="B134" s="1" t="s">
        <v>65</v>
      </c>
      <c r="C134" s="1" t="s">
        <v>68</v>
      </c>
      <c r="D134" s="1" t="s">
        <v>74</v>
      </c>
      <c r="E134" s="1">
        <v>853.86</v>
      </c>
      <c r="F134" s="1">
        <v>8</v>
      </c>
      <c r="G134" s="1">
        <v>0.1</v>
      </c>
      <c r="H134" s="2">
        <v>45622</v>
      </c>
      <c r="I134" s="4">
        <v>268.97000000000003</v>
      </c>
    </row>
    <row r="135" spans="1:9" ht="15" thickBot="1" x14ac:dyDescent="0.35">
      <c r="A135" s="3" t="s">
        <v>30</v>
      </c>
      <c r="B135" s="1" t="s">
        <v>51</v>
      </c>
      <c r="C135" s="1" t="s">
        <v>68</v>
      </c>
      <c r="D135" s="1" t="s">
        <v>73</v>
      </c>
      <c r="E135" s="1">
        <v>1061.04</v>
      </c>
      <c r="F135" s="1">
        <v>1</v>
      </c>
      <c r="G135" s="1">
        <v>0</v>
      </c>
      <c r="H135" s="2">
        <v>45624</v>
      </c>
      <c r="I135" s="4">
        <v>265.26</v>
      </c>
    </row>
    <row r="136" spans="1:9" ht="15" thickBot="1" x14ac:dyDescent="0.35">
      <c r="A136" s="3" t="s">
        <v>7</v>
      </c>
      <c r="B136" s="1" t="s">
        <v>50</v>
      </c>
      <c r="C136" s="1" t="s">
        <v>66</v>
      </c>
      <c r="D136" s="1" t="s">
        <v>73</v>
      </c>
      <c r="E136" s="1">
        <v>894.55</v>
      </c>
      <c r="F136" s="1">
        <v>19</v>
      </c>
      <c r="G136" s="1">
        <v>0.2</v>
      </c>
      <c r="H136" s="2">
        <v>45625</v>
      </c>
      <c r="I136" s="4">
        <v>178.91</v>
      </c>
    </row>
    <row r="137" spans="1:9" ht="15" thickBot="1" x14ac:dyDescent="0.35">
      <c r="A137" s="3" t="s">
        <v>6</v>
      </c>
      <c r="B137" s="1" t="s">
        <v>48</v>
      </c>
      <c r="C137" s="1" t="s">
        <v>69</v>
      </c>
      <c r="D137" s="1" t="s">
        <v>75</v>
      </c>
      <c r="E137" s="1">
        <v>833.91</v>
      </c>
      <c r="F137" s="1">
        <v>3</v>
      </c>
      <c r="G137" s="1">
        <v>0.05</v>
      </c>
      <c r="H137" s="2">
        <v>45626</v>
      </c>
      <c r="I137" s="4">
        <v>356.5</v>
      </c>
    </row>
    <row r="138" spans="1:9" ht="15" thickBot="1" x14ac:dyDescent="0.35">
      <c r="A138" s="3" t="s">
        <v>20</v>
      </c>
      <c r="B138" s="1" t="s">
        <v>65</v>
      </c>
      <c r="C138" s="1" t="s">
        <v>66</v>
      </c>
      <c r="D138" s="1" t="s">
        <v>74</v>
      </c>
      <c r="E138" s="1">
        <v>820.19</v>
      </c>
      <c r="F138" s="1">
        <v>4</v>
      </c>
      <c r="G138" s="1">
        <v>0.2</v>
      </c>
      <c r="H138" s="2">
        <v>45630</v>
      </c>
      <c r="I138" s="4">
        <v>229.65</v>
      </c>
    </row>
    <row r="139" spans="1:9" ht="15" thickBot="1" x14ac:dyDescent="0.35">
      <c r="A139" s="3" t="s">
        <v>20</v>
      </c>
      <c r="B139" s="1" t="s">
        <v>48</v>
      </c>
      <c r="C139" s="1" t="s">
        <v>70</v>
      </c>
      <c r="D139" s="1" t="s">
        <v>73</v>
      </c>
      <c r="E139" s="1">
        <v>511.74</v>
      </c>
      <c r="F139" s="1">
        <v>8</v>
      </c>
      <c r="G139" s="1">
        <v>0.05</v>
      </c>
      <c r="H139" s="2">
        <v>45631</v>
      </c>
      <c r="I139" s="4">
        <v>121.54</v>
      </c>
    </row>
    <row r="140" spans="1:9" ht="15" thickBot="1" x14ac:dyDescent="0.35">
      <c r="A140" s="3" t="s">
        <v>23</v>
      </c>
      <c r="B140" s="1" t="s">
        <v>60</v>
      </c>
      <c r="C140" s="1" t="s">
        <v>68</v>
      </c>
      <c r="D140" s="1" t="s">
        <v>74</v>
      </c>
      <c r="E140" s="1">
        <v>806.03</v>
      </c>
      <c r="F140" s="1">
        <v>19</v>
      </c>
      <c r="G140" s="1">
        <v>0.05</v>
      </c>
      <c r="H140" s="2">
        <v>45638</v>
      </c>
      <c r="I140" s="4">
        <v>268</v>
      </c>
    </row>
    <row r="141" spans="1:9" ht="15" thickBot="1" x14ac:dyDescent="0.35">
      <c r="A141" s="3" t="s">
        <v>7</v>
      </c>
      <c r="B141" s="1" t="s">
        <v>43</v>
      </c>
      <c r="C141" s="1" t="s">
        <v>70</v>
      </c>
      <c r="D141" s="1" t="s">
        <v>74</v>
      </c>
      <c r="E141" s="1">
        <v>1432.47</v>
      </c>
      <c r="F141" s="1">
        <v>16</v>
      </c>
      <c r="G141" s="1">
        <v>0.15</v>
      </c>
      <c r="H141" s="2">
        <v>45640</v>
      </c>
      <c r="I141" s="4">
        <v>426.16</v>
      </c>
    </row>
    <row r="142" spans="1:9" ht="15" thickBot="1" x14ac:dyDescent="0.35">
      <c r="A142" s="3" t="s">
        <v>29</v>
      </c>
      <c r="B142" s="1" t="s">
        <v>44</v>
      </c>
      <c r="C142" s="1" t="s">
        <v>70</v>
      </c>
      <c r="D142" s="1" t="s">
        <v>73</v>
      </c>
      <c r="E142" s="1">
        <v>1488.58</v>
      </c>
      <c r="F142" s="1">
        <v>10</v>
      </c>
      <c r="G142" s="1">
        <v>0.15</v>
      </c>
      <c r="H142" s="2">
        <v>45640</v>
      </c>
      <c r="I142" s="4">
        <v>316.32</v>
      </c>
    </row>
    <row r="143" spans="1:9" ht="15" thickBot="1" x14ac:dyDescent="0.35">
      <c r="A143" s="3" t="s">
        <v>8</v>
      </c>
      <c r="B143" s="1" t="s">
        <v>63</v>
      </c>
      <c r="C143" s="1" t="s">
        <v>67</v>
      </c>
      <c r="D143" s="1" t="s">
        <v>71</v>
      </c>
      <c r="E143" s="1">
        <v>1231.26</v>
      </c>
      <c r="F143" s="1">
        <v>9</v>
      </c>
      <c r="G143" s="1">
        <v>0</v>
      </c>
      <c r="H143" s="2">
        <v>45646</v>
      </c>
      <c r="I143" s="4">
        <v>492.5</v>
      </c>
    </row>
    <row r="144" spans="1:9" ht="15" thickBot="1" x14ac:dyDescent="0.35">
      <c r="A144" s="3" t="s">
        <v>8</v>
      </c>
      <c r="B144" s="1" t="s">
        <v>50</v>
      </c>
      <c r="C144" s="1" t="s">
        <v>66</v>
      </c>
      <c r="D144" s="1" t="s">
        <v>73</v>
      </c>
      <c r="E144" s="1">
        <v>1161.67</v>
      </c>
      <c r="F144" s="1">
        <v>19</v>
      </c>
      <c r="G144" s="1">
        <v>0.2</v>
      </c>
      <c r="H144" s="2">
        <v>45647</v>
      </c>
      <c r="I144" s="4">
        <v>232.33</v>
      </c>
    </row>
    <row r="145" spans="1:9" ht="15" thickBot="1" x14ac:dyDescent="0.35">
      <c r="A145" s="3" t="s">
        <v>16</v>
      </c>
      <c r="B145" s="1" t="s">
        <v>51</v>
      </c>
      <c r="C145" s="1" t="s">
        <v>70</v>
      </c>
      <c r="D145" s="1" t="s">
        <v>75</v>
      </c>
      <c r="E145" s="1">
        <v>388.23</v>
      </c>
      <c r="F145" s="1">
        <v>16</v>
      </c>
      <c r="G145" s="1">
        <v>0.05</v>
      </c>
      <c r="H145" s="2">
        <v>45650</v>
      </c>
      <c r="I145" s="4">
        <v>165.97</v>
      </c>
    </row>
    <row r="146" spans="1:9" ht="15" thickBot="1" x14ac:dyDescent="0.35">
      <c r="A146" s="3" t="s">
        <v>27</v>
      </c>
      <c r="B146" s="1" t="s">
        <v>45</v>
      </c>
      <c r="C146" s="1" t="s">
        <v>69</v>
      </c>
      <c r="D146" s="1" t="s">
        <v>72</v>
      </c>
      <c r="E146" s="1">
        <v>1589.42</v>
      </c>
      <c r="F146" s="1">
        <v>6</v>
      </c>
      <c r="G146" s="1">
        <v>0.15</v>
      </c>
      <c r="H146" s="2">
        <v>45651</v>
      </c>
      <c r="I146" s="4">
        <v>675.5</v>
      </c>
    </row>
    <row r="147" spans="1:9" ht="15" thickBot="1" x14ac:dyDescent="0.35">
      <c r="A147" s="3" t="s">
        <v>7</v>
      </c>
      <c r="B147" s="1" t="s">
        <v>65</v>
      </c>
      <c r="C147" s="1" t="s">
        <v>69</v>
      </c>
      <c r="D147" s="1" t="s">
        <v>72</v>
      </c>
      <c r="E147" s="1">
        <v>336.66</v>
      </c>
      <c r="F147" s="1">
        <v>13</v>
      </c>
      <c r="G147" s="1">
        <v>0.2</v>
      </c>
      <c r="H147" s="2">
        <v>45651</v>
      </c>
      <c r="I147" s="4">
        <v>134.66</v>
      </c>
    </row>
    <row r="148" spans="1:9" ht="15" thickBot="1" x14ac:dyDescent="0.35">
      <c r="A148" s="3" t="s">
        <v>16</v>
      </c>
      <c r="B148" s="1" t="s">
        <v>42</v>
      </c>
      <c r="C148" s="1" t="s">
        <v>66</v>
      </c>
      <c r="D148" s="1" t="s">
        <v>71</v>
      </c>
      <c r="E148" s="1">
        <v>1353.79</v>
      </c>
      <c r="F148" s="1">
        <v>14</v>
      </c>
      <c r="G148" s="1">
        <v>0.1</v>
      </c>
      <c r="H148" s="2">
        <v>45656</v>
      </c>
      <c r="I148" s="4">
        <v>487.36</v>
      </c>
    </row>
    <row r="149" spans="1:9" ht="15" thickBot="1" x14ac:dyDescent="0.35">
      <c r="A149" s="3" t="s">
        <v>22</v>
      </c>
      <c r="B149" s="1" t="s">
        <v>64</v>
      </c>
      <c r="C149" s="1" t="s">
        <v>70</v>
      </c>
      <c r="D149" s="1" t="s">
        <v>72</v>
      </c>
      <c r="E149" s="1">
        <v>662.61</v>
      </c>
      <c r="F149" s="1">
        <v>11</v>
      </c>
      <c r="G149" s="1">
        <v>0.05</v>
      </c>
      <c r="H149" s="2">
        <v>45658</v>
      </c>
      <c r="I149" s="4">
        <v>314.74</v>
      </c>
    </row>
    <row r="150" spans="1:9" ht="15" thickBot="1" x14ac:dyDescent="0.35">
      <c r="A150" s="3" t="s">
        <v>17</v>
      </c>
      <c r="B150" s="1" t="s">
        <v>53</v>
      </c>
      <c r="C150" s="1" t="s">
        <v>69</v>
      </c>
      <c r="D150" s="1" t="s">
        <v>75</v>
      </c>
      <c r="E150" s="1">
        <v>309.42</v>
      </c>
      <c r="F150" s="1">
        <v>1</v>
      </c>
      <c r="G150" s="1">
        <v>0.2</v>
      </c>
      <c r="H150" s="2">
        <v>45658</v>
      </c>
      <c r="I150" s="4">
        <v>111.39</v>
      </c>
    </row>
    <row r="151" spans="1:9" ht="15" thickBot="1" x14ac:dyDescent="0.35">
      <c r="A151" s="3" t="s">
        <v>22</v>
      </c>
      <c r="B151" s="1" t="s">
        <v>44</v>
      </c>
      <c r="C151" s="1" t="s">
        <v>69</v>
      </c>
      <c r="D151" s="1" t="s">
        <v>71</v>
      </c>
      <c r="E151" s="1">
        <v>884.63</v>
      </c>
      <c r="F151" s="1">
        <v>18</v>
      </c>
      <c r="G151" s="1">
        <v>0.1</v>
      </c>
      <c r="H151" s="2">
        <v>45659</v>
      </c>
      <c r="I151" s="4">
        <v>318.47000000000003</v>
      </c>
    </row>
    <row r="152" spans="1:9" ht="15" thickBot="1" x14ac:dyDescent="0.35">
      <c r="A152" s="3" t="s">
        <v>17</v>
      </c>
      <c r="B152" s="1" t="s">
        <v>42</v>
      </c>
      <c r="C152" s="1" t="s">
        <v>70</v>
      </c>
      <c r="D152" s="1" t="s">
        <v>75</v>
      </c>
      <c r="E152" s="1">
        <v>745.05</v>
      </c>
      <c r="F152" s="1">
        <v>10</v>
      </c>
      <c r="G152" s="1">
        <v>0.1</v>
      </c>
      <c r="H152" s="2">
        <v>45660</v>
      </c>
      <c r="I152" s="4">
        <v>301.75</v>
      </c>
    </row>
    <row r="153" spans="1:9" ht="15" thickBot="1" x14ac:dyDescent="0.35">
      <c r="A153" s="3" t="s">
        <v>21</v>
      </c>
      <c r="B153" s="1" t="s">
        <v>41</v>
      </c>
      <c r="C153" s="1" t="s">
        <v>68</v>
      </c>
      <c r="D153" s="1" t="s">
        <v>72</v>
      </c>
      <c r="E153" s="1">
        <v>870.23</v>
      </c>
      <c r="F153" s="1">
        <v>5</v>
      </c>
      <c r="G153" s="1">
        <v>0.05</v>
      </c>
      <c r="H153" s="2">
        <v>45660</v>
      </c>
      <c r="I153" s="4">
        <v>413.36</v>
      </c>
    </row>
    <row r="154" spans="1:9" ht="15" thickBot="1" x14ac:dyDescent="0.35">
      <c r="A154" s="3" t="s">
        <v>10</v>
      </c>
      <c r="B154" s="1" t="s">
        <v>44</v>
      </c>
      <c r="C154" s="1" t="s">
        <v>66</v>
      </c>
      <c r="D154" s="1" t="s">
        <v>74</v>
      </c>
      <c r="E154" s="1">
        <v>862.19</v>
      </c>
      <c r="F154" s="1">
        <v>18</v>
      </c>
      <c r="G154" s="1">
        <v>0.05</v>
      </c>
      <c r="H154" s="2">
        <v>45663</v>
      </c>
      <c r="I154" s="4">
        <v>286.68</v>
      </c>
    </row>
    <row r="155" spans="1:9" ht="15" thickBot="1" x14ac:dyDescent="0.35">
      <c r="A155" s="3" t="s">
        <v>28</v>
      </c>
      <c r="B155" s="1" t="s">
        <v>59</v>
      </c>
      <c r="C155" s="1" t="s">
        <v>69</v>
      </c>
      <c r="D155" s="1" t="s">
        <v>72</v>
      </c>
      <c r="E155" s="1">
        <v>1171.18</v>
      </c>
      <c r="F155" s="1">
        <v>19</v>
      </c>
      <c r="G155" s="1">
        <v>0.05</v>
      </c>
      <c r="H155" s="2">
        <v>45667</v>
      </c>
      <c r="I155" s="4">
        <v>556.30999999999995</v>
      </c>
    </row>
    <row r="156" spans="1:9" ht="15" thickBot="1" x14ac:dyDescent="0.35">
      <c r="A156" s="3" t="s">
        <v>20</v>
      </c>
      <c r="B156" s="1" t="s">
        <v>40</v>
      </c>
      <c r="C156" s="1" t="s">
        <v>68</v>
      </c>
      <c r="D156" s="1" t="s">
        <v>74</v>
      </c>
      <c r="E156" s="1">
        <v>1054.56</v>
      </c>
      <c r="F156" s="1">
        <v>11</v>
      </c>
      <c r="G156" s="1">
        <v>0.1</v>
      </c>
      <c r="H156" s="2">
        <v>45669</v>
      </c>
      <c r="I156" s="4">
        <v>332.19</v>
      </c>
    </row>
    <row r="157" spans="1:9" ht="15" thickBot="1" x14ac:dyDescent="0.35">
      <c r="A157" s="3" t="s">
        <v>20</v>
      </c>
      <c r="B157" s="1" t="s">
        <v>42</v>
      </c>
      <c r="C157" s="1" t="s">
        <v>69</v>
      </c>
      <c r="D157" s="1" t="s">
        <v>73</v>
      </c>
      <c r="E157" s="1">
        <v>1681.21</v>
      </c>
      <c r="F157" s="1">
        <v>5</v>
      </c>
      <c r="G157" s="1">
        <v>0.2</v>
      </c>
      <c r="H157" s="2">
        <v>45670</v>
      </c>
      <c r="I157" s="4">
        <v>336.24</v>
      </c>
    </row>
    <row r="158" spans="1:9" ht="15" thickBot="1" x14ac:dyDescent="0.35">
      <c r="A158" s="3" t="s">
        <v>20</v>
      </c>
      <c r="B158" s="1" t="s">
        <v>47</v>
      </c>
      <c r="C158" s="1" t="s">
        <v>66</v>
      </c>
      <c r="D158" s="1" t="s">
        <v>72</v>
      </c>
      <c r="E158" s="1">
        <v>379.77</v>
      </c>
      <c r="F158" s="1">
        <v>9</v>
      </c>
      <c r="G158" s="1">
        <v>0.05</v>
      </c>
      <c r="H158" s="2">
        <v>45673</v>
      </c>
      <c r="I158" s="4">
        <v>180.39</v>
      </c>
    </row>
    <row r="159" spans="1:9" ht="15" thickBot="1" x14ac:dyDescent="0.35">
      <c r="A159" s="3" t="s">
        <v>14</v>
      </c>
      <c r="B159" s="1" t="s">
        <v>51</v>
      </c>
      <c r="C159" s="1" t="s">
        <v>70</v>
      </c>
      <c r="D159" s="1" t="s">
        <v>72</v>
      </c>
      <c r="E159" s="1">
        <v>1076.33</v>
      </c>
      <c r="F159" s="1">
        <v>2</v>
      </c>
      <c r="G159" s="1">
        <v>0.1</v>
      </c>
      <c r="H159" s="2">
        <v>45674</v>
      </c>
      <c r="I159" s="4">
        <v>484.35</v>
      </c>
    </row>
    <row r="160" spans="1:9" ht="15" thickBot="1" x14ac:dyDescent="0.35">
      <c r="A160" s="3" t="s">
        <v>14</v>
      </c>
      <c r="B160" s="1" t="s">
        <v>45</v>
      </c>
      <c r="C160" s="1" t="s">
        <v>70</v>
      </c>
      <c r="D160" s="1" t="s">
        <v>75</v>
      </c>
      <c r="E160" s="1">
        <v>1250.71</v>
      </c>
      <c r="F160" s="1">
        <v>7</v>
      </c>
      <c r="G160" s="1">
        <v>0</v>
      </c>
      <c r="H160" s="2">
        <v>45674</v>
      </c>
      <c r="I160" s="4">
        <v>562.82000000000005</v>
      </c>
    </row>
    <row r="161" spans="1:9" ht="15" thickBot="1" x14ac:dyDescent="0.35">
      <c r="A161" s="3" t="s">
        <v>12</v>
      </c>
      <c r="B161" s="1" t="s">
        <v>41</v>
      </c>
      <c r="C161" s="1" t="s">
        <v>68</v>
      </c>
      <c r="D161" s="1" t="s">
        <v>72</v>
      </c>
      <c r="E161" s="1">
        <v>1118.3399999999999</v>
      </c>
      <c r="F161" s="1">
        <v>6</v>
      </c>
      <c r="G161" s="1">
        <v>0.2</v>
      </c>
      <c r="H161" s="2">
        <v>45674</v>
      </c>
      <c r="I161" s="4">
        <v>447.34</v>
      </c>
    </row>
    <row r="162" spans="1:9" ht="15" thickBot="1" x14ac:dyDescent="0.35">
      <c r="A162" s="3" t="s">
        <v>26</v>
      </c>
      <c r="B162" s="1" t="s">
        <v>56</v>
      </c>
      <c r="C162" s="1" t="s">
        <v>69</v>
      </c>
      <c r="D162" s="1" t="s">
        <v>72</v>
      </c>
      <c r="E162" s="1">
        <v>1622.62</v>
      </c>
      <c r="F162" s="1">
        <v>12</v>
      </c>
      <c r="G162" s="1">
        <v>0.2</v>
      </c>
      <c r="H162" s="2">
        <v>45677</v>
      </c>
      <c r="I162" s="4">
        <v>649.04999999999995</v>
      </c>
    </row>
    <row r="163" spans="1:9" ht="15" thickBot="1" x14ac:dyDescent="0.35">
      <c r="A163" s="3" t="s">
        <v>30</v>
      </c>
      <c r="B163" s="1" t="s">
        <v>53</v>
      </c>
      <c r="C163" s="1" t="s">
        <v>69</v>
      </c>
      <c r="D163" s="1" t="s">
        <v>71</v>
      </c>
      <c r="E163" s="1">
        <v>640.64</v>
      </c>
      <c r="F163" s="1">
        <v>11</v>
      </c>
      <c r="G163" s="1">
        <v>0.2</v>
      </c>
      <c r="H163" s="2">
        <v>45678</v>
      </c>
      <c r="I163" s="4">
        <v>205</v>
      </c>
    </row>
    <row r="164" spans="1:9" ht="15" thickBot="1" x14ac:dyDescent="0.35">
      <c r="A164" s="3" t="s">
        <v>5</v>
      </c>
      <c r="B164" s="1" t="s">
        <v>50</v>
      </c>
      <c r="C164" s="1" t="s">
        <v>66</v>
      </c>
      <c r="D164" s="1" t="s">
        <v>72</v>
      </c>
      <c r="E164" s="1">
        <v>585.16</v>
      </c>
      <c r="F164" s="1">
        <v>17</v>
      </c>
      <c r="G164" s="1">
        <v>0.1</v>
      </c>
      <c r="H164" s="2">
        <v>45684</v>
      </c>
      <c r="I164" s="4">
        <v>263.32</v>
      </c>
    </row>
    <row r="165" spans="1:9" ht="15" thickBot="1" x14ac:dyDescent="0.35">
      <c r="A165" s="3" t="s">
        <v>5</v>
      </c>
      <c r="B165" s="1" t="s">
        <v>45</v>
      </c>
      <c r="C165" s="1" t="s">
        <v>67</v>
      </c>
      <c r="D165" s="1" t="s">
        <v>72</v>
      </c>
      <c r="E165" s="1">
        <v>1109.98</v>
      </c>
      <c r="F165" s="1">
        <v>5</v>
      </c>
      <c r="G165" s="1">
        <v>0.2</v>
      </c>
      <c r="H165" s="2">
        <v>45690</v>
      </c>
      <c r="I165" s="4">
        <v>443.99</v>
      </c>
    </row>
    <row r="166" spans="1:9" ht="15" thickBot="1" x14ac:dyDescent="0.35">
      <c r="A166" s="3" t="s">
        <v>20</v>
      </c>
      <c r="B166" s="1" t="s">
        <v>51</v>
      </c>
      <c r="C166" s="1" t="s">
        <v>67</v>
      </c>
      <c r="D166" s="1" t="s">
        <v>71</v>
      </c>
      <c r="E166" s="1">
        <v>1098.08</v>
      </c>
      <c r="F166" s="1">
        <v>9</v>
      </c>
      <c r="G166" s="1">
        <v>0.1</v>
      </c>
      <c r="H166" s="2">
        <v>45692</v>
      </c>
      <c r="I166" s="4">
        <v>395.31</v>
      </c>
    </row>
    <row r="167" spans="1:9" ht="15" thickBot="1" x14ac:dyDescent="0.35">
      <c r="A167" s="3" t="s">
        <v>23</v>
      </c>
      <c r="B167" s="1" t="s">
        <v>53</v>
      </c>
      <c r="C167" s="1" t="s">
        <v>66</v>
      </c>
      <c r="D167" s="1" t="s">
        <v>75</v>
      </c>
      <c r="E167" s="1">
        <v>827.25</v>
      </c>
      <c r="F167" s="1">
        <v>7</v>
      </c>
      <c r="G167" s="1">
        <v>0.1</v>
      </c>
      <c r="H167" s="2">
        <v>45693</v>
      </c>
      <c r="I167" s="4">
        <v>335.04</v>
      </c>
    </row>
    <row r="168" spans="1:9" ht="15" thickBot="1" x14ac:dyDescent="0.35">
      <c r="A168" s="3" t="s">
        <v>26</v>
      </c>
      <c r="B168" s="1" t="s">
        <v>44</v>
      </c>
      <c r="C168" s="1" t="s">
        <v>70</v>
      </c>
      <c r="D168" s="1" t="s">
        <v>72</v>
      </c>
      <c r="E168" s="1">
        <v>741.88</v>
      </c>
      <c r="F168" s="1">
        <v>16</v>
      </c>
      <c r="G168" s="1">
        <v>0.1</v>
      </c>
      <c r="H168" s="2">
        <v>45695</v>
      </c>
      <c r="I168" s="4">
        <v>333.85</v>
      </c>
    </row>
    <row r="169" spans="1:9" ht="15" thickBot="1" x14ac:dyDescent="0.35">
      <c r="A169" s="3" t="s">
        <v>27</v>
      </c>
      <c r="B169" s="1" t="s">
        <v>39</v>
      </c>
      <c r="C169" s="1" t="s">
        <v>67</v>
      </c>
      <c r="D169" s="1" t="s">
        <v>75</v>
      </c>
      <c r="E169" s="1">
        <v>1311.26</v>
      </c>
      <c r="F169" s="1">
        <v>6</v>
      </c>
      <c r="G169" s="1">
        <v>0.1</v>
      </c>
      <c r="H169" s="2">
        <v>45698</v>
      </c>
      <c r="I169" s="4">
        <v>531.05999999999995</v>
      </c>
    </row>
    <row r="170" spans="1:9" ht="15" thickBot="1" x14ac:dyDescent="0.35">
      <c r="A170" s="3" t="s">
        <v>27</v>
      </c>
      <c r="B170" s="1" t="s">
        <v>45</v>
      </c>
      <c r="C170" s="1" t="s">
        <v>68</v>
      </c>
      <c r="D170" s="1" t="s">
        <v>75</v>
      </c>
      <c r="E170" s="1">
        <v>573.32000000000005</v>
      </c>
      <c r="F170" s="1">
        <v>19</v>
      </c>
      <c r="G170" s="1">
        <v>0.1</v>
      </c>
      <c r="H170" s="2">
        <v>45703</v>
      </c>
      <c r="I170" s="4">
        <v>232.19</v>
      </c>
    </row>
    <row r="171" spans="1:9" ht="15" thickBot="1" x14ac:dyDescent="0.35">
      <c r="A171" s="3" t="s">
        <v>17</v>
      </c>
      <c r="B171" s="1" t="s">
        <v>42</v>
      </c>
      <c r="C171" s="1" t="s">
        <v>66</v>
      </c>
      <c r="D171" s="1" t="s">
        <v>73</v>
      </c>
      <c r="E171" s="1">
        <v>1115.22</v>
      </c>
      <c r="F171" s="1">
        <v>14</v>
      </c>
      <c r="G171" s="1">
        <v>0.2</v>
      </c>
      <c r="H171" s="2">
        <v>45705</v>
      </c>
      <c r="I171" s="4">
        <v>223.04</v>
      </c>
    </row>
    <row r="172" spans="1:9" ht="15" thickBot="1" x14ac:dyDescent="0.35">
      <c r="A172" s="3" t="s">
        <v>2</v>
      </c>
      <c r="B172" s="1" t="s">
        <v>51</v>
      </c>
      <c r="C172" s="1" t="s">
        <v>69</v>
      </c>
      <c r="D172" s="1" t="s">
        <v>72</v>
      </c>
      <c r="E172" s="1">
        <v>845.84</v>
      </c>
      <c r="F172" s="1">
        <v>4</v>
      </c>
      <c r="G172" s="1">
        <v>0</v>
      </c>
      <c r="H172" s="2">
        <v>45707</v>
      </c>
      <c r="I172" s="4">
        <v>422.92</v>
      </c>
    </row>
    <row r="173" spans="1:9" ht="15" thickBot="1" x14ac:dyDescent="0.35">
      <c r="A173" s="3" t="s">
        <v>8</v>
      </c>
      <c r="B173" s="1" t="s">
        <v>57</v>
      </c>
      <c r="C173" s="1" t="s">
        <v>66</v>
      </c>
      <c r="D173" s="1" t="s">
        <v>73</v>
      </c>
      <c r="E173" s="1">
        <v>1029.8</v>
      </c>
      <c r="F173" s="1">
        <v>3</v>
      </c>
      <c r="G173" s="1">
        <v>0</v>
      </c>
      <c r="H173" s="2">
        <v>45708</v>
      </c>
      <c r="I173" s="4">
        <v>257.45</v>
      </c>
    </row>
    <row r="174" spans="1:9" ht="15" thickBot="1" x14ac:dyDescent="0.35">
      <c r="A174" s="3" t="s">
        <v>9</v>
      </c>
      <c r="B174" s="1" t="s">
        <v>45</v>
      </c>
      <c r="C174" s="1" t="s">
        <v>69</v>
      </c>
      <c r="D174" s="1" t="s">
        <v>71</v>
      </c>
      <c r="E174" s="1">
        <v>1189.83</v>
      </c>
      <c r="F174" s="1">
        <v>2</v>
      </c>
      <c r="G174" s="1">
        <v>0.2</v>
      </c>
      <c r="H174" s="2">
        <v>45709</v>
      </c>
      <c r="I174" s="4">
        <v>380.75</v>
      </c>
    </row>
    <row r="175" spans="1:9" ht="15" thickBot="1" x14ac:dyDescent="0.35">
      <c r="A175" s="3" t="s">
        <v>24</v>
      </c>
      <c r="B175" s="1" t="s">
        <v>50</v>
      </c>
      <c r="C175" s="1" t="s">
        <v>68</v>
      </c>
      <c r="D175" s="1" t="s">
        <v>71</v>
      </c>
      <c r="E175" s="1">
        <v>704.28</v>
      </c>
      <c r="F175" s="1">
        <v>15</v>
      </c>
      <c r="G175" s="1">
        <v>0.2</v>
      </c>
      <c r="H175" s="2">
        <v>45712</v>
      </c>
      <c r="I175" s="4">
        <v>225.37</v>
      </c>
    </row>
    <row r="176" spans="1:9" ht="15" thickBot="1" x14ac:dyDescent="0.35">
      <c r="A176" s="3" t="s">
        <v>23</v>
      </c>
      <c r="B176" s="1" t="s">
        <v>52</v>
      </c>
      <c r="C176" s="1" t="s">
        <v>70</v>
      </c>
      <c r="D176" s="1" t="s">
        <v>75</v>
      </c>
      <c r="E176" s="1">
        <v>1618.22</v>
      </c>
      <c r="F176" s="1">
        <v>12</v>
      </c>
      <c r="G176" s="1">
        <v>0.2</v>
      </c>
      <c r="H176" s="2">
        <v>45712</v>
      </c>
      <c r="I176" s="4">
        <v>582.55999999999995</v>
      </c>
    </row>
    <row r="177" spans="1:9" ht="15" thickBot="1" x14ac:dyDescent="0.35">
      <c r="A177" s="3" t="s">
        <v>28</v>
      </c>
      <c r="B177" s="1" t="s">
        <v>56</v>
      </c>
      <c r="C177" s="1" t="s">
        <v>70</v>
      </c>
      <c r="D177" s="1" t="s">
        <v>71</v>
      </c>
      <c r="E177" s="1">
        <v>1014.43</v>
      </c>
      <c r="F177" s="1">
        <v>2</v>
      </c>
      <c r="G177" s="1">
        <v>0.15</v>
      </c>
      <c r="H177" s="2">
        <v>45713</v>
      </c>
      <c r="I177" s="4">
        <v>344.91</v>
      </c>
    </row>
    <row r="178" spans="1:9" ht="15" thickBot="1" x14ac:dyDescent="0.35">
      <c r="A178" s="3" t="s">
        <v>30</v>
      </c>
      <c r="B178" s="1" t="s">
        <v>45</v>
      </c>
      <c r="C178" s="1" t="s">
        <v>70</v>
      </c>
      <c r="D178" s="1" t="s">
        <v>72</v>
      </c>
      <c r="E178" s="1">
        <v>826.97</v>
      </c>
      <c r="F178" s="1">
        <v>18</v>
      </c>
      <c r="G178" s="1">
        <v>0.2</v>
      </c>
      <c r="H178" s="2">
        <v>45715</v>
      </c>
      <c r="I178" s="4">
        <v>330.79</v>
      </c>
    </row>
    <row r="179" spans="1:9" ht="15" thickBot="1" x14ac:dyDescent="0.35">
      <c r="A179" s="3" t="s">
        <v>3</v>
      </c>
      <c r="B179" s="1" t="s">
        <v>45</v>
      </c>
      <c r="C179" s="1" t="s">
        <v>70</v>
      </c>
      <c r="D179" s="1" t="s">
        <v>72</v>
      </c>
      <c r="E179" s="1">
        <v>1022.23</v>
      </c>
      <c r="F179" s="1">
        <v>8</v>
      </c>
      <c r="G179" s="1">
        <v>0.1</v>
      </c>
      <c r="H179" s="2">
        <v>45717</v>
      </c>
      <c r="I179" s="4">
        <v>460</v>
      </c>
    </row>
    <row r="180" spans="1:9" ht="15" thickBot="1" x14ac:dyDescent="0.35">
      <c r="A180" s="3" t="s">
        <v>27</v>
      </c>
      <c r="B180" s="1" t="s">
        <v>44</v>
      </c>
      <c r="C180" s="1" t="s">
        <v>67</v>
      </c>
      <c r="D180" s="1" t="s">
        <v>71</v>
      </c>
      <c r="E180" s="1">
        <v>1099.69</v>
      </c>
      <c r="F180" s="1">
        <v>6</v>
      </c>
      <c r="G180" s="1">
        <v>0</v>
      </c>
      <c r="H180" s="2">
        <v>45718</v>
      </c>
      <c r="I180" s="4">
        <v>439.88</v>
      </c>
    </row>
    <row r="181" spans="1:9" ht="15" thickBot="1" x14ac:dyDescent="0.35">
      <c r="A181" s="3" t="s">
        <v>17</v>
      </c>
      <c r="B181" s="1" t="s">
        <v>62</v>
      </c>
      <c r="C181" s="1" t="s">
        <v>69</v>
      </c>
      <c r="D181" s="1" t="s">
        <v>71</v>
      </c>
      <c r="E181" s="1">
        <v>710.52</v>
      </c>
      <c r="F181" s="1">
        <v>8</v>
      </c>
      <c r="G181" s="1">
        <v>0.1</v>
      </c>
      <c r="H181" s="2">
        <v>45721</v>
      </c>
      <c r="I181" s="4">
        <v>255.79</v>
      </c>
    </row>
    <row r="182" spans="1:9" ht="15" thickBot="1" x14ac:dyDescent="0.35">
      <c r="A182" s="3" t="s">
        <v>17</v>
      </c>
      <c r="B182" s="1" t="s">
        <v>59</v>
      </c>
      <c r="C182" s="1" t="s">
        <v>69</v>
      </c>
      <c r="D182" s="1" t="s">
        <v>71</v>
      </c>
      <c r="E182" s="1">
        <v>499.18</v>
      </c>
      <c r="F182" s="1">
        <v>15</v>
      </c>
      <c r="G182" s="1">
        <v>0.2</v>
      </c>
      <c r="H182" s="2">
        <v>45724</v>
      </c>
      <c r="I182" s="4">
        <v>159.74</v>
      </c>
    </row>
    <row r="183" spans="1:9" ht="15" thickBot="1" x14ac:dyDescent="0.35">
      <c r="A183" s="3" t="s">
        <v>11</v>
      </c>
      <c r="B183" s="1" t="s">
        <v>48</v>
      </c>
      <c r="C183" s="1" t="s">
        <v>68</v>
      </c>
      <c r="D183" s="1" t="s">
        <v>71</v>
      </c>
      <c r="E183" s="1">
        <v>1064.19</v>
      </c>
      <c r="F183" s="1">
        <v>18</v>
      </c>
      <c r="G183" s="1">
        <v>0.05</v>
      </c>
      <c r="H183" s="2">
        <v>45725</v>
      </c>
      <c r="I183" s="4">
        <v>404.39</v>
      </c>
    </row>
    <row r="184" spans="1:9" ht="15" thickBot="1" x14ac:dyDescent="0.35">
      <c r="A184" s="3" t="s">
        <v>24</v>
      </c>
      <c r="B184" s="1" t="s">
        <v>48</v>
      </c>
      <c r="C184" s="1" t="s">
        <v>67</v>
      </c>
      <c r="D184" s="1" t="s">
        <v>75</v>
      </c>
      <c r="E184" s="1">
        <v>438.76</v>
      </c>
      <c r="F184" s="1">
        <v>18</v>
      </c>
      <c r="G184" s="1">
        <v>0.05</v>
      </c>
      <c r="H184" s="2">
        <v>45726</v>
      </c>
      <c r="I184" s="4">
        <v>187.57</v>
      </c>
    </row>
    <row r="185" spans="1:9" ht="15" thickBot="1" x14ac:dyDescent="0.35">
      <c r="A185" s="3" t="s">
        <v>13</v>
      </c>
      <c r="B185" s="1" t="s">
        <v>57</v>
      </c>
      <c r="C185" s="1" t="s">
        <v>66</v>
      </c>
      <c r="D185" s="1" t="s">
        <v>72</v>
      </c>
      <c r="E185" s="1">
        <v>864.98</v>
      </c>
      <c r="F185" s="1">
        <v>2</v>
      </c>
      <c r="G185" s="1">
        <v>0.05</v>
      </c>
      <c r="H185" s="2">
        <v>45727</v>
      </c>
      <c r="I185" s="4">
        <v>410.87</v>
      </c>
    </row>
    <row r="186" spans="1:9" ht="15" thickBot="1" x14ac:dyDescent="0.35">
      <c r="A186" s="3" t="s">
        <v>19</v>
      </c>
      <c r="B186" s="1" t="s">
        <v>57</v>
      </c>
      <c r="C186" s="1" t="s">
        <v>66</v>
      </c>
      <c r="D186" s="1" t="s">
        <v>74</v>
      </c>
      <c r="E186" s="1">
        <v>984.93</v>
      </c>
      <c r="F186" s="1">
        <v>14</v>
      </c>
      <c r="G186" s="1">
        <v>0.2</v>
      </c>
      <c r="H186" s="2">
        <v>45733</v>
      </c>
      <c r="I186" s="4">
        <v>275.77999999999997</v>
      </c>
    </row>
    <row r="187" spans="1:9" ht="15" thickBot="1" x14ac:dyDescent="0.35">
      <c r="A187" s="3" t="s">
        <v>6</v>
      </c>
      <c r="B187" s="1" t="s">
        <v>57</v>
      </c>
      <c r="C187" s="1" t="s">
        <v>66</v>
      </c>
      <c r="D187" s="1" t="s">
        <v>72</v>
      </c>
      <c r="E187" s="1">
        <v>1493.49</v>
      </c>
      <c r="F187" s="1">
        <v>18</v>
      </c>
      <c r="G187" s="1">
        <v>0</v>
      </c>
      <c r="H187" s="2">
        <v>45734</v>
      </c>
      <c r="I187" s="4">
        <v>746.74</v>
      </c>
    </row>
    <row r="188" spans="1:9" ht="15" thickBot="1" x14ac:dyDescent="0.35">
      <c r="A188" s="3" t="s">
        <v>9</v>
      </c>
      <c r="B188" s="1" t="s">
        <v>56</v>
      </c>
      <c r="C188" s="1" t="s">
        <v>68</v>
      </c>
      <c r="D188" s="1" t="s">
        <v>72</v>
      </c>
      <c r="E188" s="1">
        <v>689.43</v>
      </c>
      <c r="F188" s="1">
        <v>9</v>
      </c>
      <c r="G188" s="1">
        <v>0.1</v>
      </c>
      <c r="H188" s="2">
        <v>45736</v>
      </c>
      <c r="I188" s="4">
        <v>310.24</v>
      </c>
    </row>
    <row r="189" spans="1:9" ht="15" thickBot="1" x14ac:dyDescent="0.35">
      <c r="A189" s="3" t="s">
        <v>12</v>
      </c>
      <c r="B189" s="1" t="s">
        <v>59</v>
      </c>
      <c r="C189" s="1" t="s">
        <v>68</v>
      </c>
      <c r="D189" s="1" t="s">
        <v>72</v>
      </c>
      <c r="E189" s="1">
        <v>682.24</v>
      </c>
      <c r="F189" s="1">
        <v>1</v>
      </c>
      <c r="G189" s="1">
        <v>0</v>
      </c>
      <c r="H189" s="2">
        <v>45738</v>
      </c>
      <c r="I189" s="4">
        <v>341.12</v>
      </c>
    </row>
    <row r="190" spans="1:9" ht="15" thickBot="1" x14ac:dyDescent="0.35">
      <c r="A190" s="3" t="s">
        <v>13</v>
      </c>
      <c r="B190" s="1" t="s">
        <v>43</v>
      </c>
      <c r="C190" s="1" t="s">
        <v>69</v>
      </c>
      <c r="D190" s="1" t="s">
        <v>73</v>
      </c>
      <c r="E190" s="1">
        <v>458.54</v>
      </c>
      <c r="F190" s="1">
        <v>15</v>
      </c>
      <c r="G190" s="1">
        <v>0.2</v>
      </c>
      <c r="H190" s="2">
        <v>45741</v>
      </c>
      <c r="I190" s="4">
        <v>91.71</v>
      </c>
    </row>
    <row r="191" spans="1:9" ht="15" thickBot="1" x14ac:dyDescent="0.35">
      <c r="A191" s="3" t="s">
        <v>9</v>
      </c>
      <c r="B191" s="1" t="s">
        <v>43</v>
      </c>
      <c r="C191" s="1" t="s">
        <v>68</v>
      </c>
      <c r="D191" s="1" t="s">
        <v>74</v>
      </c>
      <c r="E191" s="1">
        <v>1184.25</v>
      </c>
      <c r="F191" s="1">
        <v>11</v>
      </c>
      <c r="G191" s="1">
        <v>0.2</v>
      </c>
      <c r="H191" s="2">
        <v>45742</v>
      </c>
      <c r="I191" s="4">
        <v>331.59</v>
      </c>
    </row>
    <row r="192" spans="1:9" ht="15" thickBot="1" x14ac:dyDescent="0.35">
      <c r="A192" s="3" t="s">
        <v>6</v>
      </c>
      <c r="B192" s="1" t="s">
        <v>39</v>
      </c>
      <c r="C192" s="1" t="s">
        <v>68</v>
      </c>
      <c r="D192" s="1" t="s">
        <v>72</v>
      </c>
      <c r="E192" s="1">
        <v>762.14</v>
      </c>
      <c r="F192" s="1">
        <v>9</v>
      </c>
      <c r="G192" s="1">
        <v>0</v>
      </c>
      <c r="H192" s="2">
        <v>45743</v>
      </c>
      <c r="I192" s="4">
        <v>381.07</v>
      </c>
    </row>
    <row r="193" spans="1:9" ht="15" thickBot="1" x14ac:dyDescent="0.35">
      <c r="A193" s="3" t="s">
        <v>5</v>
      </c>
      <c r="B193" s="1" t="s">
        <v>56</v>
      </c>
      <c r="C193" s="1" t="s">
        <v>69</v>
      </c>
      <c r="D193" s="1" t="s">
        <v>71</v>
      </c>
      <c r="E193" s="1">
        <v>750.71</v>
      </c>
      <c r="F193" s="1">
        <v>10</v>
      </c>
      <c r="G193" s="1">
        <v>0.15</v>
      </c>
      <c r="H193" s="2">
        <v>45743</v>
      </c>
      <c r="I193" s="4">
        <v>255.24</v>
      </c>
    </row>
    <row r="194" spans="1:9" ht="15" thickBot="1" x14ac:dyDescent="0.35">
      <c r="A194" s="3" t="s">
        <v>30</v>
      </c>
      <c r="B194" s="1" t="s">
        <v>65</v>
      </c>
      <c r="C194" s="1" t="s">
        <v>70</v>
      </c>
      <c r="D194" s="1" t="s">
        <v>72</v>
      </c>
      <c r="E194" s="1">
        <v>1456.94</v>
      </c>
      <c r="F194" s="1">
        <v>14</v>
      </c>
      <c r="G194" s="1">
        <v>0.05</v>
      </c>
      <c r="H194" s="2">
        <v>45745</v>
      </c>
      <c r="I194" s="4">
        <v>692.05</v>
      </c>
    </row>
    <row r="195" spans="1:9" ht="15" thickBot="1" x14ac:dyDescent="0.35">
      <c r="A195" s="3" t="s">
        <v>14</v>
      </c>
      <c r="B195" s="1" t="s">
        <v>60</v>
      </c>
      <c r="C195" s="1" t="s">
        <v>67</v>
      </c>
      <c r="D195" s="1" t="s">
        <v>74</v>
      </c>
      <c r="E195" s="1">
        <v>1093.3800000000001</v>
      </c>
      <c r="F195" s="1">
        <v>17</v>
      </c>
      <c r="G195" s="1">
        <v>0.1</v>
      </c>
      <c r="H195" s="2">
        <v>45745</v>
      </c>
      <c r="I195" s="4">
        <v>344.41</v>
      </c>
    </row>
    <row r="196" spans="1:9" ht="15" thickBot="1" x14ac:dyDescent="0.35">
      <c r="A196" s="3" t="s">
        <v>11</v>
      </c>
      <c r="B196" s="1" t="s">
        <v>50</v>
      </c>
      <c r="C196" s="1" t="s">
        <v>66</v>
      </c>
      <c r="D196" s="1" t="s">
        <v>72</v>
      </c>
      <c r="E196" s="1">
        <v>934.27</v>
      </c>
      <c r="F196" s="1">
        <v>8</v>
      </c>
      <c r="G196" s="1">
        <v>0.15</v>
      </c>
      <c r="H196" s="2">
        <v>45746</v>
      </c>
      <c r="I196" s="4">
        <v>397.06</v>
      </c>
    </row>
    <row r="197" spans="1:9" ht="15" thickBot="1" x14ac:dyDescent="0.35">
      <c r="A197" s="3" t="s">
        <v>26</v>
      </c>
      <c r="B197" s="1" t="s">
        <v>47</v>
      </c>
      <c r="C197" s="1" t="s">
        <v>70</v>
      </c>
      <c r="D197" s="1" t="s">
        <v>72</v>
      </c>
      <c r="E197" s="1">
        <v>1465.35</v>
      </c>
      <c r="F197" s="1">
        <v>8</v>
      </c>
      <c r="G197" s="1">
        <v>0.2</v>
      </c>
      <c r="H197" s="2">
        <v>45746</v>
      </c>
      <c r="I197" s="4">
        <v>586.14</v>
      </c>
    </row>
    <row r="198" spans="1:9" ht="15" thickBot="1" x14ac:dyDescent="0.35">
      <c r="A198" s="3" t="s">
        <v>17</v>
      </c>
      <c r="B198" s="1" t="s">
        <v>40</v>
      </c>
      <c r="C198" s="1" t="s">
        <v>68</v>
      </c>
      <c r="D198" s="1" t="s">
        <v>75</v>
      </c>
      <c r="E198" s="1">
        <v>740.8</v>
      </c>
      <c r="F198" s="1">
        <v>3</v>
      </c>
      <c r="G198" s="1">
        <v>0</v>
      </c>
      <c r="H198" s="2">
        <v>45749</v>
      </c>
      <c r="I198" s="4">
        <v>333.36</v>
      </c>
    </row>
    <row r="199" spans="1:9" ht="15" thickBot="1" x14ac:dyDescent="0.35">
      <c r="A199" s="3" t="s">
        <v>20</v>
      </c>
      <c r="B199" s="1" t="s">
        <v>50</v>
      </c>
      <c r="C199" s="1" t="s">
        <v>66</v>
      </c>
      <c r="D199" s="1" t="s">
        <v>75</v>
      </c>
      <c r="E199" s="1">
        <v>545.44000000000005</v>
      </c>
      <c r="F199" s="1">
        <v>17</v>
      </c>
      <c r="G199" s="1">
        <v>0</v>
      </c>
      <c r="H199" s="2">
        <v>45752</v>
      </c>
      <c r="I199" s="4">
        <v>245.45</v>
      </c>
    </row>
    <row r="200" spans="1:9" ht="15" thickBot="1" x14ac:dyDescent="0.35">
      <c r="A200" s="3" t="s">
        <v>10</v>
      </c>
      <c r="B200" s="1" t="s">
        <v>47</v>
      </c>
      <c r="C200" s="1" t="s">
        <v>67</v>
      </c>
      <c r="D200" s="1" t="s">
        <v>71</v>
      </c>
      <c r="E200" s="1">
        <v>997.61</v>
      </c>
      <c r="F200" s="1">
        <v>8</v>
      </c>
      <c r="G200" s="1">
        <v>0.05</v>
      </c>
      <c r="H200" s="2">
        <v>45752</v>
      </c>
      <c r="I200" s="4">
        <v>379.09</v>
      </c>
    </row>
    <row r="201" spans="1:9" x14ac:dyDescent="0.3">
      <c r="A201" s="8" t="s">
        <v>21</v>
      </c>
      <c r="B201" s="9" t="s">
        <v>47</v>
      </c>
      <c r="C201" s="9" t="s">
        <v>68</v>
      </c>
      <c r="D201" s="9" t="s">
        <v>72</v>
      </c>
      <c r="E201" s="9">
        <v>928.32</v>
      </c>
      <c r="F201" s="9">
        <v>2</v>
      </c>
      <c r="G201" s="9">
        <v>0.05</v>
      </c>
      <c r="H201" s="10">
        <v>45754</v>
      </c>
      <c r="I201" s="11">
        <v>440.95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4F0D-3731-4498-8958-197610CAF81C}">
  <dimension ref="A1:Q201"/>
  <sheetViews>
    <sheetView showGridLines="0" zoomScale="78" workbookViewId="0">
      <selection activeCell="D110" sqref="D110"/>
    </sheetView>
  </sheetViews>
  <sheetFormatPr defaultRowHeight="14.4" x14ac:dyDescent="0.3"/>
  <cols>
    <col min="1" max="1" width="18.88671875" customWidth="1"/>
    <col min="2" max="2" width="13" customWidth="1"/>
    <col min="3" max="3" width="18.109375" customWidth="1"/>
    <col min="4" max="4" width="23" customWidth="1"/>
    <col min="5" max="5" width="18.77734375" customWidth="1"/>
    <col min="6" max="6" width="17.109375" customWidth="1"/>
    <col min="7" max="7" width="21.21875" customWidth="1"/>
    <col min="8" max="8" width="16.21875" customWidth="1"/>
    <col min="9" max="9" width="15.77734375" customWidth="1"/>
    <col min="16" max="16" width="16.5546875" bestFit="1" customWidth="1"/>
    <col min="17" max="18" width="14.109375" customWidth="1"/>
  </cols>
  <sheetData>
    <row r="1" spans="1:17" ht="17.399999999999999" customHeight="1" thickBot="1" x14ac:dyDescent="0.35">
      <c r="A1" s="71" t="s">
        <v>76</v>
      </c>
      <c r="B1" s="71"/>
      <c r="C1" s="71"/>
      <c r="K1" s="22" t="s">
        <v>34</v>
      </c>
      <c r="L1" s="22" t="s">
        <v>35</v>
      </c>
      <c r="M1" s="22" t="s">
        <v>36</v>
      </c>
      <c r="N1" s="22" t="s">
        <v>38</v>
      </c>
      <c r="P1" s="43" t="s">
        <v>34</v>
      </c>
      <c r="Q1" s="43" t="s">
        <v>38</v>
      </c>
    </row>
    <row r="2" spans="1:17" ht="15" thickBot="1" x14ac:dyDescent="0.35">
      <c r="K2" s="23">
        <v>1036.0899999999999</v>
      </c>
      <c r="L2" s="23">
        <v>4</v>
      </c>
      <c r="M2" s="23">
        <v>0.2</v>
      </c>
      <c r="N2" s="23">
        <v>331.55</v>
      </c>
      <c r="P2" s="23">
        <v>1036.0899999999999</v>
      </c>
      <c r="Q2" s="23">
        <v>331.55</v>
      </c>
    </row>
    <row r="3" spans="1:17" ht="15" thickBot="1" x14ac:dyDescent="0.35">
      <c r="A3" s="71" t="s">
        <v>77</v>
      </c>
      <c r="B3" s="71"/>
      <c r="C3" s="71"/>
      <c r="D3" s="71"/>
      <c r="E3" s="71"/>
      <c r="F3" s="71"/>
      <c r="G3" s="71"/>
      <c r="H3" s="71"/>
      <c r="K3" s="1">
        <v>1101.28</v>
      </c>
      <c r="L3" s="1">
        <v>3</v>
      </c>
      <c r="M3" s="1">
        <v>0.2</v>
      </c>
      <c r="N3" s="1">
        <v>440.51</v>
      </c>
      <c r="P3" s="1">
        <v>1101.28</v>
      </c>
      <c r="Q3" s="1">
        <v>440.51</v>
      </c>
    </row>
    <row r="4" spans="1:17" ht="15" thickBot="1" x14ac:dyDescent="0.35">
      <c r="K4" s="23">
        <v>713.34</v>
      </c>
      <c r="L4" s="23">
        <v>17</v>
      </c>
      <c r="M4" s="23">
        <v>0</v>
      </c>
      <c r="N4" s="23">
        <v>285.33999999999997</v>
      </c>
      <c r="P4" s="23">
        <v>713.34</v>
      </c>
      <c r="Q4" s="23">
        <v>285.33999999999997</v>
      </c>
    </row>
    <row r="5" spans="1:17" ht="15" thickBot="1" x14ac:dyDescent="0.35">
      <c r="A5" s="18" t="s">
        <v>78</v>
      </c>
      <c r="B5" s="20" t="s">
        <v>79</v>
      </c>
      <c r="K5" s="1">
        <v>760.93</v>
      </c>
      <c r="L5" s="1">
        <v>4</v>
      </c>
      <c r="M5" s="1">
        <v>0.15</v>
      </c>
      <c r="N5" s="1">
        <v>161.69999999999999</v>
      </c>
      <c r="P5" s="1">
        <v>760.93</v>
      </c>
      <c r="Q5" s="1">
        <v>161.69999999999999</v>
      </c>
    </row>
    <row r="6" spans="1:17" ht="15" thickBot="1" x14ac:dyDescent="0.35">
      <c r="A6" s="21" t="str" cm="1">
        <f t="array" ref="A6:A35">_xlfn._xlws.SORT(_xlfn.UNIQUE(SalesData[Customer_ID]))</f>
        <v>CUST001</v>
      </c>
      <c r="B6" s="13">
        <f>SUMIF(SalesData[Customer_ID],A6,SalesData[Sales])</f>
        <v>6549.55</v>
      </c>
      <c r="K6" s="23">
        <v>847</v>
      </c>
      <c r="L6" s="23">
        <v>12</v>
      </c>
      <c r="M6" s="23">
        <v>0.2</v>
      </c>
      <c r="N6" s="23">
        <v>271.04000000000002</v>
      </c>
      <c r="P6" s="23">
        <v>847</v>
      </c>
      <c r="Q6" s="23">
        <v>271.04000000000002</v>
      </c>
    </row>
    <row r="7" spans="1:17" ht="15" thickBot="1" x14ac:dyDescent="0.35">
      <c r="A7" s="21" t="str">
        <v>CUST002</v>
      </c>
      <c r="B7" s="13">
        <f>SUMIF(SalesData[Customer_ID],A7,SalesData[Sales])</f>
        <v>6481.43</v>
      </c>
      <c r="K7" s="1">
        <v>965.64</v>
      </c>
      <c r="L7" s="1">
        <v>8</v>
      </c>
      <c r="M7" s="1">
        <v>0.1</v>
      </c>
      <c r="N7" s="1">
        <v>304.18</v>
      </c>
      <c r="P7" s="1">
        <v>965.64</v>
      </c>
      <c r="Q7" s="1">
        <v>304.18</v>
      </c>
    </row>
    <row r="8" spans="1:17" ht="15" thickBot="1" x14ac:dyDescent="0.35">
      <c r="A8" s="21" t="str">
        <v>CUST003</v>
      </c>
      <c r="B8" s="13">
        <f>SUMIF(SalesData[Customer_ID],A8,SalesData[Sales])</f>
        <v>8490.18</v>
      </c>
      <c r="K8" s="23">
        <v>1317.53</v>
      </c>
      <c r="L8" s="23">
        <v>12</v>
      </c>
      <c r="M8" s="23">
        <v>0.05</v>
      </c>
      <c r="N8" s="23">
        <v>312.91000000000003</v>
      </c>
      <c r="P8" s="23">
        <v>1317.53</v>
      </c>
      <c r="Q8" s="23">
        <v>312.91000000000003</v>
      </c>
    </row>
    <row r="9" spans="1:17" ht="15" thickBot="1" x14ac:dyDescent="0.35">
      <c r="A9" s="21" t="str">
        <v>CUST004</v>
      </c>
      <c r="B9" s="13">
        <f>SUMIF(SalesData[Customer_ID],A9,SalesData[Sales])</f>
        <v>7813.59</v>
      </c>
      <c r="K9" s="1">
        <v>1074.47</v>
      </c>
      <c r="L9" s="1">
        <v>6</v>
      </c>
      <c r="M9" s="1">
        <v>0.2</v>
      </c>
      <c r="N9" s="1">
        <v>300.85000000000002</v>
      </c>
      <c r="P9" s="1">
        <v>1074.47</v>
      </c>
      <c r="Q9" s="1">
        <v>300.85000000000002</v>
      </c>
    </row>
    <row r="10" spans="1:17" ht="15" thickBot="1" x14ac:dyDescent="0.35">
      <c r="A10" s="21" t="str">
        <v>CUST005</v>
      </c>
      <c r="B10" s="13">
        <f>SUMIF(SalesData[Customer_ID],A10,SalesData[Sales])</f>
        <v>6666.130000000001</v>
      </c>
      <c r="K10" s="23">
        <v>501.54</v>
      </c>
      <c r="L10" s="23">
        <v>11</v>
      </c>
      <c r="M10" s="23">
        <v>0.05</v>
      </c>
      <c r="N10" s="23">
        <v>190.59</v>
      </c>
      <c r="P10" s="23">
        <v>501.54</v>
      </c>
      <c r="Q10" s="23">
        <v>190.59</v>
      </c>
    </row>
    <row r="11" spans="1:17" ht="15" thickBot="1" x14ac:dyDescent="0.35">
      <c r="A11" s="21" t="str">
        <v>CUST006</v>
      </c>
      <c r="B11" s="13">
        <f>SUMIF(SalesData[Customer_ID],A11,SalesData[Sales])</f>
        <v>2699.75</v>
      </c>
      <c r="K11" s="1">
        <v>737.31</v>
      </c>
      <c r="L11" s="1">
        <v>2</v>
      </c>
      <c r="M11" s="1">
        <v>0.05</v>
      </c>
      <c r="N11" s="1">
        <v>350.22</v>
      </c>
      <c r="P11" s="1">
        <v>737.31</v>
      </c>
      <c r="Q11" s="1">
        <v>350.22</v>
      </c>
    </row>
    <row r="12" spans="1:17" ht="15" thickBot="1" x14ac:dyDescent="0.35">
      <c r="A12" s="21" t="str">
        <v>CUST007</v>
      </c>
      <c r="B12" s="13">
        <f>SUMIF(SalesData[Customer_ID],A12,SalesData[Sales])</f>
        <v>9941.8799999999992</v>
      </c>
      <c r="K12" s="23">
        <v>1572.82</v>
      </c>
      <c r="L12" s="23">
        <v>6</v>
      </c>
      <c r="M12" s="23">
        <v>0.05</v>
      </c>
      <c r="N12" s="23">
        <v>672.38</v>
      </c>
      <c r="P12" s="23">
        <v>1572.82</v>
      </c>
      <c r="Q12" s="23">
        <v>672.38</v>
      </c>
    </row>
    <row r="13" spans="1:17" ht="15" thickBot="1" x14ac:dyDescent="0.35">
      <c r="A13" s="21" t="str">
        <v>CUST008</v>
      </c>
      <c r="B13" s="13">
        <f>SUMIF(SalesData[Customer_ID],A13,SalesData[Sales])</f>
        <v>9760.7999999999993</v>
      </c>
      <c r="K13" s="1">
        <v>1343.13</v>
      </c>
      <c r="L13" s="1">
        <v>14</v>
      </c>
      <c r="M13" s="1">
        <v>0.15</v>
      </c>
      <c r="N13" s="1">
        <v>456.66</v>
      </c>
      <c r="P13" s="1">
        <v>1343.13</v>
      </c>
      <c r="Q13" s="1">
        <v>456.66</v>
      </c>
    </row>
    <row r="14" spans="1:17" ht="15" thickBot="1" x14ac:dyDescent="0.35">
      <c r="A14" s="21" t="str">
        <v>CUST009</v>
      </c>
      <c r="B14" s="13">
        <f>SUMIF(SalesData[Customer_ID],A14,SalesData[Sales])</f>
        <v>6505.2</v>
      </c>
      <c r="K14" s="23">
        <v>1191.58</v>
      </c>
      <c r="L14" s="23">
        <v>14</v>
      </c>
      <c r="M14" s="23">
        <v>0.05</v>
      </c>
      <c r="N14" s="23">
        <v>452.8</v>
      </c>
      <c r="P14" s="23">
        <v>1191.58</v>
      </c>
      <c r="Q14" s="23">
        <v>452.8</v>
      </c>
    </row>
    <row r="15" spans="1:17" ht="15" thickBot="1" x14ac:dyDescent="0.35">
      <c r="A15" s="21" t="str">
        <v>CUST010</v>
      </c>
      <c r="B15" s="13">
        <f>SUMIF(SalesData[Customer_ID],A15,SalesData[Sales])</f>
        <v>4259.22</v>
      </c>
      <c r="K15" s="1">
        <v>822.28</v>
      </c>
      <c r="L15" s="1">
        <v>7</v>
      </c>
      <c r="M15" s="1">
        <v>0.05</v>
      </c>
      <c r="N15" s="1">
        <v>273.41000000000003</v>
      </c>
      <c r="P15" s="1">
        <v>822.28</v>
      </c>
      <c r="Q15" s="1">
        <v>273.41000000000003</v>
      </c>
    </row>
    <row r="16" spans="1:17" ht="15" thickBot="1" x14ac:dyDescent="0.35">
      <c r="A16" s="21" t="str">
        <v>CUST011</v>
      </c>
      <c r="B16" s="13">
        <f>SUMIF(SalesData[Customer_ID],A16,SalesData[Sales])</f>
        <v>3762.2900000000004</v>
      </c>
      <c r="K16" s="23">
        <v>521.66999999999996</v>
      </c>
      <c r="L16" s="23">
        <v>15</v>
      </c>
      <c r="M16" s="23">
        <v>0.15</v>
      </c>
      <c r="N16" s="23">
        <v>155.19999999999999</v>
      </c>
      <c r="P16" s="23">
        <v>521.66999999999996</v>
      </c>
      <c r="Q16" s="23">
        <v>155.19999999999999</v>
      </c>
    </row>
    <row r="17" spans="1:17" ht="15" thickBot="1" x14ac:dyDescent="0.35">
      <c r="A17" s="21" t="str">
        <v>CUST012</v>
      </c>
      <c r="B17" s="13">
        <f>SUMIF(SalesData[Customer_ID],A17,SalesData[Sales])</f>
        <v>8339</v>
      </c>
      <c r="K17" s="1">
        <v>1502.93</v>
      </c>
      <c r="L17" s="1">
        <v>14</v>
      </c>
      <c r="M17" s="1">
        <v>0.2</v>
      </c>
      <c r="N17" s="1">
        <v>300.58999999999997</v>
      </c>
      <c r="P17" s="1">
        <v>1502.93</v>
      </c>
      <c r="Q17" s="1">
        <v>300.58999999999997</v>
      </c>
    </row>
    <row r="18" spans="1:17" ht="15" thickBot="1" x14ac:dyDescent="0.35">
      <c r="A18" s="21" t="str">
        <v>CUST013</v>
      </c>
      <c r="B18" s="13">
        <f>SUMIF(SalesData[Customer_ID],A18,SalesData[Sales])</f>
        <v>4162.4400000000005</v>
      </c>
      <c r="K18" s="23">
        <v>877.58</v>
      </c>
      <c r="L18" s="23">
        <v>10</v>
      </c>
      <c r="M18" s="23">
        <v>0.15</v>
      </c>
      <c r="N18" s="23">
        <v>298.38</v>
      </c>
      <c r="P18" s="23">
        <v>877.58</v>
      </c>
      <c r="Q18" s="23">
        <v>298.38</v>
      </c>
    </row>
    <row r="19" spans="1:17" ht="15" thickBot="1" x14ac:dyDescent="0.35">
      <c r="A19" s="21" t="str">
        <v>CUST014</v>
      </c>
      <c r="B19" s="13">
        <f>SUMIF(SalesData[Customer_ID],A19,SalesData[Sales])</f>
        <v>6729.8899999999994</v>
      </c>
      <c r="K19" s="1">
        <v>636.70000000000005</v>
      </c>
      <c r="L19" s="1">
        <v>4</v>
      </c>
      <c r="M19" s="1">
        <v>0.2</v>
      </c>
      <c r="N19" s="1">
        <v>203.74</v>
      </c>
      <c r="P19" s="1">
        <v>636.70000000000005</v>
      </c>
      <c r="Q19" s="1">
        <v>203.74</v>
      </c>
    </row>
    <row r="20" spans="1:17" ht="15" thickBot="1" x14ac:dyDescent="0.35">
      <c r="A20" s="21" t="str">
        <v>CUST015</v>
      </c>
      <c r="B20" s="13">
        <f>SUMIF(SalesData[Customer_ID],A20,SalesData[Sales])</f>
        <v>11611.060000000001</v>
      </c>
      <c r="K20" s="23">
        <v>1506.14</v>
      </c>
      <c r="L20" s="23">
        <v>13</v>
      </c>
      <c r="M20" s="23">
        <v>0.2</v>
      </c>
      <c r="N20" s="23">
        <v>481.96</v>
      </c>
      <c r="P20" s="23">
        <v>1506.14</v>
      </c>
      <c r="Q20" s="23">
        <v>481.96</v>
      </c>
    </row>
    <row r="21" spans="1:17" ht="15" thickBot="1" x14ac:dyDescent="0.35">
      <c r="A21" s="21" t="str">
        <v>CUST016</v>
      </c>
      <c r="B21" s="13">
        <f>SUMIF(SalesData[Customer_ID],A21,SalesData[Sales])</f>
        <v>3369.17</v>
      </c>
      <c r="K21" s="1">
        <v>645.02</v>
      </c>
      <c r="L21" s="1">
        <v>4</v>
      </c>
      <c r="M21" s="1">
        <v>0</v>
      </c>
      <c r="N21" s="1">
        <v>161.26</v>
      </c>
      <c r="P21" s="1">
        <v>645.02</v>
      </c>
      <c r="Q21" s="1">
        <v>161.26</v>
      </c>
    </row>
    <row r="22" spans="1:17" ht="15" thickBot="1" x14ac:dyDescent="0.35">
      <c r="A22" s="21" t="str">
        <v>CUST017</v>
      </c>
      <c r="B22" s="13">
        <f>SUMIF(SalesData[Customer_ID],A22,SalesData[Sales])</f>
        <v>3419.2</v>
      </c>
      <c r="K22" s="23">
        <v>953.3</v>
      </c>
      <c r="L22" s="23">
        <v>11</v>
      </c>
      <c r="M22" s="23">
        <v>0</v>
      </c>
      <c r="N22" s="23">
        <v>476.65</v>
      </c>
      <c r="P22" s="23">
        <v>953.3</v>
      </c>
      <c r="Q22" s="23">
        <v>476.65</v>
      </c>
    </row>
    <row r="23" spans="1:17" ht="15" thickBot="1" x14ac:dyDescent="0.35">
      <c r="A23" s="21" t="str">
        <v>CUST018</v>
      </c>
      <c r="B23" s="13">
        <f>SUMIF(SalesData[Customer_ID],A23,SalesData[Sales])</f>
        <v>4951.8899999999994</v>
      </c>
      <c r="K23" s="1">
        <v>388.56</v>
      </c>
      <c r="L23" s="1">
        <v>14</v>
      </c>
      <c r="M23" s="1">
        <v>0.15</v>
      </c>
      <c r="N23" s="1">
        <v>82.57</v>
      </c>
      <c r="P23" s="1">
        <v>388.56</v>
      </c>
      <c r="Q23" s="1">
        <v>82.57</v>
      </c>
    </row>
    <row r="24" spans="1:17" ht="15" thickBot="1" x14ac:dyDescent="0.35">
      <c r="A24" s="21" t="str">
        <v>CUST019</v>
      </c>
      <c r="B24" s="13">
        <f>SUMIF(SalesData[Customer_ID],A24,SalesData[Sales])</f>
        <v>4640.1099999999997</v>
      </c>
      <c r="K24" s="23">
        <v>743.17</v>
      </c>
      <c r="L24" s="23">
        <v>9</v>
      </c>
      <c r="M24" s="23">
        <v>0</v>
      </c>
      <c r="N24" s="23">
        <v>297.27</v>
      </c>
      <c r="P24" s="23">
        <v>743.17</v>
      </c>
      <c r="Q24" s="23">
        <v>297.27</v>
      </c>
    </row>
    <row r="25" spans="1:17" ht="15" thickBot="1" x14ac:dyDescent="0.35">
      <c r="A25" s="21" t="str">
        <v>CUST020</v>
      </c>
      <c r="B25" s="13">
        <f>SUMIF(SalesData[Customer_ID],A25,SalesData[Sales])</f>
        <v>4413.71</v>
      </c>
      <c r="K25" s="1">
        <v>706.37</v>
      </c>
      <c r="L25" s="1">
        <v>6</v>
      </c>
      <c r="M25" s="1">
        <v>0</v>
      </c>
      <c r="N25" s="1">
        <v>176.59</v>
      </c>
      <c r="P25" s="1">
        <v>706.37</v>
      </c>
      <c r="Q25" s="1">
        <v>176.59</v>
      </c>
    </row>
    <row r="26" spans="1:17" ht="15" thickBot="1" x14ac:dyDescent="0.35">
      <c r="A26" s="21" t="str">
        <v>CUST021</v>
      </c>
      <c r="B26" s="13">
        <f>SUMIF(SalesData[Customer_ID],A26,SalesData[Sales])</f>
        <v>8740.18</v>
      </c>
      <c r="K26" s="23">
        <v>925.31</v>
      </c>
      <c r="L26" s="23">
        <v>8</v>
      </c>
      <c r="M26" s="23">
        <v>0.1</v>
      </c>
      <c r="N26" s="23">
        <v>374.75</v>
      </c>
      <c r="P26" s="23">
        <v>925.31</v>
      </c>
      <c r="Q26" s="23">
        <v>374.75</v>
      </c>
    </row>
    <row r="27" spans="1:17" ht="15" thickBot="1" x14ac:dyDescent="0.35">
      <c r="A27" s="21" t="str">
        <v>CUST022</v>
      </c>
      <c r="B27" s="13">
        <f>SUMIF(SalesData[Customer_ID],A27,SalesData[Sales])</f>
        <v>4418.2800000000007</v>
      </c>
      <c r="K27" s="1">
        <v>1173.1199999999999</v>
      </c>
      <c r="L27" s="1">
        <v>18</v>
      </c>
      <c r="M27" s="1">
        <v>0</v>
      </c>
      <c r="N27" s="1">
        <v>293.27999999999997</v>
      </c>
      <c r="P27" s="1">
        <v>1173.1199999999999</v>
      </c>
      <c r="Q27" s="1">
        <v>293.27999999999997</v>
      </c>
    </row>
    <row r="28" spans="1:17" ht="15" thickBot="1" x14ac:dyDescent="0.35">
      <c r="A28" s="21" t="str">
        <v>CUST023</v>
      </c>
      <c r="B28" s="13">
        <f>SUMIF(SalesData[Customer_ID],A28,SalesData[Sales])</f>
        <v>5913.68</v>
      </c>
      <c r="K28" s="23">
        <v>675.54</v>
      </c>
      <c r="L28" s="23">
        <v>17</v>
      </c>
      <c r="M28" s="23">
        <v>0</v>
      </c>
      <c r="N28" s="23">
        <v>236.44</v>
      </c>
      <c r="P28" s="23">
        <v>675.54</v>
      </c>
      <c r="Q28" s="23">
        <v>236.44</v>
      </c>
    </row>
    <row r="29" spans="1:17" ht="15" thickBot="1" x14ac:dyDescent="0.35">
      <c r="A29" s="21" t="str">
        <v>CUST024</v>
      </c>
      <c r="B29" s="13">
        <f>SUMIF(SalesData[Customer_ID],A29,SalesData[Sales])</f>
        <v>7583.1299999999992</v>
      </c>
      <c r="K29" s="1">
        <v>939.09</v>
      </c>
      <c r="L29" s="1">
        <v>2</v>
      </c>
      <c r="M29" s="1">
        <v>0.05</v>
      </c>
      <c r="N29" s="1">
        <v>356.85</v>
      </c>
      <c r="P29" s="1">
        <v>939.09</v>
      </c>
      <c r="Q29" s="1">
        <v>356.85</v>
      </c>
    </row>
    <row r="30" spans="1:17" ht="15" thickBot="1" x14ac:dyDescent="0.35">
      <c r="A30" s="21" t="str">
        <v>CUST025</v>
      </c>
      <c r="B30" s="13">
        <f>SUMIF(SalesData[Customer_ID],A30,SalesData[Sales])</f>
        <v>6716.52</v>
      </c>
      <c r="K30" s="23">
        <v>983.34</v>
      </c>
      <c r="L30" s="23">
        <v>19</v>
      </c>
      <c r="M30" s="23">
        <v>0.1</v>
      </c>
      <c r="N30" s="23">
        <v>398.25</v>
      </c>
      <c r="P30" s="23">
        <v>983.34</v>
      </c>
      <c r="Q30" s="23">
        <v>398.25</v>
      </c>
    </row>
    <row r="31" spans="1:17" ht="15" thickBot="1" x14ac:dyDescent="0.35">
      <c r="A31" s="21" t="str">
        <v>CUST026</v>
      </c>
      <c r="B31" s="13">
        <f>SUMIF(SalesData[Customer_ID],A31,SalesData[Sales])</f>
        <v>9371.81</v>
      </c>
      <c r="K31" s="1">
        <v>801.21</v>
      </c>
      <c r="L31" s="1">
        <v>3</v>
      </c>
      <c r="M31" s="1">
        <v>0.2</v>
      </c>
      <c r="N31" s="1">
        <v>160.24</v>
      </c>
      <c r="P31" s="1">
        <v>801.21</v>
      </c>
      <c r="Q31" s="1">
        <v>160.24</v>
      </c>
    </row>
    <row r="32" spans="1:17" ht="15" thickBot="1" x14ac:dyDescent="0.35">
      <c r="A32" s="21" t="str">
        <v>CUST027</v>
      </c>
      <c r="B32" s="13">
        <f>SUMIF(SalesData[Customer_ID],A32,SalesData[Sales])</f>
        <v>3906.04</v>
      </c>
      <c r="K32" s="23">
        <v>1450.71</v>
      </c>
      <c r="L32" s="23">
        <v>5</v>
      </c>
      <c r="M32" s="23">
        <v>0.1</v>
      </c>
      <c r="N32" s="23">
        <v>326.41000000000003</v>
      </c>
      <c r="P32" s="23">
        <v>1450.71</v>
      </c>
      <c r="Q32" s="23">
        <v>326.41000000000003</v>
      </c>
    </row>
    <row r="33" spans="1:17" ht="15" thickBot="1" x14ac:dyDescent="0.35">
      <c r="A33" s="21" t="str">
        <v>CUST028</v>
      </c>
      <c r="B33" s="13">
        <f>SUMIF(SalesData[Customer_ID],A33,SalesData[Sales])</f>
        <v>10293.870000000001</v>
      </c>
      <c r="K33" s="1">
        <v>1023.21</v>
      </c>
      <c r="L33" s="1">
        <v>18</v>
      </c>
      <c r="M33" s="1">
        <v>0.05</v>
      </c>
      <c r="N33" s="1">
        <v>388.82</v>
      </c>
      <c r="P33" s="1">
        <v>1023.21</v>
      </c>
      <c r="Q33" s="1">
        <v>388.82</v>
      </c>
    </row>
    <row r="34" spans="1:17" ht="15" thickBot="1" x14ac:dyDescent="0.35">
      <c r="A34" s="21" t="str">
        <v>CUST029</v>
      </c>
      <c r="B34" s="13">
        <f>SUMIF(SalesData[Customer_ID],A34,SalesData[Sales])</f>
        <v>5779.05</v>
      </c>
      <c r="K34" s="23">
        <v>853.72</v>
      </c>
      <c r="L34" s="23">
        <v>5</v>
      </c>
      <c r="M34" s="23">
        <v>0.15</v>
      </c>
      <c r="N34" s="23">
        <v>253.98</v>
      </c>
      <c r="P34" s="23">
        <v>853.72</v>
      </c>
      <c r="Q34" s="23">
        <v>253.98</v>
      </c>
    </row>
    <row r="35" spans="1:17" ht="15" thickBot="1" x14ac:dyDescent="0.35">
      <c r="A35" s="17" t="str">
        <v>CUST030</v>
      </c>
      <c r="B35" s="15">
        <f>SUMIF(SalesData[Customer_ID],A35,SalesData[Sales])</f>
        <v>7928.71</v>
      </c>
      <c r="K35" s="1">
        <v>967.89</v>
      </c>
      <c r="L35" s="1">
        <v>10</v>
      </c>
      <c r="M35" s="1">
        <v>0.1</v>
      </c>
      <c r="N35" s="1">
        <v>217.78</v>
      </c>
      <c r="P35" s="1">
        <v>967.89</v>
      </c>
      <c r="Q35" s="1">
        <v>217.78</v>
      </c>
    </row>
    <row r="36" spans="1:17" ht="15" thickBot="1" x14ac:dyDescent="0.35">
      <c r="K36" s="23">
        <v>1200.9000000000001</v>
      </c>
      <c r="L36" s="23">
        <v>14</v>
      </c>
      <c r="M36" s="23">
        <v>0.05</v>
      </c>
      <c r="N36" s="23">
        <v>513.38</v>
      </c>
      <c r="P36" s="23">
        <v>1200.9000000000001</v>
      </c>
      <c r="Q36" s="23">
        <v>513.38</v>
      </c>
    </row>
    <row r="37" spans="1:17" ht="15" thickBot="1" x14ac:dyDescent="0.35">
      <c r="A37" s="71" t="s">
        <v>80</v>
      </c>
      <c r="B37" s="71"/>
      <c r="C37" s="71"/>
      <c r="D37" s="71"/>
      <c r="E37" s="71"/>
      <c r="F37" s="71"/>
      <c r="G37" s="71"/>
      <c r="K37" s="1">
        <v>472.38</v>
      </c>
      <c r="L37" s="1">
        <v>12</v>
      </c>
      <c r="M37" s="1">
        <v>0.2</v>
      </c>
      <c r="N37" s="1">
        <v>151.16</v>
      </c>
      <c r="P37" s="1">
        <v>472.38</v>
      </c>
      <c r="Q37" s="1">
        <v>151.16</v>
      </c>
    </row>
    <row r="38" spans="1:17" ht="15" thickBot="1" x14ac:dyDescent="0.35">
      <c r="K38" s="23">
        <v>840.92</v>
      </c>
      <c r="L38" s="23">
        <v>9</v>
      </c>
      <c r="M38" s="23">
        <v>0.05</v>
      </c>
      <c r="N38" s="23">
        <v>359.49</v>
      </c>
      <c r="P38" s="23">
        <v>840.92</v>
      </c>
      <c r="Q38" s="23">
        <v>359.49</v>
      </c>
    </row>
    <row r="39" spans="1:17" ht="15" thickBot="1" x14ac:dyDescent="0.35">
      <c r="A39" s="18" t="s">
        <v>36</v>
      </c>
      <c r="B39" s="20">
        <f>E40</f>
        <v>68037.991500000018</v>
      </c>
      <c r="D39" s="18" t="s">
        <v>82</v>
      </c>
      <c r="E39" s="16">
        <v>0.1</v>
      </c>
      <c r="K39" s="1">
        <v>1410.06</v>
      </c>
      <c r="L39" s="1">
        <v>11</v>
      </c>
      <c r="M39" s="1">
        <v>0.05</v>
      </c>
      <c r="N39" s="1">
        <v>468.84</v>
      </c>
      <c r="P39" s="1">
        <v>1410.06</v>
      </c>
      <c r="Q39" s="1">
        <v>468.84</v>
      </c>
    </row>
    <row r="40" spans="1:17" ht="15" thickBot="1" x14ac:dyDescent="0.35">
      <c r="A40" s="12">
        <v>0</v>
      </c>
      <c r="B40" s="13">
        <f t="dataTable" ref="B40:B44" dt2D="0" dtr="0" r1="E39"/>
        <v>87559.767500000016</v>
      </c>
      <c r="D40" s="19" t="s">
        <v>81</v>
      </c>
      <c r="E40" s="15" cm="1">
        <f t="array" ref="E40">SUMPRODUCT(DATASET!$I$2:$I$201+DATASET!$E$2:$E$201*DATASET!$G$2:$G$201)-SUM(DATASET!$E$2:$E$201)*E39</f>
        <v>68037.991500000018</v>
      </c>
      <c r="K40" s="23">
        <v>773.09</v>
      </c>
      <c r="L40" s="23">
        <v>13</v>
      </c>
      <c r="M40" s="23">
        <v>0.15</v>
      </c>
      <c r="N40" s="23">
        <v>229.99</v>
      </c>
      <c r="P40" s="23">
        <v>773.09</v>
      </c>
      <c r="Q40" s="23">
        <v>229.99</v>
      </c>
    </row>
    <row r="41" spans="1:17" ht="15" thickBot="1" x14ac:dyDescent="0.35">
      <c r="A41" s="12">
        <v>0.05</v>
      </c>
      <c r="B41" s="13">
        <v>77798.879500000025</v>
      </c>
      <c r="K41" s="1">
        <v>580.42999999999995</v>
      </c>
      <c r="L41" s="1">
        <v>19</v>
      </c>
      <c r="M41" s="1">
        <v>0.15</v>
      </c>
      <c r="N41" s="1">
        <v>197.35</v>
      </c>
      <c r="P41" s="1">
        <v>580.42999999999995</v>
      </c>
      <c r="Q41" s="1">
        <v>197.35</v>
      </c>
    </row>
    <row r="42" spans="1:17" ht="15" thickBot="1" x14ac:dyDescent="0.35">
      <c r="A42" s="12">
        <v>0.1</v>
      </c>
      <c r="B42" s="13">
        <v>68037.991500000018</v>
      </c>
      <c r="K42" s="23">
        <v>1151.21</v>
      </c>
      <c r="L42" s="23">
        <v>15</v>
      </c>
      <c r="M42" s="23">
        <v>0.1</v>
      </c>
      <c r="N42" s="23">
        <v>414.44</v>
      </c>
      <c r="P42" s="23">
        <v>1151.21</v>
      </c>
      <c r="Q42" s="23">
        <v>414.44</v>
      </c>
    </row>
    <row r="43" spans="1:17" ht="15" thickBot="1" x14ac:dyDescent="0.35">
      <c r="A43" s="12">
        <v>0.15</v>
      </c>
      <c r="B43" s="13">
        <v>58277.103500000027</v>
      </c>
      <c r="K43" s="1">
        <v>1025.98</v>
      </c>
      <c r="L43" s="1">
        <v>5</v>
      </c>
      <c r="M43" s="1">
        <v>0.2</v>
      </c>
      <c r="N43" s="1">
        <v>369.35</v>
      </c>
      <c r="P43" s="1">
        <v>1025.98</v>
      </c>
      <c r="Q43" s="1">
        <v>369.35</v>
      </c>
    </row>
    <row r="44" spans="1:17" ht="15" thickBot="1" x14ac:dyDescent="0.35">
      <c r="A44" s="14">
        <v>0.2</v>
      </c>
      <c r="B44" s="15">
        <v>48516.215500000028</v>
      </c>
      <c r="K44" s="23">
        <v>556.41999999999996</v>
      </c>
      <c r="L44" s="23">
        <v>11</v>
      </c>
      <c r="M44" s="23">
        <v>0.15</v>
      </c>
      <c r="N44" s="23">
        <v>212.83</v>
      </c>
      <c r="P44" s="23">
        <v>556.41999999999996</v>
      </c>
      <c r="Q44" s="23">
        <v>212.83</v>
      </c>
    </row>
    <row r="45" spans="1:17" ht="15" thickBot="1" x14ac:dyDescent="0.35">
      <c r="K45" s="1">
        <v>840.85</v>
      </c>
      <c r="L45" s="1">
        <v>19</v>
      </c>
      <c r="M45" s="1">
        <v>0.1</v>
      </c>
      <c r="N45" s="1">
        <v>302.70999999999998</v>
      </c>
      <c r="P45" s="1">
        <v>840.85</v>
      </c>
      <c r="Q45" s="1">
        <v>302.70999999999998</v>
      </c>
    </row>
    <row r="46" spans="1:17" ht="15" thickBot="1" x14ac:dyDescent="0.35">
      <c r="A46" s="71" t="s">
        <v>83</v>
      </c>
      <c r="B46" s="71"/>
      <c r="C46" s="71"/>
      <c r="D46" s="71"/>
      <c r="E46" s="71"/>
      <c r="K46" s="23">
        <v>1227.25</v>
      </c>
      <c r="L46" s="23">
        <v>12</v>
      </c>
      <c r="M46" s="23">
        <v>0.15</v>
      </c>
      <c r="N46" s="23">
        <v>365.11</v>
      </c>
      <c r="P46" s="23">
        <v>1227.25</v>
      </c>
      <c r="Q46" s="23">
        <v>365.11</v>
      </c>
    </row>
    <row r="47" spans="1:17" ht="15" thickBot="1" x14ac:dyDescent="0.35">
      <c r="K47" s="1">
        <v>856.7</v>
      </c>
      <c r="L47" s="1">
        <v>2</v>
      </c>
      <c r="M47" s="1">
        <v>0</v>
      </c>
      <c r="N47" s="1">
        <v>214.18</v>
      </c>
      <c r="P47" s="1">
        <v>856.7</v>
      </c>
      <c r="Q47" s="1">
        <v>214.18</v>
      </c>
    </row>
    <row r="48" spans="1:17" ht="15" thickBot="1" x14ac:dyDescent="0.35">
      <c r="A48" s="26" t="s">
        <v>34</v>
      </c>
      <c r="B48" s="26"/>
      <c r="C48" s="26" t="s">
        <v>35</v>
      </c>
      <c r="D48" s="26"/>
      <c r="E48" s="26" t="s">
        <v>36</v>
      </c>
      <c r="F48" s="26"/>
      <c r="G48" s="26" t="s">
        <v>38</v>
      </c>
      <c r="H48" s="27"/>
      <c r="K48" s="23">
        <v>1225.42</v>
      </c>
      <c r="L48" s="23">
        <v>8</v>
      </c>
      <c r="M48" s="23">
        <v>0.15</v>
      </c>
      <c r="N48" s="23">
        <v>468.72</v>
      </c>
      <c r="P48" s="23">
        <v>1225.42</v>
      </c>
      <c r="Q48" s="23">
        <v>468.72</v>
      </c>
    </row>
    <row r="49" spans="1:17" ht="15" thickBot="1" x14ac:dyDescent="0.35">
      <c r="A49" s="24"/>
      <c r="B49" s="24"/>
      <c r="C49" s="24"/>
      <c r="D49" s="24"/>
      <c r="E49" s="24"/>
      <c r="F49" s="24"/>
      <c r="G49" s="24"/>
      <c r="H49" s="24"/>
      <c r="K49" s="1">
        <v>1001.57</v>
      </c>
      <c r="L49" s="1">
        <v>12</v>
      </c>
      <c r="M49" s="1">
        <v>0</v>
      </c>
      <c r="N49" s="1">
        <v>450.71</v>
      </c>
      <c r="P49" s="1">
        <v>1001.57</v>
      </c>
      <c r="Q49" s="1">
        <v>450.71</v>
      </c>
    </row>
    <row r="50" spans="1:17" ht="15" thickBot="1" x14ac:dyDescent="0.35">
      <c r="A50" s="25" t="s">
        <v>84</v>
      </c>
      <c r="B50" s="24">
        <v>976.08879999999965</v>
      </c>
      <c r="C50" s="25" t="s">
        <v>84</v>
      </c>
      <c r="D50" s="24">
        <v>9.9949999999999992</v>
      </c>
      <c r="E50" s="25" t="s">
        <v>84</v>
      </c>
      <c r="F50" s="24">
        <v>9.7250000000000003E-2</v>
      </c>
      <c r="G50" s="25" t="s">
        <v>84</v>
      </c>
      <c r="H50" s="24">
        <v>341.43505000000005</v>
      </c>
      <c r="K50" s="23">
        <v>1186.8499999999999</v>
      </c>
      <c r="L50" s="23">
        <v>19</v>
      </c>
      <c r="M50" s="23">
        <v>0.2</v>
      </c>
      <c r="N50" s="23">
        <v>332.32</v>
      </c>
      <c r="P50" s="23">
        <v>1186.8499999999999</v>
      </c>
      <c r="Q50" s="23">
        <v>332.32</v>
      </c>
    </row>
    <row r="51" spans="1:17" ht="15" thickBot="1" x14ac:dyDescent="0.35">
      <c r="A51" s="25" t="s">
        <v>85</v>
      </c>
      <c r="B51" s="24">
        <v>21.161850448978406</v>
      </c>
      <c r="C51" s="25" t="s">
        <v>85</v>
      </c>
      <c r="D51" s="24">
        <v>0.39927682743257598</v>
      </c>
      <c r="E51" s="25" t="s">
        <v>85</v>
      </c>
      <c r="F51" s="24">
        <v>5.1142413732752686E-3</v>
      </c>
      <c r="G51" s="25" t="s">
        <v>85</v>
      </c>
      <c r="H51" s="24">
        <v>9.6001196472332531</v>
      </c>
      <c r="K51" s="1">
        <v>775.45</v>
      </c>
      <c r="L51" s="1">
        <v>6</v>
      </c>
      <c r="M51" s="1">
        <v>0.1</v>
      </c>
      <c r="N51" s="1">
        <v>174.48</v>
      </c>
      <c r="P51" s="1">
        <v>775.45</v>
      </c>
      <c r="Q51" s="1">
        <v>174.48</v>
      </c>
    </row>
    <row r="52" spans="1:17" ht="15" thickBot="1" x14ac:dyDescent="0.35">
      <c r="A52" s="25" t="s">
        <v>86</v>
      </c>
      <c r="B52" s="24">
        <v>976.72</v>
      </c>
      <c r="C52" s="25" t="s">
        <v>86</v>
      </c>
      <c r="D52" s="24">
        <v>10</v>
      </c>
      <c r="E52" s="25" t="s">
        <v>86</v>
      </c>
      <c r="F52" s="24">
        <v>0.1</v>
      </c>
      <c r="G52" s="25" t="s">
        <v>86</v>
      </c>
      <c r="H52" s="24">
        <v>332.255</v>
      </c>
      <c r="K52" s="23">
        <v>1021.47</v>
      </c>
      <c r="L52" s="23">
        <v>6</v>
      </c>
      <c r="M52" s="23">
        <v>0.05</v>
      </c>
      <c r="N52" s="23">
        <v>242.6</v>
      </c>
      <c r="P52" s="23">
        <v>1021.47</v>
      </c>
      <c r="Q52" s="23">
        <v>242.6</v>
      </c>
    </row>
    <row r="53" spans="1:17" ht="15" thickBot="1" x14ac:dyDescent="0.35">
      <c r="A53" s="25" t="s">
        <v>87</v>
      </c>
      <c r="B53" s="24" t="e">
        <v>#N/A</v>
      </c>
      <c r="C53" s="25" t="s">
        <v>87</v>
      </c>
      <c r="D53" s="24">
        <v>8</v>
      </c>
      <c r="E53" s="25" t="s">
        <v>87</v>
      </c>
      <c r="F53" s="24">
        <v>0.2</v>
      </c>
      <c r="G53" s="25" t="s">
        <v>87</v>
      </c>
      <c r="H53" s="24" t="e">
        <v>#N/A</v>
      </c>
      <c r="K53" s="1">
        <v>1226.6199999999999</v>
      </c>
      <c r="L53" s="1">
        <v>7</v>
      </c>
      <c r="M53" s="1">
        <v>0.1</v>
      </c>
      <c r="N53" s="1">
        <v>551.98</v>
      </c>
      <c r="P53" s="1">
        <v>1226.6199999999999</v>
      </c>
      <c r="Q53" s="1">
        <v>551.98</v>
      </c>
    </row>
    <row r="54" spans="1:17" ht="15" thickBot="1" x14ac:dyDescent="0.35">
      <c r="A54" s="25" t="s">
        <v>88</v>
      </c>
      <c r="B54" s="24">
        <v>299.27375909856431</v>
      </c>
      <c r="C54" s="25" t="s">
        <v>88</v>
      </c>
      <c r="D54" s="24">
        <v>5.6466270449645082</v>
      </c>
      <c r="E54" s="25" t="s">
        <v>88</v>
      </c>
      <c r="F54" s="24">
        <v>7.232629511335488E-2</v>
      </c>
      <c r="G54" s="25" t="s">
        <v>88</v>
      </c>
      <c r="H54" s="24">
        <v>135.7661940552168</v>
      </c>
      <c r="K54" s="23">
        <v>1086.93</v>
      </c>
      <c r="L54" s="23">
        <v>2</v>
      </c>
      <c r="M54" s="23">
        <v>0</v>
      </c>
      <c r="N54" s="23">
        <v>380.43</v>
      </c>
      <c r="P54" s="23">
        <v>1086.93</v>
      </c>
      <c r="Q54" s="23">
        <v>380.43</v>
      </c>
    </row>
    <row r="55" spans="1:17" ht="15" thickBot="1" x14ac:dyDescent="0.35">
      <c r="A55" s="25" t="s">
        <v>89</v>
      </c>
      <c r="B55" s="24">
        <v>89564.782884985514</v>
      </c>
      <c r="C55" s="25" t="s">
        <v>89</v>
      </c>
      <c r="D55" s="24">
        <v>31.884396984924617</v>
      </c>
      <c r="E55" s="25" t="s">
        <v>89</v>
      </c>
      <c r="F55" s="24">
        <v>5.2310929648241022E-3</v>
      </c>
      <c r="G55" s="25" t="s">
        <v>89</v>
      </c>
      <c r="H55" s="24">
        <v>18432.459448238787</v>
      </c>
      <c r="K55" s="1">
        <v>942.9</v>
      </c>
      <c r="L55" s="1">
        <v>18</v>
      </c>
      <c r="M55" s="1">
        <v>0.1</v>
      </c>
      <c r="N55" s="1">
        <v>339.44</v>
      </c>
      <c r="P55" s="1">
        <v>942.9</v>
      </c>
      <c r="Q55" s="1">
        <v>339.44</v>
      </c>
    </row>
    <row r="56" spans="1:17" ht="15" thickBot="1" x14ac:dyDescent="0.35">
      <c r="A56" s="25" t="s">
        <v>90</v>
      </c>
      <c r="B56" s="24">
        <v>-8.8595231919740502E-2</v>
      </c>
      <c r="C56" s="25" t="s">
        <v>90</v>
      </c>
      <c r="D56" s="24">
        <v>-1.2091053826620759</v>
      </c>
      <c r="E56" s="25" t="s">
        <v>90</v>
      </c>
      <c r="F56" s="24">
        <v>-1.3257012415855784</v>
      </c>
      <c r="G56" s="25" t="s">
        <v>90</v>
      </c>
      <c r="H56" s="24">
        <v>0.26450643813582442</v>
      </c>
      <c r="K56" s="23">
        <v>818.8</v>
      </c>
      <c r="L56" s="23">
        <v>15</v>
      </c>
      <c r="M56" s="23">
        <v>0.15</v>
      </c>
      <c r="N56" s="23">
        <v>173.99</v>
      </c>
      <c r="P56" s="23">
        <v>818.8</v>
      </c>
      <c r="Q56" s="23">
        <v>173.99</v>
      </c>
    </row>
    <row r="57" spans="1:17" ht="15" thickBot="1" x14ac:dyDescent="0.35">
      <c r="A57" s="25" t="s">
        <v>91</v>
      </c>
      <c r="B57" s="24">
        <v>0.14685796564193557</v>
      </c>
      <c r="C57" s="25" t="s">
        <v>91</v>
      </c>
      <c r="D57" s="24">
        <v>6.084586432077814E-2</v>
      </c>
      <c r="E57" s="25" t="s">
        <v>91</v>
      </c>
      <c r="F57" s="24">
        <v>9.6827385576684841E-2</v>
      </c>
      <c r="G57" s="25" t="s">
        <v>91</v>
      </c>
      <c r="H57" s="24">
        <v>0.57339636063424715</v>
      </c>
      <c r="K57" s="1">
        <v>919.04</v>
      </c>
      <c r="L57" s="1">
        <v>10</v>
      </c>
      <c r="M57" s="1">
        <v>0.2</v>
      </c>
      <c r="N57" s="1">
        <v>257.33</v>
      </c>
      <c r="P57" s="1">
        <v>919.04</v>
      </c>
      <c r="Q57" s="1">
        <v>257.33</v>
      </c>
    </row>
    <row r="58" spans="1:17" ht="15" thickBot="1" x14ac:dyDescent="0.35">
      <c r="A58" s="25" t="s">
        <v>92</v>
      </c>
      <c r="B58" s="24">
        <v>1665.15</v>
      </c>
      <c r="C58" s="25" t="s">
        <v>92</v>
      </c>
      <c r="D58" s="24">
        <v>18</v>
      </c>
      <c r="E58" s="25" t="s">
        <v>92</v>
      </c>
      <c r="F58" s="24">
        <v>0.2</v>
      </c>
      <c r="G58" s="25" t="s">
        <v>92</v>
      </c>
      <c r="H58" s="24">
        <v>704.83</v>
      </c>
      <c r="K58" s="23">
        <v>973.26</v>
      </c>
      <c r="L58" s="23">
        <v>11</v>
      </c>
      <c r="M58" s="23">
        <v>0</v>
      </c>
      <c r="N58" s="23">
        <v>389.3</v>
      </c>
      <c r="P58" s="23">
        <v>973.26</v>
      </c>
      <c r="Q58" s="23">
        <v>389.3</v>
      </c>
    </row>
    <row r="59" spans="1:17" ht="15" thickBot="1" x14ac:dyDescent="0.35">
      <c r="A59" s="25" t="s">
        <v>93</v>
      </c>
      <c r="B59" s="24">
        <v>258.51</v>
      </c>
      <c r="C59" s="25" t="s">
        <v>93</v>
      </c>
      <c r="D59" s="24">
        <v>1</v>
      </c>
      <c r="E59" s="25" t="s">
        <v>93</v>
      </c>
      <c r="F59" s="24">
        <v>0</v>
      </c>
      <c r="G59" s="25" t="s">
        <v>93</v>
      </c>
      <c r="H59" s="24">
        <v>64.63</v>
      </c>
      <c r="K59" s="1">
        <v>741.61</v>
      </c>
      <c r="L59" s="1">
        <v>1</v>
      </c>
      <c r="M59" s="1">
        <v>0.2</v>
      </c>
      <c r="N59" s="1">
        <v>148.32</v>
      </c>
      <c r="P59" s="1">
        <v>741.61</v>
      </c>
      <c r="Q59" s="1">
        <v>148.32</v>
      </c>
    </row>
    <row r="60" spans="1:17" ht="15" thickBot="1" x14ac:dyDescent="0.35">
      <c r="A60" s="25" t="s">
        <v>94</v>
      </c>
      <c r="B60" s="24">
        <v>1923.66</v>
      </c>
      <c r="C60" s="25" t="s">
        <v>94</v>
      </c>
      <c r="D60" s="24">
        <v>19</v>
      </c>
      <c r="E60" s="25" t="s">
        <v>94</v>
      </c>
      <c r="F60" s="24">
        <v>0.2</v>
      </c>
      <c r="G60" s="25" t="s">
        <v>94</v>
      </c>
      <c r="H60" s="24">
        <v>769.46</v>
      </c>
      <c r="K60" s="23">
        <v>1248.82</v>
      </c>
      <c r="L60" s="23">
        <v>2</v>
      </c>
      <c r="M60" s="23">
        <v>0.1</v>
      </c>
      <c r="N60" s="23">
        <v>449.58</v>
      </c>
      <c r="P60" s="23">
        <v>1248.82</v>
      </c>
      <c r="Q60" s="23">
        <v>449.58</v>
      </c>
    </row>
    <row r="61" spans="1:17" ht="15" thickBot="1" x14ac:dyDescent="0.35">
      <c r="A61" s="25" t="s">
        <v>95</v>
      </c>
      <c r="B61" s="24">
        <v>195217.75999999992</v>
      </c>
      <c r="C61" s="25" t="s">
        <v>95</v>
      </c>
      <c r="D61" s="24">
        <v>1999</v>
      </c>
      <c r="E61" s="25" t="s">
        <v>95</v>
      </c>
      <c r="F61" s="24">
        <v>19.45</v>
      </c>
      <c r="G61" s="25" t="s">
        <v>95</v>
      </c>
      <c r="H61" s="24">
        <v>68287.010000000009</v>
      </c>
      <c r="K61" s="1">
        <v>1360.36</v>
      </c>
      <c r="L61" s="1">
        <v>17</v>
      </c>
      <c r="M61" s="1">
        <v>0</v>
      </c>
      <c r="N61" s="1">
        <v>680.18</v>
      </c>
      <c r="P61" s="1">
        <v>1360.36</v>
      </c>
      <c r="Q61" s="1">
        <v>680.18</v>
      </c>
    </row>
    <row r="62" spans="1:17" ht="15" thickBot="1" x14ac:dyDescent="0.35">
      <c r="A62" s="25" t="s">
        <v>96</v>
      </c>
      <c r="B62" s="24">
        <v>200</v>
      </c>
      <c r="C62" s="25" t="s">
        <v>96</v>
      </c>
      <c r="D62" s="24">
        <v>200</v>
      </c>
      <c r="E62" s="25" t="s">
        <v>96</v>
      </c>
      <c r="F62" s="24">
        <v>200</v>
      </c>
      <c r="G62" s="25" t="s">
        <v>96</v>
      </c>
      <c r="H62" s="24">
        <v>200</v>
      </c>
      <c r="K62" s="23">
        <v>1383.3</v>
      </c>
      <c r="L62" s="23">
        <v>8</v>
      </c>
      <c r="M62" s="23">
        <v>0.1</v>
      </c>
      <c r="N62" s="23">
        <v>497.99</v>
      </c>
      <c r="P62" s="23">
        <v>1383.3</v>
      </c>
      <c r="Q62" s="23">
        <v>497.99</v>
      </c>
    </row>
    <row r="63" spans="1:17" ht="15" thickBot="1" x14ac:dyDescent="0.35">
      <c r="K63" s="1">
        <v>488.99</v>
      </c>
      <c r="L63" s="1">
        <v>9</v>
      </c>
      <c r="M63" s="1">
        <v>0</v>
      </c>
      <c r="N63" s="1">
        <v>220.05</v>
      </c>
      <c r="P63" s="1">
        <v>488.99</v>
      </c>
      <c r="Q63" s="1">
        <v>220.05</v>
      </c>
    </row>
    <row r="64" spans="1:17" ht="15" thickBot="1" x14ac:dyDescent="0.35">
      <c r="A64" s="71" t="s">
        <v>97</v>
      </c>
      <c r="B64" s="71"/>
      <c r="C64" s="71"/>
      <c r="K64" s="23">
        <v>933.71</v>
      </c>
      <c r="L64" s="23">
        <v>17</v>
      </c>
      <c r="M64" s="23">
        <v>0.1</v>
      </c>
      <c r="N64" s="23">
        <v>294.12</v>
      </c>
      <c r="P64" s="23">
        <v>933.71</v>
      </c>
      <c r="Q64" s="23">
        <v>294.12</v>
      </c>
    </row>
    <row r="65" spans="1:17" ht="15" thickBot="1" x14ac:dyDescent="0.35">
      <c r="K65" s="1">
        <v>1005.53</v>
      </c>
      <c r="L65" s="1">
        <v>17</v>
      </c>
      <c r="M65" s="1">
        <v>0.2</v>
      </c>
      <c r="N65" s="1">
        <v>201.11</v>
      </c>
      <c r="P65" s="1">
        <v>1005.53</v>
      </c>
      <c r="Q65" s="1">
        <v>201.11</v>
      </c>
    </row>
    <row r="66" spans="1:17" ht="15" thickBot="1" x14ac:dyDescent="0.35">
      <c r="A66" s="28" t="s">
        <v>98</v>
      </c>
      <c r="B66" s="28" t="s">
        <v>99</v>
      </c>
      <c r="C66" s="28" t="s">
        <v>100</v>
      </c>
      <c r="K66" s="23">
        <v>1100.0999999999999</v>
      </c>
      <c r="L66" s="23">
        <v>5</v>
      </c>
      <c r="M66" s="23">
        <v>0.05</v>
      </c>
      <c r="N66" s="23">
        <v>261.27</v>
      </c>
      <c r="P66" s="23">
        <v>1100.0999999999999</v>
      </c>
      <c r="Q66" s="23">
        <v>261.27</v>
      </c>
    </row>
    <row r="67" spans="1:17" ht="15" thickBot="1" x14ac:dyDescent="0.35">
      <c r="A67" s="29">
        <f>DATE(2024,4,1)</f>
        <v>45383</v>
      </c>
      <c r="B67" s="30">
        <f>SUMIFS(DATASET!$E$2:$E$201,DATASET!$H$2:$H$201,"&gt;="&amp;A67,DATASET!$H$2:$H$201,"&lt;"&amp;EDATE(A67,1))</f>
        <v>19029.96</v>
      </c>
      <c r="C67" s="30"/>
      <c r="K67" s="1">
        <v>1034.7</v>
      </c>
      <c r="L67" s="1">
        <v>15</v>
      </c>
      <c r="M67" s="1">
        <v>0.15</v>
      </c>
      <c r="N67" s="1">
        <v>307.82</v>
      </c>
      <c r="P67" s="1">
        <v>1034.7</v>
      </c>
      <c r="Q67" s="1">
        <v>307.82</v>
      </c>
    </row>
    <row r="68" spans="1:17" ht="15" thickBot="1" x14ac:dyDescent="0.35">
      <c r="A68" s="29">
        <f>EDATE(A67,1)</f>
        <v>45413</v>
      </c>
      <c r="B68" s="30">
        <f>SUMIFS(DATASET!$E$2:$E$201,DATASET!$H$2:$H$201,"&gt;="&amp;A68,DATASET!$H$2:$H$201,"&lt;"&amp;EDATE(A68,1))</f>
        <v>18507.339999999997</v>
      </c>
      <c r="C68" s="30">
        <f>(B68-B67)/B67</f>
        <v>-2.7463010957458799E-2</v>
      </c>
      <c r="K68" s="23">
        <v>876.44</v>
      </c>
      <c r="L68" s="23">
        <v>12</v>
      </c>
      <c r="M68" s="23">
        <v>0.05</v>
      </c>
      <c r="N68" s="23">
        <v>333.05</v>
      </c>
      <c r="P68" s="23">
        <v>876.44</v>
      </c>
      <c r="Q68" s="23">
        <v>333.05</v>
      </c>
    </row>
    <row r="69" spans="1:17" ht="15" thickBot="1" x14ac:dyDescent="0.35">
      <c r="A69" s="29">
        <f t="shared" ref="A69:A70" si="0">EDATE(A68,1)</f>
        <v>45444</v>
      </c>
      <c r="B69" s="30">
        <f>SUMIFS(DATASET!$E$2:$E$201,DATASET!$H$2:$H$201,"&gt;="&amp;A69,DATASET!$H$2:$H$201,"&lt;"&amp;EDATE(A69,1))</f>
        <v>20187.509999999998</v>
      </c>
      <c r="C69" s="30">
        <f t="shared" ref="C69:C79" si="1">(B69-B68)/B68</f>
        <v>9.0783980842195702E-2</v>
      </c>
      <c r="K69" s="1">
        <v>1371.34</v>
      </c>
      <c r="L69" s="1">
        <v>5</v>
      </c>
      <c r="M69" s="1">
        <v>0.05</v>
      </c>
      <c r="N69" s="1">
        <v>455.97</v>
      </c>
      <c r="P69" s="1">
        <v>1371.34</v>
      </c>
      <c r="Q69" s="1">
        <v>455.97</v>
      </c>
    </row>
    <row r="70" spans="1:17" ht="15" thickBot="1" x14ac:dyDescent="0.35">
      <c r="A70" s="29">
        <f t="shared" si="0"/>
        <v>45474</v>
      </c>
      <c r="B70" s="30">
        <f>SUMIFS(DATASET!$E$2:$E$201,DATASET!$H$2:$H$201,"&gt;="&amp;A70,DATASET!$H$2:$H$201,"&lt;"&amp;EDATE(A70,1))</f>
        <v>11609.039999999999</v>
      </c>
      <c r="C70" s="30">
        <f t="shared" si="1"/>
        <v>-0.42493947990614001</v>
      </c>
      <c r="K70" s="23">
        <v>1020.26</v>
      </c>
      <c r="L70" s="23">
        <v>11</v>
      </c>
      <c r="M70" s="23">
        <v>0.05</v>
      </c>
      <c r="N70" s="23">
        <v>242.31</v>
      </c>
      <c r="P70" s="23">
        <v>1020.26</v>
      </c>
      <c r="Q70" s="23">
        <v>242.31</v>
      </c>
    </row>
    <row r="71" spans="1:17" ht="15" thickBot="1" x14ac:dyDescent="0.35">
      <c r="A71" s="29">
        <f>EDATE(A70,1)</f>
        <v>45505</v>
      </c>
      <c r="B71" s="30">
        <f>SUMIFS(DATASET!$E$2:$E$201,DATASET!$H$2:$H$201,"&gt;="&amp;A71,DATASET!$H$2:$H$201,"&lt;"&amp;EDATE(A71,1))</f>
        <v>10091.699999999999</v>
      </c>
      <c r="C71" s="30">
        <f t="shared" si="1"/>
        <v>-0.13070331396911375</v>
      </c>
      <c r="K71" s="1">
        <v>804.81</v>
      </c>
      <c r="L71" s="1">
        <v>1</v>
      </c>
      <c r="M71" s="1">
        <v>0.05</v>
      </c>
      <c r="N71" s="1">
        <v>344.06</v>
      </c>
      <c r="P71" s="1">
        <v>804.81</v>
      </c>
      <c r="Q71" s="1">
        <v>344.06</v>
      </c>
    </row>
    <row r="72" spans="1:17" ht="15" thickBot="1" x14ac:dyDescent="0.35">
      <c r="A72" s="29">
        <f>EDATE(A71,1)</f>
        <v>45536</v>
      </c>
      <c r="B72" s="30">
        <f>SUMIFS(DATASET!$E$2:$E$201,DATASET!$H$2:$H$201,"&gt;="&amp;A72,DATASET!$H$2:$H$201,"&lt;"&amp;EDATE(A72,1))</f>
        <v>20533.499999999996</v>
      </c>
      <c r="C72" s="30">
        <f t="shared" si="1"/>
        <v>1.0346918755016496</v>
      </c>
      <c r="K72" s="23">
        <v>608.66</v>
      </c>
      <c r="L72" s="23">
        <v>1</v>
      </c>
      <c r="M72" s="23">
        <v>0.05</v>
      </c>
      <c r="N72" s="23">
        <v>144.56</v>
      </c>
      <c r="P72" s="23">
        <v>608.66</v>
      </c>
      <c r="Q72" s="23">
        <v>144.56</v>
      </c>
    </row>
    <row r="73" spans="1:17" ht="15" thickBot="1" x14ac:dyDescent="0.35">
      <c r="A73" s="29">
        <f t="shared" ref="A73:A79" si="2">EDATE(A72,1)</f>
        <v>45566</v>
      </c>
      <c r="B73" s="30">
        <f>SUMIFS(DATASET!$E$2:$E$201,DATASET!$H$2:$H$201,"&gt;="&amp;A73,DATASET!$H$2:$H$201,"&lt;"&amp;EDATE(A73,1))</f>
        <v>14215.240000000002</v>
      </c>
      <c r="C73" s="30">
        <f t="shared" si="1"/>
        <v>-0.30770496992719193</v>
      </c>
      <c r="K73" s="1">
        <v>981.2</v>
      </c>
      <c r="L73" s="1">
        <v>19</v>
      </c>
      <c r="M73" s="1">
        <v>0</v>
      </c>
      <c r="N73" s="1">
        <v>441.54</v>
      </c>
      <c r="P73" s="1">
        <v>981.2</v>
      </c>
      <c r="Q73" s="1">
        <v>441.54</v>
      </c>
    </row>
    <row r="74" spans="1:17" ht="15" thickBot="1" x14ac:dyDescent="0.35">
      <c r="A74" s="29">
        <f t="shared" si="2"/>
        <v>45597</v>
      </c>
      <c r="B74" s="30">
        <f>SUMIFS(DATASET!$E$2:$E$201,DATASET!$H$2:$H$201,"&gt;="&amp;A74,DATASET!$H$2:$H$201,"&lt;"&amp;EDATE(A74,1))</f>
        <v>20135.030000000002</v>
      </c>
      <c r="C74" s="30">
        <f t="shared" si="1"/>
        <v>0.4164396802305132</v>
      </c>
      <c r="K74" s="23">
        <v>539.77</v>
      </c>
      <c r="L74" s="23">
        <v>10</v>
      </c>
      <c r="M74" s="23">
        <v>0.15</v>
      </c>
      <c r="N74" s="23">
        <v>114.7</v>
      </c>
      <c r="P74" s="23">
        <v>539.77</v>
      </c>
      <c r="Q74" s="23">
        <v>114.7</v>
      </c>
    </row>
    <row r="75" spans="1:17" ht="15" thickBot="1" x14ac:dyDescent="0.35">
      <c r="A75" s="29">
        <f t="shared" si="2"/>
        <v>45627</v>
      </c>
      <c r="B75" s="30">
        <f>SUMIFS(DATASET!$E$2:$E$201,DATASET!$H$2:$H$201,"&gt;="&amp;A75,DATASET!$H$2:$H$201,"&lt;"&amp;EDATE(A75,1))</f>
        <v>11120.04</v>
      </c>
      <c r="C75" s="30">
        <f t="shared" si="1"/>
        <v>-0.44772667336477773</v>
      </c>
      <c r="K75" s="1">
        <v>804.45</v>
      </c>
      <c r="L75" s="1">
        <v>5</v>
      </c>
      <c r="M75" s="1">
        <v>0.2</v>
      </c>
      <c r="N75" s="1">
        <v>257.42</v>
      </c>
      <c r="P75" s="1">
        <v>804.45</v>
      </c>
      <c r="Q75" s="1">
        <v>257.42</v>
      </c>
    </row>
    <row r="76" spans="1:17" ht="15" thickBot="1" x14ac:dyDescent="0.35">
      <c r="A76" s="29">
        <f t="shared" si="2"/>
        <v>45658</v>
      </c>
      <c r="B76" s="30">
        <f>SUMIFS(DATASET!$E$2:$E$201,DATASET!$H$2:$H$201,"&gt;="&amp;A76,DATASET!$H$2:$H$201,"&lt;"&amp;EDATE(A76,1))</f>
        <v>14914.650000000001</v>
      </c>
      <c r="C76" s="30">
        <f t="shared" si="1"/>
        <v>0.34124067899036337</v>
      </c>
      <c r="K76" s="23">
        <v>1526.6</v>
      </c>
      <c r="L76" s="23">
        <v>13</v>
      </c>
      <c r="M76" s="23">
        <v>0.2</v>
      </c>
      <c r="N76" s="23">
        <v>305.32</v>
      </c>
      <c r="P76" s="23">
        <v>1526.6</v>
      </c>
      <c r="Q76" s="23">
        <v>305.32</v>
      </c>
    </row>
    <row r="77" spans="1:17" ht="15" thickBot="1" x14ac:dyDescent="0.35">
      <c r="A77" s="29">
        <f t="shared" si="2"/>
        <v>45689</v>
      </c>
      <c r="B77" s="30">
        <f>SUMIFS(DATASET!$E$2:$E$201,DATASET!$H$2:$H$201,"&gt;="&amp;A77,DATASET!$H$2:$H$201,"&lt;"&amp;EDATE(A77,1))</f>
        <v>14006.359999999999</v>
      </c>
      <c r="C77" s="30">
        <f t="shared" si="1"/>
        <v>-6.0899183018039482E-2</v>
      </c>
      <c r="K77" s="1">
        <v>1215.26</v>
      </c>
      <c r="L77" s="1">
        <v>5</v>
      </c>
      <c r="M77" s="1">
        <v>0.15</v>
      </c>
      <c r="N77" s="1">
        <v>258.24</v>
      </c>
      <c r="P77" s="1">
        <v>1215.26</v>
      </c>
      <c r="Q77" s="1">
        <v>258.24</v>
      </c>
    </row>
    <row r="78" spans="1:17" ht="15" thickBot="1" x14ac:dyDescent="0.35">
      <c r="A78" s="29">
        <f t="shared" si="2"/>
        <v>45717</v>
      </c>
      <c r="B78" s="30">
        <f>SUMIFS(DATASET!$E$2:$E$201,DATASET!$H$2:$H$201,"&gt;="&amp;A78,DATASET!$H$2:$H$201,"&lt;"&amp;EDATE(A78,1))</f>
        <v>17655.219999999998</v>
      </c>
      <c r="C78" s="30">
        <f t="shared" si="1"/>
        <v>0.26051450912299834</v>
      </c>
      <c r="K78" s="23">
        <v>1261.3399999999999</v>
      </c>
      <c r="L78" s="23">
        <v>3</v>
      </c>
      <c r="M78" s="23">
        <v>0</v>
      </c>
      <c r="N78" s="23">
        <v>441.47</v>
      </c>
      <c r="P78" s="23">
        <v>1261.3399999999999</v>
      </c>
      <c r="Q78" s="23">
        <v>441.47</v>
      </c>
    </row>
    <row r="79" spans="1:17" ht="15" thickBot="1" x14ac:dyDescent="0.35">
      <c r="A79" s="29">
        <f t="shared" si="2"/>
        <v>45748</v>
      </c>
      <c r="B79" s="30">
        <f>SUMIFS(DATASET!$E$2:$E$201,DATASET!$H$2:$H$201,"&gt;="&amp;A79,DATASET!$H$2:$H$201,"&lt;"&amp;EDATE(A79,1))</f>
        <v>3212.17</v>
      </c>
      <c r="C79" s="30">
        <f t="shared" si="1"/>
        <v>-0.81806117397574196</v>
      </c>
      <c r="K79" s="1">
        <v>518.07000000000005</v>
      </c>
      <c r="L79" s="1">
        <v>7</v>
      </c>
      <c r="M79" s="1">
        <v>0.05</v>
      </c>
      <c r="N79" s="1">
        <v>172.26</v>
      </c>
      <c r="P79" s="1">
        <v>518.07000000000005</v>
      </c>
      <c r="Q79" s="1">
        <v>172.26</v>
      </c>
    </row>
    <row r="80" spans="1:17" ht="15" thickBot="1" x14ac:dyDescent="0.35">
      <c r="K80" s="23">
        <v>1111.3399999999999</v>
      </c>
      <c r="L80" s="23">
        <v>1</v>
      </c>
      <c r="M80" s="23">
        <v>0</v>
      </c>
      <c r="N80" s="23">
        <v>500.1</v>
      </c>
      <c r="P80" s="23">
        <v>1111.3399999999999</v>
      </c>
      <c r="Q80" s="23">
        <v>500.1</v>
      </c>
    </row>
    <row r="81" spans="1:17" ht="15" thickBot="1" x14ac:dyDescent="0.35">
      <c r="A81" s="71" t="s">
        <v>101</v>
      </c>
      <c r="B81" s="71"/>
      <c r="C81" s="71"/>
      <c r="K81" s="1">
        <v>1291.47</v>
      </c>
      <c r="L81" s="1">
        <v>18</v>
      </c>
      <c r="M81" s="1">
        <v>0.1</v>
      </c>
      <c r="N81" s="1">
        <v>581.16</v>
      </c>
      <c r="P81" s="1">
        <v>1291.47</v>
      </c>
      <c r="Q81" s="1">
        <v>581.16</v>
      </c>
    </row>
    <row r="82" spans="1:17" ht="15" thickBot="1" x14ac:dyDescent="0.35">
      <c r="K82" s="23">
        <v>679.71</v>
      </c>
      <c r="L82" s="23">
        <v>19</v>
      </c>
      <c r="M82" s="23">
        <v>0</v>
      </c>
      <c r="N82" s="23">
        <v>271.88</v>
      </c>
      <c r="P82" s="23">
        <v>679.71</v>
      </c>
      <c r="Q82" s="23">
        <v>271.88</v>
      </c>
    </row>
    <row r="83" spans="1:17" ht="15" thickBot="1" x14ac:dyDescent="0.35">
      <c r="A83" s="31" t="s">
        <v>102</v>
      </c>
      <c r="K83" s="1">
        <v>1143.69</v>
      </c>
      <c r="L83" s="1">
        <v>17</v>
      </c>
      <c r="M83" s="1">
        <v>0</v>
      </c>
      <c r="N83" s="1">
        <v>400.29</v>
      </c>
      <c r="P83" s="1">
        <v>1143.69</v>
      </c>
      <c r="Q83" s="1">
        <v>400.29</v>
      </c>
    </row>
    <row r="84" spans="1:17" ht="15" thickBot="1" x14ac:dyDescent="0.35">
      <c r="A84" s="32">
        <f ca="1">NOW()</f>
        <v>46277.53548958333</v>
      </c>
      <c r="K84" s="23">
        <v>790.08</v>
      </c>
      <c r="L84" s="23">
        <v>7</v>
      </c>
      <c r="M84" s="23">
        <v>0.1</v>
      </c>
      <c r="N84" s="23">
        <v>177.77</v>
      </c>
      <c r="P84" s="23">
        <v>790.08</v>
      </c>
      <c r="Q84" s="23">
        <v>177.77</v>
      </c>
    </row>
    <row r="85" spans="1:17" ht="15" thickBot="1" x14ac:dyDescent="0.35">
      <c r="K85" s="1">
        <v>1070.68</v>
      </c>
      <c r="L85" s="1">
        <v>7</v>
      </c>
      <c r="M85" s="1">
        <v>0.05</v>
      </c>
      <c r="N85" s="1">
        <v>406.86</v>
      </c>
      <c r="P85" s="1">
        <v>1070.68</v>
      </c>
      <c r="Q85" s="1">
        <v>406.86</v>
      </c>
    </row>
    <row r="86" spans="1:17" ht="15" thickBot="1" x14ac:dyDescent="0.35">
      <c r="A86" s="71" t="s">
        <v>103</v>
      </c>
      <c r="B86" s="71"/>
      <c r="C86" s="71"/>
      <c r="D86" s="71"/>
      <c r="K86" s="23">
        <v>1168.8900000000001</v>
      </c>
      <c r="L86" s="23">
        <v>4</v>
      </c>
      <c r="M86" s="23">
        <v>0.1</v>
      </c>
      <c r="N86" s="23">
        <v>526</v>
      </c>
      <c r="P86" s="23">
        <v>1168.8900000000001</v>
      </c>
      <c r="Q86" s="23">
        <v>526</v>
      </c>
    </row>
    <row r="87" spans="1:17" ht="15" thickBot="1" x14ac:dyDescent="0.35">
      <c r="K87" s="1">
        <v>1335.87</v>
      </c>
      <c r="L87" s="1">
        <v>17</v>
      </c>
      <c r="M87" s="1">
        <v>0</v>
      </c>
      <c r="N87" s="1">
        <v>333.97</v>
      </c>
      <c r="P87" s="1">
        <v>1335.87</v>
      </c>
      <c r="Q87" s="1">
        <v>333.97</v>
      </c>
    </row>
    <row r="88" spans="1:17" ht="15" thickBot="1" x14ac:dyDescent="0.35">
      <c r="A88" s="35" t="s">
        <v>78</v>
      </c>
      <c r="B88" s="35" t="s">
        <v>79</v>
      </c>
      <c r="D88" s="34" t="s">
        <v>104</v>
      </c>
      <c r="E88" s="34" t="s">
        <v>105</v>
      </c>
      <c r="K88" s="23">
        <v>873.7</v>
      </c>
      <c r="L88" s="23">
        <v>9</v>
      </c>
      <c r="M88" s="23">
        <v>0</v>
      </c>
      <c r="N88" s="23">
        <v>305.8</v>
      </c>
      <c r="P88" s="23">
        <v>873.7</v>
      </c>
      <c r="Q88" s="23">
        <v>305.8</v>
      </c>
    </row>
    <row r="89" spans="1:17" ht="15" thickBot="1" x14ac:dyDescent="0.35">
      <c r="A89" s="24" t="str" cm="1">
        <f t="array" ref="A89:B103">_xlfn._xlws.FILTER($A$6:$B$35,$B$6:$B$35&gt;=$E$89,"No high-value customers")</f>
        <v>CUST001</v>
      </c>
      <c r="B89" s="24">
        <v>6549.55</v>
      </c>
      <c r="D89" s="24" t="str">
        <f>IFERROR(INDEX($A$6:$A$35,MATCH(MAX($B$6:$B$35),$B$6:$B$35,0)),"Not Found")</f>
        <v>CUST015</v>
      </c>
      <c r="E89" s="24">
        <f>AVERAGE($B$6:$B$35)</f>
        <v>6507.2586666666648</v>
      </c>
      <c r="K89" s="1">
        <v>1443.98</v>
      </c>
      <c r="L89" s="1">
        <v>19</v>
      </c>
      <c r="M89" s="1">
        <v>0</v>
      </c>
      <c r="N89" s="1">
        <v>649.79</v>
      </c>
      <c r="P89" s="1">
        <v>1443.98</v>
      </c>
      <c r="Q89" s="1">
        <v>649.79</v>
      </c>
    </row>
    <row r="90" spans="1:17" ht="15" thickBot="1" x14ac:dyDescent="0.35">
      <c r="A90" s="24" t="str">
        <v>CUST003</v>
      </c>
      <c r="B90" s="24">
        <v>8490.18</v>
      </c>
      <c r="K90" s="23">
        <v>1154.33</v>
      </c>
      <c r="L90" s="23">
        <v>11</v>
      </c>
      <c r="M90" s="23">
        <v>0.15</v>
      </c>
      <c r="N90" s="23">
        <v>441.53</v>
      </c>
      <c r="P90" s="23">
        <v>1154.33</v>
      </c>
      <c r="Q90" s="23">
        <v>441.53</v>
      </c>
    </row>
    <row r="91" spans="1:17" ht="15" thickBot="1" x14ac:dyDescent="0.35">
      <c r="A91" s="24" t="str">
        <v>CUST004</v>
      </c>
      <c r="B91" s="24">
        <v>7813.59</v>
      </c>
      <c r="K91" s="1">
        <v>1264.49</v>
      </c>
      <c r="L91" s="1">
        <v>16</v>
      </c>
      <c r="M91" s="1">
        <v>0.05</v>
      </c>
      <c r="N91" s="1">
        <v>480.51</v>
      </c>
      <c r="P91" s="1">
        <v>1264.49</v>
      </c>
      <c r="Q91" s="1">
        <v>480.51</v>
      </c>
    </row>
    <row r="92" spans="1:17" ht="15" thickBot="1" x14ac:dyDescent="0.35">
      <c r="A92" s="24" t="str">
        <v>CUST005</v>
      </c>
      <c r="B92" s="24">
        <v>6666.130000000001</v>
      </c>
      <c r="K92" s="23">
        <v>1101.55</v>
      </c>
      <c r="L92" s="23">
        <v>4</v>
      </c>
      <c r="M92" s="23">
        <v>0.1</v>
      </c>
      <c r="N92" s="23">
        <v>346.99</v>
      </c>
      <c r="P92" s="23">
        <v>1101.55</v>
      </c>
      <c r="Q92" s="23">
        <v>346.99</v>
      </c>
    </row>
    <row r="93" spans="1:17" ht="15" thickBot="1" x14ac:dyDescent="0.35">
      <c r="A93" s="24" t="str">
        <v>CUST007</v>
      </c>
      <c r="B93" s="24">
        <v>9941.8799999999992</v>
      </c>
      <c r="K93" s="1">
        <v>727.73</v>
      </c>
      <c r="L93" s="1">
        <v>1</v>
      </c>
      <c r="M93" s="1">
        <v>0.1</v>
      </c>
      <c r="N93" s="1">
        <v>229.23</v>
      </c>
      <c r="P93" s="1">
        <v>727.73</v>
      </c>
      <c r="Q93" s="1">
        <v>229.23</v>
      </c>
    </row>
    <row r="94" spans="1:17" ht="15" thickBot="1" x14ac:dyDescent="0.35">
      <c r="A94" s="24" t="str">
        <v>CUST008</v>
      </c>
      <c r="B94" s="24">
        <v>9760.7999999999993</v>
      </c>
      <c r="K94" s="23">
        <v>875.41</v>
      </c>
      <c r="L94" s="23">
        <v>13</v>
      </c>
      <c r="M94" s="23">
        <v>0.15</v>
      </c>
      <c r="N94" s="23">
        <v>334.84</v>
      </c>
      <c r="P94" s="23">
        <v>875.41</v>
      </c>
      <c r="Q94" s="23">
        <v>334.84</v>
      </c>
    </row>
    <row r="95" spans="1:17" ht="15" thickBot="1" x14ac:dyDescent="0.35">
      <c r="A95" s="24" t="str">
        <v>CUST012</v>
      </c>
      <c r="B95" s="24">
        <v>8339</v>
      </c>
      <c r="K95" s="1">
        <v>1158.94</v>
      </c>
      <c r="L95" s="1">
        <v>19</v>
      </c>
      <c r="M95" s="1">
        <v>0.2</v>
      </c>
      <c r="N95" s="1">
        <v>231.79</v>
      </c>
      <c r="P95" s="1">
        <v>1158.94</v>
      </c>
      <c r="Q95" s="1">
        <v>231.79</v>
      </c>
    </row>
    <row r="96" spans="1:17" ht="15" thickBot="1" x14ac:dyDescent="0.35">
      <c r="A96" s="24" t="str">
        <v>CUST014</v>
      </c>
      <c r="B96" s="24">
        <v>6729.8899999999994</v>
      </c>
      <c r="K96" s="23">
        <v>966.3</v>
      </c>
      <c r="L96" s="23">
        <v>2</v>
      </c>
      <c r="M96" s="23">
        <v>0.15</v>
      </c>
      <c r="N96" s="23">
        <v>328.54</v>
      </c>
      <c r="P96" s="23">
        <v>966.3</v>
      </c>
      <c r="Q96" s="23">
        <v>328.54</v>
      </c>
    </row>
    <row r="97" spans="1:17" ht="15" thickBot="1" x14ac:dyDescent="0.35">
      <c r="A97" s="24" t="str">
        <v>CUST015</v>
      </c>
      <c r="B97" s="24">
        <v>11611.060000000001</v>
      </c>
      <c r="K97" s="1">
        <v>917.48</v>
      </c>
      <c r="L97" s="1">
        <v>6</v>
      </c>
      <c r="M97" s="1">
        <v>0</v>
      </c>
      <c r="N97" s="1">
        <v>366.99</v>
      </c>
      <c r="P97" s="1">
        <v>917.48</v>
      </c>
      <c r="Q97" s="1">
        <v>366.99</v>
      </c>
    </row>
    <row r="98" spans="1:17" ht="15" thickBot="1" x14ac:dyDescent="0.35">
      <c r="A98" s="24" t="str">
        <v>CUST021</v>
      </c>
      <c r="B98" s="24">
        <v>8740.18</v>
      </c>
      <c r="K98" s="23">
        <v>1172.97</v>
      </c>
      <c r="L98" s="23">
        <v>7</v>
      </c>
      <c r="M98" s="23">
        <v>0.15</v>
      </c>
      <c r="N98" s="23">
        <v>348.96</v>
      </c>
      <c r="P98" s="23">
        <v>1172.97</v>
      </c>
      <c r="Q98" s="23">
        <v>348.96</v>
      </c>
    </row>
    <row r="99" spans="1:17" ht="15" thickBot="1" x14ac:dyDescent="0.35">
      <c r="A99" s="24" t="str">
        <v>CUST024</v>
      </c>
      <c r="B99" s="24">
        <v>7583.1299999999992</v>
      </c>
      <c r="K99" s="1">
        <v>1205.82</v>
      </c>
      <c r="L99" s="1">
        <v>11</v>
      </c>
      <c r="M99" s="1">
        <v>0.1</v>
      </c>
      <c r="N99" s="1">
        <v>542.62</v>
      </c>
      <c r="P99" s="1">
        <v>1205.82</v>
      </c>
      <c r="Q99" s="1">
        <v>542.62</v>
      </c>
    </row>
    <row r="100" spans="1:17" ht="15" thickBot="1" x14ac:dyDescent="0.35">
      <c r="A100" s="24" t="str">
        <v>CUST025</v>
      </c>
      <c r="B100" s="24">
        <v>6716.52</v>
      </c>
      <c r="K100" s="23">
        <v>826.93</v>
      </c>
      <c r="L100" s="23">
        <v>10</v>
      </c>
      <c r="M100" s="23">
        <v>0.2</v>
      </c>
      <c r="N100" s="23">
        <v>297.69</v>
      </c>
      <c r="P100" s="23">
        <v>826.93</v>
      </c>
      <c r="Q100" s="23">
        <v>297.69</v>
      </c>
    </row>
    <row r="101" spans="1:17" ht="15" thickBot="1" x14ac:dyDescent="0.35">
      <c r="A101" s="24" t="str">
        <v>CUST026</v>
      </c>
      <c r="B101" s="24">
        <v>9371.81</v>
      </c>
      <c r="K101" s="1">
        <v>902.19</v>
      </c>
      <c r="L101" s="1">
        <v>12</v>
      </c>
      <c r="M101" s="1">
        <v>0</v>
      </c>
      <c r="N101" s="1">
        <v>451.1</v>
      </c>
      <c r="P101" s="1">
        <v>902.19</v>
      </c>
      <c r="Q101" s="1">
        <v>451.1</v>
      </c>
    </row>
    <row r="102" spans="1:17" ht="15" thickBot="1" x14ac:dyDescent="0.35">
      <c r="A102" s="24" t="str">
        <v>CUST028</v>
      </c>
      <c r="B102" s="24">
        <v>10293.870000000001</v>
      </c>
      <c r="K102" s="23">
        <v>585.97</v>
      </c>
      <c r="L102" s="23">
        <v>17</v>
      </c>
      <c r="M102" s="23">
        <v>0.1</v>
      </c>
      <c r="N102" s="23">
        <v>210.95</v>
      </c>
      <c r="P102" s="23">
        <v>585.97</v>
      </c>
      <c r="Q102" s="23">
        <v>210.95</v>
      </c>
    </row>
    <row r="103" spans="1:17" ht="15" thickBot="1" x14ac:dyDescent="0.35">
      <c r="A103" s="24" t="str">
        <v>CUST030</v>
      </c>
      <c r="B103" s="24">
        <v>7928.71</v>
      </c>
      <c r="K103" s="1">
        <v>990.19</v>
      </c>
      <c r="L103" s="1">
        <v>8</v>
      </c>
      <c r="M103" s="1">
        <v>0.1</v>
      </c>
      <c r="N103" s="1">
        <v>445.59</v>
      </c>
      <c r="P103" s="1">
        <v>990.19</v>
      </c>
      <c r="Q103" s="1">
        <v>445.59</v>
      </c>
    </row>
    <row r="104" spans="1:17" ht="15" thickBot="1" x14ac:dyDescent="0.35">
      <c r="K104" s="23">
        <v>1014.09</v>
      </c>
      <c r="L104" s="23">
        <v>13</v>
      </c>
      <c r="M104" s="23">
        <v>0.2</v>
      </c>
      <c r="N104" s="23">
        <v>202.82</v>
      </c>
      <c r="P104" s="23">
        <v>1014.09</v>
      </c>
      <c r="Q104" s="23">
        <v>202.82</v>
      </c>
    </row>
    <row r="105" spans="1:17" ht="15" thickBot="1" x14ac:dyDescent="0.35">
      <c r="A105" s="70" t="s">
        <v>122</v>
      </c>
      <c r="B105" s="70"/>
      <c r="C105" s="70"/>
      <c r="D105" s="70"/>
      <c r="K105" s="1">
        <v>925.29</v>
      </c>
      <c r="L105" s="1">
        <v>17</v>
      </c>
      <c r="M105" s="1">
        <v>0</v>
      </c>
      <c r="N105" s="1">
        <v>231.32</v>
      </c>
      <c r="P105" s="1">
        <v>925.29</v>
      </c>
      <c r="Q105" s="1">
        <v>231.32</v>
      </c>
    </row>
    <row r="106" spans="1:17" ht="15" thickBot="1" x14ac:dyDescent="0.35">
      <c r="K106" s="23">
        <v>1286.54</v>
      </c>
      <c r="L106" s="23">
        <v>8</v>
      </c>
      <c r="M106" s="23">
        <v>0</v>
      </c>
      <c r="N106" s="23">
        <v>450.29</v>
      </c>
      <c r="P106" s="23">
        <v>1286.54</v>
      </c>
      <c r="Q106" s="23">
        <v>450.29</v>
      </c>
    </row>
    <row r="107" spans="1:17" ht="15" thickBot="1" x14ac:dyDescent="0.35">
      <c r="A107" s="48" t="s">
        <v>123</v>
      </c>
      <c r="B107" s="33"/>
      <c r="C107" s="33"/>
      <c r="D107" s="33"/>
      <c r="E107" s="33"/>
      <c r="F107" s="33"/>
      <c r="G107" s="33"/>
      <c r="H107" s="33"/>
      <c r="I107" s="33"/>
      <c r="K107" s="1">
        <v>961.62</v>
      </c>
      <c r="L107" s="1">
        <v>8</v>
      </c>
      <c r="M107" s="1">
        <v>0.2</v>
      </c>
      <c r="N107" s="1">
        <v>307.72000000000003</v>
      </c>
      <c r="P107" s="1">
        <v>961.62</v>
      </c>
      <c r="Q107" s="1">
        <v>307.72000000000003</v>
      </c>
    </row>
    <row r="108" spans="1:17" ht="15" thickBot="1" x14ac:dyDescent="0.35">
      <c r="A108" s="33"/>
      <c r="B108" s="33"/>
      <c r="C108" s="33"/>
      <c r="D108" s="33"/>
      <c r="E108" s="33"/>
      <c r="F108" s="33"/>
      <c r="G108" s="33"/>
      <c r="H108" s="33"/>
      <c r="I108" s="33"/>
      <c r="K108" s="23">
        <v>1081.1400000000001</v>
      </c>
      <c r="L108" s="23">
        <v>19</v>
      </c>
      <c r="M108" s="23">
        <v>0.15</v>
      </c>
      <c r="N108" s="23">
        <v>367.59</v>
      </c>
      <c r="P108" s="23">
        <v>1081.1400000000001</v>
      </c>
      <c r="Q108" s="23">
        <v>367.59</v>
      </c>
    </row>
    <row r="109" spans="1:17" ht="15" thickBot="1" x14ac:dyDescent="0.35">
      <c r="A109" s="53" t="s">
        <v>124</v>
      </c>
      <c r="B109" s="54"/>
      <c r="C109" s="33"/>
      <c r="D109" s="33"/>
      <c r="E109" s="33"/>
      <c r="F109" s="33"/>
      <c r="G109" s="33"/>
      <c r="H109" s="33"/>
      <c r="I109" s="33"/>
      <c r="K109" s="1">
        <v>1923.66</v>
      </c>
      <c r="L109" s="1">
        <v>9</v>
      </c>
      <c r="M109" s="1">
        <v>0.2</v>
      </c>
      <c r="N109" s="1">
        <v>769.46</v>
      </c>
      <c r="P109" s="1">
        <v>1923.66</v>
      </c>
      <c r="Q109" s="1">
        <v>769.46</v>
      </c>
    </row>
    <row r="110" spans="1:17" ht="15" thickBot="1" x14ac:dyDescent="0.35">
      <c r="A110" s="55" t="s">
        <v>125</v>
      </c>
      <c r="B110" s="56">
        <v>0.77340306414342619</v>
      </c>
      <c r="C110" s="33"/>
      <c r="D110" s="33"/>
      <c r="E110" s="33"/>
      <c r="F110" s="33"/>
      <c r="G110" s="33"/>
      <c r="H110" s="33"/>
      <c r="I110" s="33"/>
      <c r="K110" s="23">
        <v>728.71</v>
      </c>
      <c r="L110" s="23">
        <v>14</v>
      </c>
      <c r="M110" s="23">
        <v>0.1</v>
      </c>
      <c r="N110" s="23">
        <v>327.92</v>
      </c>
      <c r="P110" s="23">
        <v>728.71</v>
      </c>
      <c r="Q110" s="23">
        <v>327.92</v>
      </c>
    </row>
    <row r="111" spans="1:17" ht="15" thickBot="1" x14ac:dyDescent="0.35">
      <c r="A111" s="55" t="s">
        <v>126</v>
      </c>
      <c r="B111" s="56">
        <v>0.59815229962644056</v>
      </c>
      <c r="C111" s="33"/>
      <c r="D111" s="33"/>
      <c r="E111" s="33"/>
      <c r="F111" s="33"/>
      <c r="G111" s="33"/>
      <c r="H111" s="33"/>
      <c r="I111" s="33"/>
      <c r="K111" s="1">
        <v>1301.8900000000001</v>
      </c>
      <c r="L111" s="1">
        <v>7</v>
      </c>
      <c r="M111" s="1">
        <v>0.15</v>
      </c>
      <c r="N111" s="1">
        <v>553.29999999999995</v>
      </c>
      <c r="P111" s="1">
        <v>1301.8900000000001</v>
      </c>
      <c r="Q111" s="1">
        <v>553.29999999999995</v>
      </c>
    </row>
    <row r="112" spans="1:17" ht="15" thickBot="1" x14ac:dyDescent="0.35">
      <c r="A112" s="55" t="s">
        <v>127</v>
      </c>
      <c r="B112" s="56">
        <v>0.59612276578617007</v>
      </c>
      <c r="C112" s="33"/>
      <c r="D112" s="33"/>
      <c r="E112" s="33"/>
      <c r="F112" s="33"/>
      <c r="G112" s="33"/>
      <c r="H112" s="33"/>
      <c r="I112" s="33"/>
      <c r="K112" s="23">
        <v>980.18</v>
      </c>
      <c r="L112" s="23">
        <v>16</v>
      </c>
      <c r="M112" s="23">
        <v>0.1</v>
      </c>
      <c r="N112" s="23">
        <v>352.86</v>
      </c>
      <c r="P112" s="23">
        <v>980.18</v>
      </c>
      <c r="Q112" s="23">
        <v>352.86</v>
      </c>
    </row>
    <row r="113" spans="1:17" ht="15" thickBot="1" x14ac:dyDescent="0.35">
      <c r="A113" s="55" t="s">
        <v>85</v>
      </c>
      <c r="B113" s="56">
        <v>86.281230529665166</v>
      </c>
      <c r="C113" s="33"/>
      <c r="D113" s="33"/>
      <c r="E113" s="33"/>
      <c r="F113" s="33"/>
      <c r="G113" s="33"/>
      <c r="H113" s="33"/>
      <c r="I113" s="33"/>
      <c r="K113" s="1">
        <v>697.57</v>
      </c>
      <c r="L113" s="1">
        <v>17</v>
      </c>
      <c r="M113" s="1">
        <v>0.1</v>
      </c>
      <c r="N113" s="1">
        <v>313.91000000000003</v>
      </c>
      <c r="P113" s="1">
        <v>697.57</v>
      </c>
      <c r="Q113" s="1">
        <v>313.91000000000003</v>
      </c>
    </row>
    <row r="114" spans="1:17" ht="15" thickBot="1" x14ac:dyDescent="0.35">
      <c r="A114" s="57" t="s">
        <v>128</v>
      </c>
      <c r="B114" s="58">
        <v>200</v>
      </c>
      <c r="C114" s="33"/>
      <c r="D114" s="33"/>
      <c r="E114" s="33"/>
      <c r="F114" s="33"/>
      <c r="G114" s="33"/>
      <c r="H114" s="33"/>
      <c r="I114" s="33"/>
      <c r="K114" s="23">
        <v>1193.6099999999999</v>
      </c>
      <c r="L114" s="23">
        <v>1</v>
      </c>
      <c r="M114" s="23">
        <v>0.15</v>
      </c>
      <c r="N114" s="23">
        <v>355.1</v>
      </c>
      <c r="P114" s="23">
        <v>1193.6099999999999</v>
      </c>
      <c r="Q114" s="23">
        <v>355.1</v>
      </c>
    </row>
    <row r="115" spans="1:17" ht="15" thickBot="1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K115" s="1">
        <v>771.02</v>
      </c>
      <c r="L115" s="1">
        <v>1</v>
      </c>
      <c r="M115" s="1">
        <v>0</v>
      </c>
      <c r="N115" s="1">
        <v>192.76</v>
      </c>
      <c r="P115" s="1">
        <v>771.02</v>
      </c>
      <c r="Q115" s="1">
        <v>192.76</v>
      </c>
    </row>
    <row r="116" spans="1:17" ht="15" thickBot="1" x14ac:dyDescent="0.35">
      <c r="A116" s="49" t="s">
        <v>129</v>
      </c>
      <c r="B116" s="33"/>
      <c r="C116" s="33"/>
      <c r="D116" s="33"/>
      <c r="E116" s="33"/>
      <c r="F116" s="33"/>
      <c r="G116" s="33"/>
      <c r="H116" s="33"/>
      <c r="I116" s="33"/>
      <c r="K116" s="23">
        <v>661.09</v>
      </c>
      <c r="L116" s="23">
        <v>1</v>
      </c>
      <c r="M116" s="23">
        <v>0.2</v>
      </c>
      <c r="N116" s="23">
        <v>264.44</v>
      </c>
      <c r="P116" s="23">
        <v>661.09</v>
      </c>
      <c r="Q116" s="23">
        <v>264.44</v>
      </c>
    </row>
    <row r="117" spans="1:17" ht="15" thickBot="1" x14ac:dyDescent="0.35">
      <c r="A117" s="52"/>
      <c r="B117" s="50" t="s">
        <v>134</v>
      </c>
      <c r="C117" s="50" t="s">
        <v>135</v>
      </c>
      <c r="D117" s="50" t="s">
        <v>136</v>
      </c>
      <c r="E117" s="50" t="s">
        <v>137</v>
      </c>
      <c r="F117" s="51" t="s">
        <v>138</v>
      </c>
      <c r="G117" s="33"/>
      <c r="H117" s="33"/>
      <c r="I117" s="33"/>
      <c r="K117" s="1">
        <v>688.83</v>
      </c>
      <c r="L117" s="1">
        <v>15</v>
      </c>
      <c r="M117" s="1">
        <v>0</v>
      </c>
      <c r="N117" s="1">
        <v>172.21</v>
      </c>
      <c r="P117" s="1">
        <v>688.83</v>
      </c>
      <c r="Q117" s="1">
        <v>172.21</v>
      </c>
    </row>
    <row r="118" spans="1:17" ht="15" thickBot="1" x14ac:dyDescent="0.35">
      <c r="A118" s="55" t="s">
        <v>130</v>
      </c>
      <c r="B118" s="59">
        <v>1</v>
      </c>
      <c r="C118" s="59">
        <v>2194058.1833402822</v>
      </c>
      <c r="D118" s="59">
        <v>2194058.1833402822</v>
      </c>
      <c r="E118" s="59">
        <v>294.72398427548114</v>
      </c>
      <c r="F118" s="56">
        <v>4.6269367558910499E-41</v>
      </c>
      <c r="G118" s="33"/>
      <c r="H118" s="33"/>
      <c r="I118" s="33"/>
      <c r="K118" s="23">
        <v>1249.0999999999999</v>
      </c>
      <c r="L118" s="23">
        <v>4</v>
      </c>
      <c r="M118" s="23">
        <v>0.05</v>
      </c>
      <c r="N118" s="23">
        <v>474.66</v>
      </c>
      <c r="P118" s="23">
        <v>1249.0999999999999</v>
      </c>
      <c r="Q118" s="23">
        <v>474.66</v>
      </c>
    </row>
    <row r="119" spans="1:17" ht="15" thickBot="1" x14ac:dyDescent="0.35">
      <c r="A119" s="55" t="s">
        <v>131</v>
      </c>
      <c r="B119" s="59">
        <v>198</v>
      </c>
      <c r="C119" s="59">
        <v>1474001.2468592182</v>
      </c>
      <c r="D119" s="59">
        <v>7444.4507417132236</v>
      </c>
      <c r="E119" s="59"/>
      <c r="F119" s="56"/>
      <c r="G119" s="33"/>
      <c r="H119" s="33"/>
      <c r="I119" s="33"/>
      <c r="K119" s="1">
        <v>1014.22</v>
      </c>
      <c r="L119" s="1">
        <v>14</v>
      </c>
      <c r="M119" s="1">
        <v>0.05</v>
      </c>
      <c r="N119" s="1">
        <v>433.58</v>
      </c>
      <c r="P119" s="1">
        <v>1014.22</v>
      </c>
      <c r="Q119" s="1">
        <v>433.58</v>
      </c>
    </row>
    <row r="120" spans="1:17" ht="15" thickBot="1" x14ac:dyDescent="0.35">
      <c r="A120" s="57" t="s">
        <v>132</v>
      </c>
      <c r="B120" s="60">
        <v>199</v>
      </c>
      <c r="C120" s="60">
        <v>3668059.4301995002</v>
      </c>
      <c r="D120" s="60"/>
      <c r="E120" s="60"/>
      <c r="F120" s="58"/>
      <c r="G120" s="33"/>
      <c r="H120" s="33"/>
      <c r="I120" s="33"/>
      <c r="K120" s="23">
        <v>1010.58</v>
      </c>
      <c r="L120" s="23">
        <v>2</v>
      </c>
      <c r="M120" s="23">
        <v>0.15</v>
      </c>
      <c r="N120" s="23">
        <v>343.6</v>
      </c>
      <c r="P120" s="23">
        <v>1010.58</v>
      </c>
      <c r="Q120" s="23">
        <v>343.6</v>
      </c>
    </row>
    <row r="121" spans="1:17" ht="15" thickBot="1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K121" s="1">
        <v>957.29</v>
      </c>
      <c r="L121" s="1">
        <v>4</v>
      </c>
      <c r="M121" s="1">
        <v>0.05</v>
      </c>
      <c r="N121" s="1">
        <v>318.3</v>
      </c>
      <c r="P121" s="1">
        <v>957.29</v>
      </c>
      <c r="Q121" s="1">
        <v>318.3</v>
      </c>
    </row>
    <row r="122" spans="1:17" ht="15" thickBot="1" x14ac:dyDescent="0.35">
      <c r="A122" s="64"/>
      <c r="B122" s="65" t="s">
        <v>139</v>
      </c>
      <c r="C122" s="65" t="s">
        <v>85</v>
      </c>
      <c r="D122" s="65" t="s">
        <v>140</v>
      </c>
      <c r="E122" s="65" t="s">
        <v>141</v>
      </c>
      <c r="F122" s="65" t="s">
        <v>142</v>
      </c>
      <c r="G122" s="65" t="s">
        <v>143</v>
      </c>
      <c r="H122" s="65" t="s">
        <v>144</v>
      </c>
      <c r="I122" s="66" t="s">
        <v>145</v>
      </c>
      <c r="K122" s="23">
        <v>1077.92</v>
      </c>
      <c r="L122" s="23">
        <v>3</v>
      </c>
      <c r="M122" s="23">
        <v>0.05</v>
      </c>
      <c r="N122" s="23">
        <v>358.41</v>
      </c>
      <c r="P122" s="23">
        <v>1077.92</v>
      </c>
      <c r="Q122" s="23">
        <v>358.41</v>
      </c>
    </row>
    <row r="123" spans="1:17" ht="15" thickBot="1" x14ac:dyDescent="0.35">
      <c r="A123" s="61" t="s">
        <v>133</v>
      </c>
      <c r="B123" s="62">
        <v>-1.0315504901911368</v>
      </c>
      <c r="C123" s="62">
        <v>20.860617005445505</v>
      </c>
      <c r="D123" s="62">
        <v>-4.9449663445805959E-2</v>
      </c>
      <c r="E123" s="62">
        <v>0.96061079696907459</v>
      </c>
      <c r="F123" s="62">
        <v>-42.169051823378965</v>
      </c>
      <c r="G123" s="62">
        <v>40.105950842996691</v>
      </c>
      <c r="H123" s="62">
        <v>-42.169051823378965</v>
      </c>
      <c r="I123" s="63">
        <v>40.105950842996691</v>
      </c>
      <c r="K123" s="1">
        <v>1163.01</v>
      </c>
      <c r="L123" s="1">
        <v>5</v>
      </c>
      <c r="M123" s="1">
        <v>0</v>
      </c>
      <c r="N123" s="1">
        <v>581.5</v>
      </c>
      <c r="P123" s="1">
        <v>1163.01</v>
      </c>
      <c r="Q123" s="1">
        <v>581.5</v>
      </c>
    </row>
    <row r="124" spans="1:17" ht="15" thickBot="1" x14ac:dyDescent="0.35">
      <c r="A124" s="57" t="s">
        <v>34</v>
      </c>
      <c r="B124" s="60">
        <v>0.35085598819512254</v>
      </c>
      <c r="C124" s="60">
        <v>2.0437188630135626E-2</v>
      </c>
      <c r="D124" s="60">
        <v>17.167527028535048</v>
      </c>
      <c r="E124" s="60">
        <v>4.6269367558907868E-41</v>
      </c>
      <c r="F124" s="60">
        <v>0.31055349501865764</v>
      </c>
      <c r="G124" s="60">
        <v>0.39115848137158743</v>
      </c>
      <c r="H124" s="60">
        <v>0.31055349501865764</v>
      </c>
      <c r="I124" s="58">
        <v>0.39115848137158743</v>
      </c>
      <c r="K124" s="23">
        <v>1014.56</v>
      </c>
      <c r="L124" s="23">
        <v>10</v>
      </c>
      <c r="M124" s="23">
        <v>0.1</v>
      </c>
      <c r="N124" s="23">
        <v>410.9</v>
      </c>
      <c r="P124" s="23">
        <v>1014.56</v>
      </c>
      <c r="Q124" s="23">
        <v>410.9</v>
      </c>
    </row>
    <row r="125" spans="1:17" ht="15" thickBot="1" x14ac:dyDescent="0.35">
      <c r="K125" s="1">
        <v>718.04</v>
      </c>
      <c r="L125" s="1">
        <v>14</v>
      </c>
      <c r="M125" s="1">
        <v>0</v>
      </c>
      <c r="N125" s="1">
        <v>179.51</v>
      </c>
      <c r="P125" s="1">
        <v>718.04</v>
      </c>
      <c r="Q125" s="1">
        <v>179.51</v>
      </c>
    </row>
    <row r="126" spans="1:17" ht="15" thickBot="1" x14ac:dyDescent="0.35">
      <c r="K126" s="23">
        <v>1277.8499999999999</v>
      </c>
      <c r="L126" s="23">
        <v>18</v>
      </c>
      <c r="M126" s="23">
        <v>0.2</v>
      </c>
      <c r="N126" s="23">
        <v>511.14</v>
      </c>
      <c r="P126" s="23">
        <v>1277.8499999999999</v>
      </c>
      <c r="Q126" s="23">
        <v>511.14</v>
      </c>
    </row>
    <row r="127" spans="1:17" ht="15" thickBot="1" x14ac:dyDescent="0.35">
      <c r="K127" s="1">
        <v>706.73</v>
      </c>
      <c r="L127" s="1">
        <v>1</v>
      </c>
      <c r="M127" s="1">
        <v>0.15</v>
      </c>
      <c r="N127" s="1">
        <v>150.18</v>
      </c>
      <c r="P127" s="1">
        <v>706.73</v>
      </c>
      <c r="Q127" s="1">
        <v>150.18</v>
      </c>
    </row>
    <row r="128" spans="1:17" ht="15" thickBot="1" x14ac:dyDescent="0.35">
      <c r="K128" s="23">
        <v>1410.59</v>
      </c>
      <c r="L128" s="23">
        <v>15</v>
      </c>
      <c r="M128" s="23">
        <v>0</v>
      </c>
      <c r="N128" s="23">
        <v>352.65</v>
      </c>
      <c r="P128" s="23">
        <v>1410.59</v>
      </c>
      <c r="Q128" s="23">
        <v>352.65</v>
      </c>
    </row>
    <row r="129" spans="11:17" ht="15" thickBot="1" x14ac:dyDescent="0.35">
      <c r="K129" s="1">
        <v>1350.33</v>
      </c>
      <c r="L129" s="1">
        <v>10</v>
      </c>
      <c r="M129" s="1">
        <v>0</v>
      </c>
      <c r="N129" s="1">
        <v>472.62</v>
      </c>
      <c r="P129" s="1">
        <v>1350.33</v>
      </c>
      <c r="Q129" s="1">
        <v>472.62</v>
      </c>
    </row>
    <row r="130" spans="11:17" ht="15" thickBot="1" x14ac:dyDescent="0.35">
      <c r="K130" s="23">
        <v>919.18</v>
      </c>
      <c r="L130" s="23">
        <v>4</v>
      </c>
      <c r="M130" s="23">
        <v>0.15</v>
      </c>
      <c r="N130" s="23">
        <v>195.33</v>
      </c>
      <c r="P130" s="23">
        <v>919.18</v>
      </c>
      <c r="Q130" s="23">
        <v>195.33</v>
      </c>
    </row>
    <row r="131" spans="11:17" ht="15" thickBot="1" x14ac:dyDescent="0.35">
      <c r="K131" s="1">
        <v>258.51</v>
      </c>
      <c r="L131" s="1">
        <v>19</v>
      </c>
      <c r="M131" s="1">
        <v>0</v>
      </c>
      <c r="N131" s="1">
        <v>64.63</v>
      </c>
      <c r="P131" s="1">
        <v>258.51</v>
      </c>
      <c r="Q131" s="1">
        <v>64.63</v>
      </c>
    </row>
    <row r="132" spans="11:17" ht="15" thickBot="1" x14ac:dyDescent="0.35">
      <c r="K132" s="23">
        <v>1213.48</v>
      </c>
      <c r="L132" s="23">
        <v>5</v>
      </c>
      <c r="M132" s="23">
        <v>0.05</v>
      </c>
      <c r="N132" s="23">
        <v>461.12</v>
      </c>
      <c r="P132" s="23">
        <v>1213.48</v>
      </c>
      <c r="Q132" s="23">
        <v>461.12</v>
      </c>
    </row>
    <row r="133" spans="11:17" ht="15" thickBot="1" x14ac:dyDescent="0.35">
      <c r="K133" s="1">
        <v>1150.28</v>
      </c>
      <c r="L133" s="1">
        <v>8</v>
      </c>
      <c r="M133" s="1">
        <v>0.05</v>
      </c>
      <c r="N133" s="1">
        <v>437.11</v>
      </c>
      <c r="P133" s="1">
        <v>1150.28</v>
      </c>
      <c r="Q133" s="1">
        <v>437.11</v>
      </c>
    </row>
    <row r="134" spans="11:17" ht="15" thickBot="1" x14ac:dyDescent="0.35">
      <c r="K134" s="23">
        <v>853.86</v>
      </c>
      <c r="L134" s="23">
        <v>8</v>
      </c>
      <c r="M134" s="23">
        <v>0.1</v>
      </c>
      <c r="N134" s="23">
        <v>268.97000000000003</v>
      </c>
      <c r="P134" s="23">
        <v>853.86</v>
      </c>
      <c r="Q134" s="23">
        <v>268.97000000000003</v>
      </c>
    </row>
    <row r="135" spans="11:17" ht="15" thickBot="1" x14ac:dyDescent="0.35">
      <c r="K135" s="1">
        <v>1061.04</v>
      </c>
      <c r="L135" s="1">
        <v>1</v>
      </c>
      <c r="M135" s="1">
        <v>0</v>
      </c>
      <c r="N135" s="1">
        <v>265.26</v>
      </c>
      <c r="P135" s="1">
        <v>1061.04</v>
      </c>
      <c r="Q135" s="1">
        <v>265.26</v>
      </c>
    </row>
    <row r="136" spans="11:17" ht="15" thickBot="1" x14ac:dyDescent="0.35">
      <c r="K136" s="23">
        <v>894.55</v>
      </c>
      <c r="L136" s="23">
        <v>19</v>
      </c>
      <c r="M136" s="23">
        <v>0.2</v>
      </c>
      <c r="N136" s="23">
        <v>178.91</v>
      </c>
      <c r="P136" s="23">
        <v>894.55</v>
      </c>
      <c r="Q136" s="23">
        <v>178.91</v>
      </c>
    </row>
    <row r="137" spans="11:17" ht="15" thickBot="1" x14ac:dyDescent="0.35">
      <c r="K137" s="1">
        <v>833.91</v>
      </c>
      <c r="L137" s="1">
        <v>3</v>
      </c>
      <c r="M137" s="1">
        <v>0.05</v>
      </c>
      <c r="N137" s="1">
        <v>356.5</v>
      </c>
      <c r="P137" s="1">
        <v>833.91</v>
      </c>
      <c r="Q137" s="1">
        <v>356.5</v>
      </c>
    </row>
    <row r="138" spans="11:17" ht="15" thickBot="1" x14ac:dyDescent="0.35">
      <c r="K138" s="23">
        <v>820.19</v>
      </c>
      <c r="L138" s="23">
        <v>4</v>
      </c>
      <c r="M138" s="23">
        <v>0.2</v>
      </c>
      <c r="N138" s="23">
        <v>229.65</v>
      </c>
      <c r="P138" s="23">
        <v>820.19</v>
      </c>
      <c r="Q138" s="23">
        <v>229.65</v>
      </c>
    </row>
    <row r="139" spans="11:17" ht="15" thickBot="1" x14ac:dyDescent="0.35">
      <c r="K139" s="1">
        <v>511.74</v>
      </c>
      <c r="L139" s="1">
        <v>8</v>
      </c>
      <c r="M139" s="1">
        <v>0.05</v>
      </c>
      <c r="N139" s="1">
        <v>121.54</v>
      </c>
      <c r="P139" s="1">
        <v>511.74</v>
      </c>
      <c r="Q139" s="1">
        <v>121.54</v>
      </c>
    </row>
    <row r="140" spans="11:17" ht="15" thickBot="1" x14ac:dyDescent="0.35">
      <c r="K140" s="23">
        <v>806.03</v>
      </c>
      <c r="L140" s="23">
        <v>19</v>
      </c>
      <c r="M140" s="23">
        <v>0.05</v>
      </c>
      <c r="N140" s="23">
        <v>268</v>
      </c>
      <c r="P140" s="23">
        <v>806.03</v>
      </c>
      <c r="Q140" s="23">
        <v>268</v>
      </c>
    </row>
    <row r="141" spans="11:17" ht="15" thickBot="1" x14ac:dyDescent="0.35">
      <c r="K141" s="1">
        <v>1432.47</v>
      </c>
      <c r="L141" s="1">
        <v>16</v>
      </c>
      <c r="M141" s="1">
        <v>0.15</v>
      </c>
      <c r="N141" s="1">
        <v>426.16</v>
      </c>
      <c r="P141" s="1">
        <v>1432.47</v>
      </c>
      <c r="Q141" s="1">
        <v>426.16</v>
      </c>
    </row>
    <row r="142" spans="11:17" ht="15" thickBot="1" x14ac:dyDescent="0.35">
      <c r="K142" s="23">
        <v>1488.58</v>
      </c>
      <c r="L142" s="23">
        <v>10</v>
      </c>
      <c r="M142" s="23">
        <v>0.15</v>
      </c>
      <c r="N142" s="23">
        <v>316.32</v>
      </c>
      <c r="P142" s="23">
        <v>1488.58</v>
      </c>
      <c r="Q142" s="23">
        <v>316.32</v>
      </c>
    </row>
    <row r="143" spans="11:17" ht="15" thickBot="1" x14ac:dyDescent="0.35">
      <c r="K143" s="1">
        <v>1231.26</v>
      </c>
      <c r="L143" s="1">
        <v>9</v>
      </c>
      <c r="M143" s="1">
        <v>0</v>
      </c>
      <c r="N143" s="1">
        <v>492.5</v>
      </c>
      <c r="P143" s="1">
        <v>1231.26</v>
      </c>
      <c r="Q143" s="1">
        <v>492.5</v>
      </c>
    </row>
    <row r="144" spans="11:17" ht="15" thickBot="1" x14ac:dyDescent="0.35">
      <c r="K144" s="23">
        <v>1161.67</v>
      </c>
      <c r="L144" s="23">
        <v>19</v>
      </c>
      <c r="M144" s="23">
        <v>0.2</v>
      </c>
      <c r="N144" s="23">
        <v>232.33</v>
      </c>
      <c r="P144" s="23">
        <v>1161.67</v>
      </c>
      <c r="Q144" s="23">
        <v>232.33</v>
      </c>
    </row>
    <row r="145" spans="11:17" ht="15" thickBot="1" x14ac:dyDescent="0.35">
      <c r="K145" s="1">
        <v>388.23</v>
      </c>
      <c r="L145" s="1">
        <v>16</v>
      </c>
      <c r="M145" s="1">
        <v>0.05</v>
      </c>
      <c r="N145" s="1">
        <v>165.97</v>
      </c>
      <c r="P145" s="1">
        <v>388.23</v>
      </c>
      <c r="Q145" s="1">
        <v>165.97</v>
      </c>
    </row>
    <row r="146" spans="11:17" ht="15" thickBot="1" x14ac:dyDescent="0.35">
      <c r="K146" s="23">
        <v>1589.42</v>
      </c>
      <c r="L146" s="23">
        <v>6</v>
      </c>
      <c r="M146" s="23">
        <v>0.15</v>
      </c>
      <c r="N146" s="23">
        <v>675.5</v>
      </c>
      <c r="P146" s="23">
        <v>1589.42</v>
      </c>
      <c r="Q146" s="23">
        <v>675.5</v>
      </c>
    </row>
    <row r="147" spans="11:17" ht="15" thickBot="1" x14ac:dyDescent="0.35">
      <c r="K147" s="1">
        <v>336.66</v>
      </c>
      <c r="L147" s="1">
        <v>13</v>
      </c>
      <c r="M147" s="1">
        <v>0.2</v>
      </c>
      <c r="N147" s="1">
        <v>134.66</v>
      </c>
      <c r="P147" s="1">
        <v>336.66</v>
      </c>
      <c r="Q147" s="1">
        <v>134.66</v>
      </c>
    </row>
    <row r="148" spans="11:17" ht="15" thickBot="1" x14ac:dyDescent="0.35">
      <c r="K148" s="23">
        <v>1353.79</v>
      </c>
      <c r="L148" s="23">
        <v>14</v>
      </c>
      <c r="M148" s="23">
        <v>0.1</v>
      </c>
      <c r="N148" s="23">
        <v>487.36</v>
      </c>
      <c r="P148" s="23">
        <v>1353.79</v>
      </c>
      <c r="Q148" s="23">
        <v>487.36</v>
      </c>
    </row>
    <row r="149" spans="11:17" ht="15" thickBot="1" x14ac:dyDescent="0.35">
      <c r="K149" s="1">
        <v>662.61</v>
      </c>
      <c r="L149" s="1">
        <v>11</v>
      </c>
      <c r="M149" s="1">
        <v>0.05</v>
      </c>
      <c r="N149" s="1">
        <v>314.74</v>
      </c>
      <c r="P149" s="1">
        <v>662.61</v>
      </c>
      <c r="Q149" s="1">
        <v>314.74</v>
      </c>
    </row>
    <row r="150" spans="11:17" ht="15" thickBot="1" x14ac:dyDescent="0.35">
      <c r="K150" s="23">
        <v>309.42</v>
      </c>
      <c r="L150" s="23">
        <v>1</v>
      </c>
      <c r="M150" s="23">
        <v>0.2</v>
      </c>
      <c r="N150" s="23">
        <v>111.39</v>
      </c>
      <c r="P150" s="23">
        <v>309.42</v>
      </c>
      <c r="Q150" s="23">
        <v>111.39</v>
      </c>
    </row>
    <row r="151" spans="11:17" ht="15" thickBot="1" x14ac:dyDescent="0.35">
      <c r="K151" s="1">
        <v>884.63</v>
      </c>
      <c r="L151" s="1">
        <v>18</v>
      </c>
      <c r="M151" s="1">
        <v>0.1</v>
      </c>
      <c r="N151" s="1">
        <v>318.47000000000003</v>
      </c>
      <c r="P151" s="1">
        <v>884.63</v>
      </c>
      <c r="Q151" s="1">
        <v>318.47000000000003</v>
      </c>
    </row>
    <row r="152" spans="11:17" ht="15" thickBot="1" x14ac:dyDescent="0.35">
      <c r="K152" s="23">
        <v>745.05</v>
      </c>
      <c r="L152" s="23">
        <v>10</v>
      </c>
      <c r="M152" s="23">
        <v>0.1</v>
      </c>
      <c r="N152" s="23">
        <v>301.75</v>
      </c>
      <c r="P152" s="23">
        <v>745.05</v>
      </c>
      <c r="Q152" s="23">
        <v>301.75</v>
      </c>
    </row>
    <row r="153" spans="11:17" ht="15" thickBot="1" x14ac:dyDescent="0.35">
      <c r="K153" s="1">
        <v>870.23</v>
      </c>
      <c r="L153" s="1">
        <v>5</v>
      </c>
      <c r="M153" s="1">
        <v>0.05</v>
      </c>
      <c r="N153" s="1">
        <v>413.36</v>
      </c>
      <c r="P153" s="1">
        <v>870.23</v>
      </c>
      <c r="Q153" s="1">
        <v>413.36</v>
      </c>
    </row>
    <row r="154" spans="11:17" ht="15" thickBot="1" x14ac:dyDescent="0.35">
      <c r="K154" s="23">
        <v>862.19</v>
      </c>
      <c r="L154" s="23">
        <v>18</v>
      </c>
      <c r="M154" s="23">
        <v>0.05</v>
      </c>
      <c r="N154" s="23">
        <v>286.68</v>
      </c>
      <c r="P154" s="23">
        <v>862.19</v>
      </c>
      <c r="Q154" s="23">
        <v>286.68</v>
      </c>
    </row>
    <row r="155" spans="11:17" ht="15" thickBot="1" x14ac:dyDescent="0.35">
      <c r="K155" s="1">
        <v>1171.18</v>
      </c>
      <c r="L155" s="1">
        <v>19</v>
      </c>
      <c r="M155" s="1">
        <v>0.05</v>
      </c>
      <c r="N155" s="1">
        <v>556.30999999999995</v>
      </c>
      <c r="P155" s="1">
        <v>1171.18</v>
      </c>
      <c r="Q155" s="1">
        <v>556.30999999999995</v>
      </c>
    </row>
    <row r="156" spans="11:17" ht="15" thickBot="1" x14ac:dyDescent="0.35">
      <c r="K156" s="23">
        <v>1054.56</v>
      </c>
      <c r="L156" s="23">
        <v>11</v>
      </c>
      <c r="M156" s="23">
        <v>0.1</v>
      </c>
      <c r="N156" s="23">
        <v>332.19</v>
      </c>
      <c r="P156" s="23">
        <v>1054.56</v>
      </c>
      <c r="Q156" s="23">
        <v>332.19</v>
      </c>
    </row>
    <row r="157" spans="11:17" ht="15" thickBot="1" x14ac:dyDescent="0.35">
      <c r="K157" s="1">
        <v>1681.21</v>
      </c>
      <c r="L157" s="1">
        <v>5</v>
      </c>
      <c r="M157" s="1">
        <v>0.2</v>
      </c>
      <c r="N157" s="1">
        <v>336.24</v>
      </c>
      <c r="P157" s="1">
        <v>1681.21</v>
      </c>
      <c r="Q157" s="1">
        <v>336.24</v>
      </c>
    </row>
    <row r="158" spans="11:17" ht="15" thickBot="1" x14ac:dyDescent="0.35">
      <c r="K158" s="23">
        <v>379.77</v>
      </c>
      <c r="L158" s="23">
        <v>9</v>
      </c>
      <c r="M158" s="23">
        <v>0.05</v>
      </c>
      <c r="N158" s="23">
        <v>180.39</v>
      </c>
      <c r="P158" s="23">
        <v>379.77</v>
      </c>
      <c r="Q158" s="23">
        <v>180.39</v>
      </c>
    </row>
    <row r="159" spans="11:17" ht="15" thickBot="1" x14ac:dyDescent="0.35">
      <c r="K159" s="1">
        <v>1076.33</v>
      </c>
      <c r="L159" s="1">
        <v>2</v>
      </c>
      <c r="M159" s="1">
        <v>0.1</v>
      </c>
      <c r="N159" s="1">
        <v>484.35</v>
      </c>
      <c r="P159" s="1">
        <v>1076.33</v>
      </c>
      <c r="Q159" s="1">
        <v>484.35</v>
      </c>
    </row>
    <row r="160" spans="11:17" ht="15" thickBot="1" x14ac:dyDescent="0.35">
      <c r="K160" s="23">
        <v>1250.71</v>
      </c>
      <c r="L160" s="23">
        <v>7</v>
      </c>
      <c r="M160" s="23">
        <v>0</v>
      </c>
      <c r="N160" s="23">
        <v>562.82000000000005</v>
      </c>
      <c r="P160" s="23">
        <v>1250.71</v>
      </c>
      <c r="Q160" s="23">
        <v>562.82000000000005</v>
      </c>
    </row>
    <row r="161" spans="11:17" ht="15" thickBot="1" x14ac:dyDescent="0.35">
      <c r="K161" s="1">
        <v>1118.3399999999999</v>
      </c>
      <c r="L161" s="1">
        <v>6</v>
      </c>
      <c r="M161" s="1">
        <v>0.2</v>
      </c>
      <c r="N161" s="1">
        <v>447.34</v>
      </c>
      <c r="P161" s="1">
        <v>1118.3399999999999</v>
      </c>
      <c r="Q161" s="1">
        <v>447.34</v>
      </c>
    </row>
    <row r="162" spans="11:17" ht="15" thickBot="1" x14ac:dyDescent="0.35">
      <c r="K162" s="23">
        <v>1622.62</v>
      </c>
      <c r="L162" s="23">
        <v>12</v>
      </c>
      <c r="M162" s="23">
        <v>0.2</v>
      </c>
      <c r="N162" s="23">
        <v>649.04999999999995</v>
      </c>
      <c r="P162" s="23">
        <v>1622.62</v>
      </c>
      <c r="Q162" s="23">
        <v>649.04999999999995</v>
      </c>
    </row>
    <row r="163" spans="11:17" ht="15" thickBot="1" x14ac:dyDescent="0.35">
      <c r="K163" s="1">
        <v>640.64</v>
      </c>
      <c r="L163" s="1">
        <v>11</v>
      </c>
      <c r="M163" s="1">
        <v>0.2</v>
      </c>
      <c r="N163" s="1">
        <v>205</v>
      </c>
      <c r="P163" s="1">
        <v>640.64</v>
      </c>
      <c r="Q163" s="1">
        <v>205</v>
      </c>
    </row>
    <row r="164" spans="11:17" ht="15" thickBot="1" x14ac:dyDescent="0.35">
      <c r="K164" s="23">
        <v>585.16</v>
      </c>
      <c r="L164" s="23">
        <v>17</v>
      </c>
      <c r="M164" s="23">
        <v>0.1</v>
      </c>
      <c r="N164" s="23">
        <v>263.32</v>
      </c>
      <c r="P164" s="23">
        <v>585.16</v>
      </c>
      <c r="Q164" s="23">
        <v>263.32</v>
      </c>
    </row>
    <row r="165" spans="11:17" ht="15" thickBot="1" x14ac:dyDescent="0.35">
      <c r="K165" s="1">
        <v>1109.98</v>
      </c>
      <c r="L165" s="1">
        <v>5</v>
      </c>
      <c r="M165" s="1">
        <v>0.2</v>
      </c>
      <c r="N165" s="1">
        <v>443.99</v>
      </c>
      <c r="P165" s="1">
        <v>1109.98</v>
      </c>
      <c r="Q165" s="1">
        <v>443.99</v>
      </c>
    </row>
    <row r="166" spans="11:17" ht="15" thickBot="1" x14ac:dyDescent="0.35">
      <c r="K166" s="23">
        <v>1098.08</v>
      </c>
      <c r="L166" s="23">
        <v>9</v>
      </c>
      <c r="M166" s="23">
        <v>0.1</v>
      </c>
      <c r="N166" s="23">
        <v>395.31</v>
      </c>
      <c r="P166" s="23">
        <v>1098.08</v>
      </c>
      <c r="Q166" s="23">
        <v>395.31</v>
      </c>
    </row>
    <row r="167" spans="11:17" ht="15" thickBot="1" x14ac:dyDescent="0.35">
      <c r="K167" s="1">
        <v>827.25</v>
      </c>
      <c r="L167" s="1">
        <v>7</v>
      </c>
      <c r="M167" s="1">
        <v>0.1</v>
      </c>
      <c r="N167" s="1">
        <v>335.04</v>
      </c>
      <c r="P167" s="1">
        <v>827.25</v>
      </c>
      <c r="Q167" s="1">
        <v>335.04</v>
      </c>
    </row>
    <row r="168" spans="11:17" ht="15" thickBot="1" x14ac:dyDescent="0.35">
      <c r="K168" s="23">
        <v>741.88</v>
      </c>
      <c r="L168" s="23">
        <v>16</v>
      </c>
      <c r="M168" s="23">
        <v>0.1</v>
      </c>
      <c r="N168" s="23">
        <v>333.85</v>
      </c>
      <c r="P168" s="23">
        <v>741.88</v>
      </c>
      <c r="Q168" s="23">
        <v>333.85</v>
      </c>
    </row>
    <row r="169" spans="11:17" ht="15" thickBot="1" x14ac:dyDescent="0.35">
      <c r="K169" s="1">
        <v>1311.26</v>
      </c>
      <c r="L169" s="1">
        <v>6</v>
      </c>
      <c r="M169" s="1">
        <v>0.1</v>
      </c>
      <c r="N169" s="1">
        <v>531.05999999999995</v>
      </c>
      <c r="P169" s="1">
        <v>1311.26</v>
      </c>
      <c r="Q169" s="1">
        <v>531.05999999999995</v>
      </c>
    </row>
    <row r="170" spans="11:17" ht="15" thickBot="1" x14ac:dyDescent="0.35">
      <c r="K170" s="23">
        <v>573.32000000000005</v>
      </c>
      <c r="L170" s="23">
        <v>19</v>
      </c>
      <c r="M170" s="23">
        <v>0.1</v>
      </c>
      <c r="N170" s="23">
        <v>232.19</v>
      </c>
      <c r="P170" s="23">
        <v>573.32000000000005</v>
      </c>
      <c r="Q170" s="23">
        <v>232.19</v>
      </c>
    </row>
    <row r="171" spans="11:17" ht="15" thickBot="1" x14ac:dyDescent="0.35">
      <c r="K171" s="1">
        <v>1115.22</v>
      </c>
      <c r="L171" s="1">
        <v>14</v>
      </c>
      <c r="M171" s="1">
        <v>0.2</v>
      </c>
      <c r="N171" s="1">
        <v>223.04</v>
      </c>
      <c r="P171" s="1">
        <v>1115.22</v>
      </c>
      <c r="Q171" s="1">
        <v>223.04</v>
      </c>
    </row>
    <row r="172" spans="11:17" ht="15" thickBot="1" x14ac:dyDescent="0.35">
      <c r="K172" s="23">
        <v>845.84</v>
      </c>
      <c r="L172" s="23">
        <v>4</v>
      </c>
      <c r="M172" s="23">
        <v>0</v>
      </c>
      <c r="N172" s="23">
        <v>422.92</v>
      </c>
      <c r="P172" s="23">
        <v>845.84</v>
      </c>
      <c r="Q172" s="23">
        <v>422.92</v>
      </c>
    </row>
    <row r="173" spans="11:17" ht="15" thickBot="1" x14ac:dyDescent="0.35">
      <c r="K173" s="1">
        <v>1029.8</v>
      </c>
      <c r="L173" s="1">
        <v>3</v>
      </c>
      <c r="M173" s="1">
        <v>0</v>
      </c>
      <c r="N173" s="1">
        <v>257.45</v>
      </c>
      <c r="P173" s="1">
        <v>1029.8</v>
      </c>
      <c r="Q173" s="1">
        <v>257.45</v>
      </c>
    </row>
    <row r="174" spans="11:17" ht="15" thickBot="1" x14ac:dyDescent="0.35">
      <c r="K174" s="23">
        <v>1189.83</v>
      </c>
      <c r="L174" s="23">
        <v>2</v>
      </c>
      <c r="M174" s="23">
        <v>0.2</v>
      </c>
      <c r="N174" s="23">
        <v>380.75</v>
      </c>
      <c r="P174" s="23">
        <v>1189.83</v>
      </c>
      <c r="Q174" s="23">
        <v>380.75</v>
      </c>
    </row>
    <row r="175" spans="11:17" ht="15" thickBot="1" x14ac:dyDescent="0.35">
      <c r="K175" s="1">
        <v>704.28</v>
      </c>
      <c r="L175" s="1">
        <v>15</v>
      </c>
      <c r="M175" s="1">
        <v>0.2</v>
      </c>
      <c r="N175" s="1">
        <v>225.37</v>
      </c>
      <c r="P175" s="1">
        <v>704.28</v>
      </c>
      <c r="Q175" s="1">
        <v>225.37</v>
      </c>
    </row>
    <row r="176" spans="11:17" ht="15" thickBot="1" x14ac:dyDescent="0.35">
      <c r="K176" s="23">
        <v>1618.22</v>
      </c>
      <c r="L176" s="23">
        <v>12</v>
      </c>
      <c r="M176" s="23">
        <v>0.2</v>
      </c>
      <c r="N176" s="23">
        <v>582.55999999999995</v>
      </c>
      <c r="P176" s="23">
        <v>1618.22</v>
      </c>
      <c r="Q176" s="23">
        <v>582.55999999999995</v>
      </c>
    </row>
    <row r="177" spans="11:17" ht="15" thickBot="1" x14ac:dyDescent="0.35">
      <c r="K177" s="1">
        <v>1014.43</v>
      </c>
      <c r="L177" s="1">
        <v>2</v>
      </c>
      <c r="M177" s="1">
        <v>0.15</v>
      </c>
      <c r="N177" s="1">
        <v>344.91</v>
      </c>
      <c r="P177" s="1">
        <v>1014.43</v>
      </c>
      <c r="Q177" s="1">
        <v>344.91</v>
      </c>
    </row>
    <row r="178" spans="11:17" ht="15" thickBot="1" x14ac:dyDescent="0.35">
      <c r="K178" s="23">
        <v>826.97</v>
      </c>
      <c r="L178" s="23">
        <v>18</v>
      </c>
      <c r="M178" s="23">
        <v>0.2</v>
      </c>
      <c r="N178" s="23">
        <v>330.79</v>
      </c>
      <c r="P178" s="23">
        <v>826.97</v>
      </c>
      <c r="Q178" s="23">
        <v>330.79</v>
      </c>
    </row>
    <row r="179" spans="11:17" ht="15" thickBot="1" x14ac:dyDescent="0.35">
      <c r="K179" s="1">
        <v>1022.23</v>
      </c>
      <c r="L179" s="1">
        <v>8</v>
      </c>
      <c r="M179" s="1">
        <v>0.1</v>
      </c>
      <c r="N179" s="1">
        <v>460</v>
      </c>
      <c r="P179" s="1">
        <v>1022.23</v>
      </c>
      <c r="Q179" s="1">
        <v>460</v>
      </c>
    </row>
    <row r="180" spans="11:17" ht="15" thickBot="1" x14ac:dyDescent="0.35">
      <c r="K180" s="23">
        <v>1099.69</v>
      </c>
      <c r="L180" s="23">
        <v>6</v>
      </c>
      <c r="M180" s="23">
        <v>0</v>
      </c>
      <c r="N180" s="23">
        <v>439.88</v>
      </c>
      <c r="P180" s="23">
        <v>1099.69</v>
      </c>
      <c r="Q180" s="23">
        <v>439.88</v>
      </c>
    </row>
    <row r="181" spans="11:17" ht="15" thickBot="1" x14ac:dyDescent="0.35">
      <c r="K181" s="1">
        <v>710.52</v>
      </c>
      <c r="L181" s="1">
        <v>8</v>
      </c>
      <c r="M181" s="1">
        <v>0.1</v>
      </c>
      <c r="N181" s="1">
        <v>255.79</v>
      </c>
      <c r="P181" s="1">
        <v>710.52</v>
      </c>
      <c r="Q181" s="1">
        <v>255.79</v>
      </c>
    </row>
    <row r="182" spans="11:17" ht="15" thickBot="1" x14ac:dyDescent="0.35">
      <c r="K182" s="23">
        <v>499.18</v>
      </c>
      <c r="L182" s="23">
        <v>15</v>
      </c>
      <c r="M182" s="23">
        <v>0.2</v>
      </c>
      <c r="N182" s="23">
        <v>159.74</v>
      </c>
      <c r="P182" s="23">
        <v>499.18</v>
      </c>
      <c r="Q182" s="23">
        <v>159.74</v>
      </c>
    </row>
    <row r="183" spans="11:17" ht="15" thickBot="1" x14ac:dyDescent="0.35">
      <c r="K183" s="1">
        <v>1064.19</v>
      </c>
      <c r="L183" s="1">
        <v>18</v>
      </c>
      <c r="M183" s="1">
        <v>0.05</v>
      </c>
      <c r="N183" s="1">
        <v>404.39</v>
      </c>
      <c r="P183" s="1">
        <v>1064.19</v>
      </c>
      <c r="Q183" s="1">
        <v>404.39</v>
      </c>
    </row>
    <row r="184" spans="11:17" ht="15" thickBot="1" x14ac:dyDescent="0.35">
      <c r="K184" s="23">
        <v>438.76</v>
      </c>
      <c r="L184" s="23">
        <v>18</v>
      </c>
      <c r="M184" s="23">
        <v>0.05</v>
      </c>
      <c r="N184" s="23">
        <v>187.57</v>
      </c>
      <c r="P184" s="23">
        <v>438.76</v>
      </c>
      <c r="Q184" s="23">
        <v>187.57</v>
      </c>
    </row>
    <row r="185" spans="11:17" ht="15" thickBot="1" x14ac:dyDescent="0.35">
      <c r="K185" s="1">
        <v>864.98</v>
      </c>
      <c r="L185" s="1">
        <v>2</v>
      </c>
      <c r="M185" s="1">
        <v>0.05</v>
      </c>
      <c r="N185" s="1">
        <v>410.87</v>
      </c>
      <c r="P185" s="1">
        <v>864.98</v>
      </c>
      <c r="Q185" s="1">
        <v>410.87</v>
      </c>
    </row>
    <row r="186" spans="11:17" ht="15" thickBot="1" x14ac:dyDescent="0.35">
      <c r="K186" s="23">
        <v>984.93</v>
      </c>
      <c r="L186" s="23">
        <v>14</v>
      </c>
      <c r="M186" s="23">
        <v>0.2</v>
      </c>
      <c r="N186" s="23">
        <v>275.77999999999997</v>
      </c>
      <c r="P186" s="23">
        <v>984.93</v>
      </c>
      <c r="Q186" s="23">
        <v>275.77999999999997</v>
      </c>
    </row>
    <row r="187" spans="11:17" ht="15" thickBot="1" x14ac:dyDescent="0.35">
      <c r="K187" s="1">
        <v>1493.49</v>
      </c>
      <c r="L187" s="1">
        <v>18</v>
      </c>
      <c r="M187" s="1">
        <v>0</v>
      </c>
      <c r="N187" s="1">
        <v>746.74</v>
      </c>
      <c r="P187" s="1">
        <v>1493.49</v>
      </c>
      <c r="Q187" s="1">
        <v>746.74</v>
      </c>
    </row>
    <row r="188" spans="11:17" ht="15" thickBot="1" x14ac:dyDescent="0.35">
      <c r="K188" s="23">
        <v>689.43</v>
      </c>
      <c r="L188" s="23">
        <v>9</v>
      </c>
      <c r="M188" s="23">
        <v>0.1</v>
      </c>
      <c r="N188" s="23">
        <v>310.24</v>
      </c>
      <c r="P188" s="23">
        <v>689.43</v>
      </c>
      <c r="Q188" s="23">
        <v>310.24</v>
      </c>
    </row>
    <row r="189" spans="11:17" ht="15" thickBot="1" x14ac:dyDescent="0.35">
      <c r="K189" s="1">
        <v>682.24</v>
      </c>
      <c r="L189" s="1">
        <v>1</v>
      </c>
      <c r="M189" s="1">
        <v>0</v>
      </c>
      <c r="N189" s="1">
        <v>341.12</v>
      </c>
      <c r="P189" s="1">
        <v>682.24</v>
      </c>
      <c r="Q189" s="1">
        <v>341.12</v>
      </c>
    </row>
    <row r="190" spans="11:17" ht="15" thickBot="1" x14ac:dyDescent="0.35">
      <c r="K190" s="23">
        <v>458.54</v>
      </c>
      <c r="L190" s="23">
        <v>15</v>
      </c>
      <c r="M190" s="23">
        <v>0.2</v>
      </c>
      <c r="N190" s="23">
        <v>91.71</v>
      </c>
      <c r="P190" s="23">
        <v>458.54</v>
      </c>
      <c r="Q190" s="23">
        <v>91.71</v>
      </c>
    </row>
    <row r="191" spans="11:17" ht="15" thickBot="1" x14ac:dyDescent="0.35">
      <c r="K191" s="1">
        <v>1184.25</v>
      </c>
      <c r="L191" s="1">
        <v>11</v>
      </c>
      <c r="M191" s="1">
        <v>0.2</v>
      </c>
      <c r="N191" s="1">
        <v>331.59</v>
      </c>
      <c r="P191" s="1">
        <v>1184.25</v>
      </c>
      <c r="Q191" s="1">
        <v>331.59</v>
      </c>
    </row>
    <row r="192" spans="11:17" ht="15" thickBot="1" x14ac:dyDescent="0.35">
      <c r="K192" s="23">
        <v>762.14</v>
      </c>
      <c r="L192" s="23">
        <v>9</v>
      </c>
      <c r="M192" s="23">
        <v>0</v>
      </c>
      <c r="N192" s="23">
        <v>381.07</v>
      </c>
      <c r="P192" s="23">
        <v>762.14</v>
      </c>
      <c r="Q192" s="23">
        <v>381.07</v>
      </c>
    </row>
    <row r="193" spans="11:17" ht="15" thickBot="1" x14ac:dyDescent="0.35">
      <c r="K193" s="1">
        <v>750.71</v>
      </c>
      <c r="L193" s="1">
        <v>10</v>
      </c>
      <c r="M193" s="1">
        <v>0.15</v>
      </c>
      <c r="N193" s="1">
        <v>255.24</v>
      </c>
      <c r="P193" s="1">
        <v>750.71</v>
      </c>
      <c r="Q193" s="1">
        <v>255.24</v>
      </c>
    </row>
    <row r="194" spans="11:17" ht="15" thickBot="1" x14ac:dyDescent="0.35">
      <c r="K194" s="23">
        <v>1456.94</v>
      </c>
      <c r="L194" s="23">
        <v>14</v>
      </c>
      <c r="M194" s="23">
        <v>0.05</v>
      </c>
      <c r="N194" s="23">
        <v>692.05</v>
      </c>
      <c r="P194" s="23">
        <v>1456.94</v>
      </c>
      <c r="Q194" s="23">
        <v>692.05</v>
      </c>
    </row>
    <row r="195" spans="11:17" ht="15" thickBot="1" x14ac:dyDescent="0.35">
      <c r="K195" s="1">
        <v>1093.3800000000001</v>
      </c>
      <c r="L195" s="1">
        <v>17</v>
      </c>
      <c r="M195" s="1">
        <v>0.1</v>
      </c>
      <c r="N195" s="1">
        <v>344.41</v>
      </c>
      <c r="P195" s="1">
        <v>1093.3800000000001</v>
      </c>
      <c r="Q195" s="1">
        <v>344.41</v>
      </c>
    </row>
    <row r="196" spans="11:17" ht="15" thickBot="1" x14ac:dyDescent="0.35">
      <c r="K196" s="23">
        <v>934.27</v>
      </c>
      <c r="L196" s="23">
        <v>8</v>
      </c>
      <c r="M196" s="23">
        <v>0.15</v>
      </c>
      <c r="N196" s="23">
        <v>397.06</v>
      </c>
      <c r="P196" s="23">
        <v>934.27</v>
      </c>
      <c r="Q196" s="23">
        <v>397.06</v>
      </c>
    </row>
    <row r="197" spans="11:17" ht="15" thickBot="1" x14ac:dyDescent="0.35">
      <c r="K197" s="1">
        <v>1465.35</v>
      </c>
      <c r="L197" s="1">
        <v>8</v>
      </c>
      <c r="M197" s="1">
        <v>0.2</v>
      </c>
      <c r="N197" s="1">
        <v>586.14</v>
      </c>
      <c r="P197" s="1">
        <v>1465.35</v>
      </c>
      <c r="Q197" s="1">
        <v>586.14</v>
      </c>
    </row>
    <row r="198" spans="11:17" ht="15" thickBot="1" x14ac:dyDescent="0.35">
      <c r="K198" s="23">
        <v>740.8</v>
      </c>
      <c r="L198" s="23">
        <v>3</v>
      </c>
      <c r="M198" s="23">
        <v>0</v>
      </c>
      <c r="N198" s="23">
        <v>333.36</v>
      </c>
      <c r="P198" s="23">
        <v>740.8</v>
      </c>
      <c r="Q198" s="23">
        <v>333.36</v>
      </c>
    </row>
    <row r="199" spans="11:17" ht="15" thickBot="1" x14ac:dyDescent="0.35">
      <c r="K199" s="1">
        <v>545.44000000000005</v>
      </c>
      <c r="L199" s="1">
        <v>17</v>
      </c>
      <c r="M199" s="1">
        <v>0</v>
      </c>
      <c r="N199" s="1">
        <v>245.45</v>
      </c>
      <c r="P199" s="1">
        <v>545.44000000000005</v>
      </c>
      <c r="Q199" s="1">
        <v>245.45</v>
      </c>
    </row>
    <row r="200" spans="11:17" ht="15" thickBot="1" x14ac:dyDescent="0.35">
      <c r="K200" s="23">
        <v>997.61</v>
      </c>
      <c r="L200" s="23">
        <v>8</v>
      </c>
      <c r="M200" s="23">
        <v>0.05</v>
      </c>
      <c r="N200" s="23">
        <v>379.09</v>
      </c>
      <c r="P200" s="23">
        <v>997.61</v>
      </c>
      <c r="Q200" s="23">
        <v>379.09</v>
      </c>
    </row>
    <row r="201" spans="11:17" ht="15" thickBot="1" x14ac:dyDescent="0.35">
      <c r="K201" s="1">
        <v>928.32</v>
      </c>
      <c r="L201" s="1">
        <v>2</v>
      </c>
      <c r="M201" s="1">
        <v>0.05</v>
      </c>
      <c r="N201" s="1">
        <v>440.95</v>
      </c>
      <c r="P201" s="1">
        <v>928.32</v>
      </c>
      <c r="Q201" s="1">
        <v>440.95</v>
      </c>
    </row>
  </sheetData>
  <mergeCells count="8">
    <mergeCell ref="A105:D105"/>
    <mergeCell ref="A81:C81"/>
    <mergeCell ref="A86:D86"/>
    <mergeCell ref="A1:C1"/>
    <mergeCell ref="A3:H3"/>
    <mergeCell ref="A37:G37"/>
    <mergeCell ref="A46:E46"/>
    <mergeCell ref="A64:C64"/>
  </mergeCells>
  <conditionalFormatting sqref="A6:B35">
    <cfRule type="top10" dxfId="0" priority="3" rank="10"/>
  </conditionalFormatting>
  <conditionalFormatting sqref="C68:C7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R3:R14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BFDB-89AB-4EBA-A27A-0E9F85D2B00C}">
  <dimension ref="A1:Q46"/>
  <sheetViews>
    <sheetView showGridLines="0" tabSelected="1" topLeftCell="A38" zoomScale="125" workbookViewId="0">
      <selection activeCell="E7" sqref="E7"/>
    </sheetView>
  </sheetViews>
  <sheetFormatPr defaultRowHeight="14.4" x14ac:dyDescent="0.3"/>
  <cols>
    <col min="1" max="1" width="17.77734375" customWidth="1"/>
    <col min="4" max="4" width="13.44140625" customWidth="1"/>
    <col min="5" max="5" width="13.33203125" customWidth="1"/>
  </cols>
  <sheetData>
    <row r="1" spans="1:17" ht="26.4" thickBot="1" x14ac:dyDescent="0.55000000000000004">
      <c r="A1" s="74" t="s">
        <v>113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6"/>
    </row>
    <row r="2" spans="1:17" ht="15" thickBot="1" x14ac:dyDescent="0.35"/>
    <row r="3" spans="1:17" ht="16.2" thickBot="1" x14ac:dyDescent="0.35">
      <c r="A3" s="18" t="s">
        <v>99</v>
      </c>
      <c r="B3" s="44">
        <f>SUM(SalesData[Sales])</f>
        <v>195217.75999999992</v>
      </c>
      <c r="C3" s="33"/>
      <c r="E3" s="46" t="s">
        <v>116</v>
      </c>
      <c r="F3" s="47" t="s">
        <v>70</v>
      </c>
    </row>
    <row r="4" spans="1:17" x14ac:dyDescent="0.3">
      <c r="A4" s="45" t="s">
        <v>81</v>
      </c>
      <c r="B4" s="13">
        <f>SUM(SalesData[Profit])</f>
        <v>68287.010000000009</v>
      </c>
      <c r="C4" s="33"/>
    </row>
    <row r="5" spans="1:17" ht="15" thickBot="1" x14ac:dyDescent="0.35">
      <c r="A5" s="45" t="s">
        <v>114</v>
      </c>
      <c r="B5" s="13">
        <f>SUM(SalesData[Quantity])</f>
        <v>1999</v>
      </c>
      <c r="C5" s="33"/>
      <c r="D5" s="33"/>
      <c r="E5" s="33"/>
    </row>
    <row r="6" spans="1:17" ht="31.2" customHeight="1" thickBot="1" x14ac:dyDescent="0.6">
      <c r="A6" s="19" t="s">
        <v>115</v>
      </c>
      <c r="B6" s="15">
        <f>AVERAGE(SalesData[Discount])</f>
        <v>9.7250000000000003E-2</v>
      </c>
      <c r="C6" s="33"/>
      <c r="F6" s="77" t="str">
        <f>"Total Sales by Region - "&amp;F3</f>
        <v>Total Sales by Region - Central</v>
      </c>
      <c r="G6" s="78"/>
      <c r="H6" s="78"/>
      <c r="I6" s="78"/>
      <c r="J6" s="78"/>
      <c r="K6" s="79"/>
    </row>
    <row r="7" spans="1:17" x14ac:dyDescent="0.3">
      <c r="D7" s="40"/>
    </row>
    <row r="42" spans="1:6" ht="28.8" x14ac:dyDescent="0.55000000000000004">
      <c r="A42" s="73" t="s">
        <v>117</v>
      </c>
      <c r="B42" s="73"/>
    </row>
    <row r="43" spans="1:6" ht="18" x14ac:dyDescent="0.35">
      <c r="A43" s="41" t="s">
        <v>118</v>
      </c>
      <c r="B43" s="41"/>
      <c r="C43" s="41"/>
      <c r="D43" s="41"/>
      <c r="E43" s="42"/>
      <c r="F43" s="42"/>
    </row>
    <row r="44" spans="1:6" ht="18" x14ac:dyDescent="0.35">
      <c r="A44" s="72" t="s">
        <v>119</v>
      </c>
      <c r="B44" s="72"/>
      <c r="C44" s="72"/>
      <c r="D44" s="72"/>
      <c r="E44" s="42"/>
      <c r="F44" s="42"/>
    </row>
    <row r="45" spans="1:6" ht="18" x14ac:dyDescent="0.35">
      <c r="A45" s="41" t="s">
        <v>120</v>
      </c>
      <c r="B45" s="41"/>
      <c r="C45" s="41"/>
      <c r="D45" s="41"/>
      <c r="E45" s="42"/>
      <c r="F45" s="42"/>
    </row>
    <row r="46" spans="1:6" ht="18" x14ac:dyDescent="0.35">
      <c r="A46" s="41" t="s">
        <v>121</v>
      </c>
      <c r="B46" s="41"/>
      <c r="C46" s="41"/>
      <c r="D46" s="41"/>
      <c r="E46" s="41"/>
      <c r="F46" s="41"/>
    </row>
  </sheetData>
  <mergeCells count="4">
    <mergeCell ref="A44:D44"/>
    <mergeCell ref="A42:B42"/>
    <mergeCell ref="A1:Q1"/>
    <mergeCell ref="F6:K6"/>
  </mergeCells>
  <dataValidations count="1">
    <dataValidation type="list" allowBlank="1" showInputMessage="1" showErrorMessage="1" sqref="F3" xr:uid="{DC155BF3-E2B1-4A9B-84E5-02FE86E1130D}">
      <formula1>"All,Central,East,North,South,West"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DATASET</vt:lpstr>
      <vt:lpstr>Main_Task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guptarajubhai636@gmail.com</dc:creator>
  <cp:lastModifiedBy>guptarajubhai636@gmail.com</cp:lastModifiedBy>
  <dcterms:created xsi:type="dcterms:W3CDTF">2026-09-10T06:27:17Z</dcterms:created>
  <dcterms:modified xsi:type="dcterms:W3CDTF">2026-09-12T07:23:30Z</dcterms:modified>
</cp:coreProperties>
</file>