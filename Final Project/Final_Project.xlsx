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EDDC58C5-A43C-4043-A8A4-89ABB4D24091}" xr6:coauthVersionLast="47" xr6:coauthVersionMax="47" xr10:uidLastSave="{00000000-0000-0000-0000-000000000000}"/>
  <bookViews>
    <workbookView xWindow="-108" yWindow="-108" windowWidth="23256" windowHeight="12456" xr2:uid="{54AEE6E5-2A15-40FD-91FD-CB48A636A779}"/>
  </bookViews>
  <sheets>
    <sheet name="DataSet" sheetId="1" r:id="rId1"/>
    <sheet name="Scenario Summary" sheetId="3" r:id="rId2"/>
    <sheet name="Main Task" sheetId="2" r:id="rId3"/>
    <sheet name="Pivot tables" sheetId="4" r:id="rId4"/>
    <sheet name="Dashboard" sheetId="5" r:id="rId5"/>
  </sheets>
  <definedNames>
    <definedName name="NativeTimeline_Date">#N/A</definedName>
    <definedName name="Slicer_Region">#N/A</definedName>
  </definedNames>
  <calcPr calcId="191029" iterate="1"/>
  <pivotCaches>
    <pivotCache cacheId="1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5" l="1"/>
  <c r="B37" i="5"/>
  <c r="B34" i="5"/>
  <c r="B33" i="5"/>
  <c r="B38" i="5"/>
  <c r="B32" i="5"/>
  <c r="B31" i="5"/>
  <c r="B30" i="5"/>
  <c r="B29" i="5"/>
  <c r="J4" i="5"/>
  <c r="G4" i="5"/>
  <c r="D4" i="5"/>
  <c r="A4" i="5"/>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597" i="2"/>
  <c r="F543" i="2" a="1"/>
  <c r="F543" i="2" s="1"/>
  <c r="E543" i="2" a="1"/>
  <c r="E543" i="2" s="1"/>
  <c r="D543" i="2" a="1"/>
  <c r="D543" i="2" s="1"/>
  <c r="F528" i="2" a="1"/>
  <c r="F528" i="2" s="1"/>
  <c r="E528" i="2" a="1"/>
  <c r="E528" i="2" s="1"/>
  <c r="D528" i="2" a="1"/>
  <c r="D528" i="2" s="1"/>
  <c r="F473" i="2" a="1"/>
  <c r="F473" i="2" s="1"/>
  <c r="E473" i="2" a="1"/>
  <c r="E473" i="2" s="1"/>
  <c r="D473" i="2" a="1"/>
  <c r="D473" i="2" s="1"/>
  <c r="E464" i="2"/>
  <c r="E465" i="2"/>
  <c r="E466" i="2"/>
  <c r="E467" i="2"/>
  <c r="E463" i="2"/>
  <c r="E456" i="2" a="1"/>
  <c r="E456" i="2" s="1"/>
  <c r="E449" i="2" a="1"/>
  <c r="E449" i="2" s="1"/>
  <c r="E442" i="2"/>
  <c r="E441" i="2"/>
  <c r="E440" i="2"/>
  <c r="E439" i="2"/>
  <c r="E438" i="2"/>
  <c r="A418" i="2"/>
  <c r="B418" i="2"/>
  <c r="A419" i="2"/>
  <c r="B419" i="2"/>
  <c r="A420" i="2"/>
  <c r="B420" i="2"/>
  <c r="A421" i="2"/>
  <c r="B421" i="2"/>
  <c r="A422" i="2"/>
  <c r="B422" i="2"/>
  <c r="A423" i="2"/>
  <c r="B423" i="2"/>
  <c r="A424" i="2"/>
  <c r="B424" i="2"/>
  <c r="A425" i="2"/>
  <c r="B425" i="2"/>
  <c r="A426" i="2"/>
  <c r="B426" i="2"/>
  <c r="A427" i="2"/>
  <c r="B427" i="2"/>
  <c r="A428" i="2"/>
  <c r="B428" i="2"/>
  <c r="A429" i="2"/>
  <c r="B429" i="2"/>
  <c r="A430" i="2"/>
  <c r="B430" i="2"/>
  <c r="A431" i="2"/>
  <c r="B431" i="2"/>
  <c r="A432" i="2"/>
  <c r="B432" i="2"/>
  <c r="A433" i="2"/>
  <c r="B433" i="2"/>
  <c r="A434" i="2"/>
  <c r="B434" i="2"/>
  <c r="A435" i="2"/>
  <c r="B435" i="2"/>
  <c r="A436" i="2"/>
  <c r="B436" i="2"/>
  <c r="A437" i="2"/>
  <c r="B437" i="2"/>
  <c r="A438" i="2"/>
  <c r="B438" i="2"/>
  <c r="A439" i="2"/>
  <c r="B439" i="2"/>
  <c r="A440" i="2"/>
  <c r="B440" i="2"/>
  <c r="A441" i="2"/>
  <c r="B441" i="2"/>
  <c r="A442" i="2"/>
  <c r="B442" i="2"/>
  <c r="A443" i="2"/>
  <c r="B443" i="2"/>
  <c r="A444" i="2"/>
  <c r="B444" i="2"/>
  <c r="A445" i="2"/>
  <c r="B445" i="2"/>
  <c r="A446" i="2"/>
  <c r="B446" i="2"/>
  <c r="A447" i="2"/>
  <c r="B447" i="2"/>
  <c r="A448" i="2"/>
  <c r="B448" i="2"/>
  <c r="A449" i="2"/>
  <c r="B449" i="2"/>
  <c r="A450" i="2"/>
  <c r="B450" i="2"/>
  <c r="A451" i="2"/>
  <c r="B451" i="2"/>
  <c r="A452" i="2"/>
  <c r="B452" i="2"/>
  <c r="A453" i="2"/>
  <c r="B453" i="2"/>
  <c r="A454" i="2"/>
  <c r="B454" i="2"/>
  <c r="A455" i="2"/>
  <c r="B455" i="2"/>
  <c r="A456" i="2"/>
  <c r="B456" i="2"/>
  <c r="A457" i="2"/>
  <c r="B457" i="2"/>
  <c r="A458" i="2"/>
  <c r="B458" i="2"/>
  <c r="A459" i="2"/>
  <c r="B459" i="2"/>
  <c r="A460" i="2"/>
  <c r="B460" i="2"/>
  <c r="A461" i="2"/>
  <c r="B461" i="2"/>
  <c r="A462" i="2"/>
  <c r="B462" i="2"/>
  <c r="A463" i="2"/>
  <c r="B463" i="2"/>
  <c r="A464" i="2"/>
  <c r="B464" i="2"/>
  <c r="A465" i="2"/>
  <c r="B465" i="2"/>
  <c r="A466" i="2"/>
  <c r="B466" i="2"/>
  <c r="A467" i="2"/>
  <c r="B467" i="2"/>
  <c r="A468" i="2"/>
  <c r="B468" i="2"/>
  <c r="A469" i="2"/>
  <c r="B469" i="2"/>
  <c r="A470" i="2"/>
  <c r="B470" i="2"/>
  <c r="A471" i="2"/>
  <c r="B471" i="2"/>
  <c r="A472" i="2"/>
  <c r="B472" i="2"/>
  <c r="A473" i="2"/>
  <c r="B473" i="2"/>
  <c r="A474" i="2"/>
  <c r="B474" i="2"/>
  <c r="A475" i="2"/>
  <c r="B475" i="2"/>
  <c r="A476" i="2"/>
  <c r="B476" i="2"/>
  <c r="A477" i="2"/>
  <c r="B477" i="2"/>
  <c r="A478" i="2"/>
  <c r="B478" i="2"/>
  <c r="A479" i="2"/>
  <c r="B479" i="2"/>
  <c r="A480" i="2"/>
  <c r="B480" i="2"/>
  <c r="A481" i="2"/>
  <c r="B481" i="2"/>
  <c r="A482" i="2"/>
  <c r="B482" i="2"/>
  <c r="A483" i="2"/>
  <c r="B483" i="2"/>
  <c r="A484" i="2"/>
  <c r="B484" i="2"/>
  <c r="A485" i="2"/>
  <c r="B485" i="2"/>
  <c r="A486" i="2"/>
  <c r="B486" i="2"/>
  <c r="A487" i="2"/>
  <c r="B487" i="2"/>
  <c r="A488" i="2"/>
  <c r="B488" i="2"/>
  <c r="A489" i="2"/>
  <c r="B489" i="2"/>
  <c r="A490" i="2"/>
  <c r="B490" i="2"/>
  <c r="A491" i="2"/>
  <c r="B491" i="2"/>
  <c r="A492" i="2"/>
  <c r="B492" i="2"/>
  <c r="A493" i="2"/>
  <c r="B493" i="2"/>
  <c r="A494" i="2"/>
  <c r="B494" i="2"/>
  <c r="A495" i="2"/>
  <c r="B495" i="2"/>
  <c r="A496" i="2"/>
  <c r="B496" i="2"/>
  <c r="A497" i="2"/>
  <c r="B497" i="2"/>
  <c r="A498" i="2"/>
  <c r="B498" i="2"/>
  <c r="A499" i="2"/>
  <c r="B499" i="2"/>
  <c r="A500" i="2"/>
  <c r="B500" i="2"/>
  <c r="A501" i="2"/>
  <c r="B501" i="2"/>
  <c r="A502" i="2"/>
  <c r="B502" i="2"/>
  <c r="A503" i="2"/>
  <c r="B503" i="2"/>
  <c r="A504" i="2"/>
  <c r="B504" i="2"/>
  <c r="A505" i="2"/>
  <c r="B505" i="2"/>
  <c r="A506" i="2"/>
  <c r="B506" i="2"/>
  <c r="A507" i="2"/>
  <c r="B507" i="2"/>
  <c r="A508" i="2"/>
  <c r="B508" i="2"/>
  <c r="A509" i="2"/>
  <c r="B509" i="2"/>
  <c r="A510" i="2"/>
  <c r="B510" i="2"/>
  <c r="A511" i="2"/>
  <c r="B511" i="2"/>
  <c r="A512" i="2"/>
  <c r="B512" i="2"/>
  <c r="A513" i="2"/>
  <c r="B513" i="2"/>
  <c r="A514" i="2"/>
  <c r="B514" i="2"/>
  <c r="A515" i="2"/>
  <c r="B515" i="2"/>
  <c r="A516" i="2"/>
  <c r="B516" i="2"/>
  <c r="A517" i="2"/>
  <c r="B517" i="2"/>
  <c r="A518" i="2"/>
  <c r="B518" i="2"/>
  <c r="A519" i="2"/>
  <c r="B519" i="2"/>
  <c r="A520" i="2"/>
  <c r="B520" i="2"/>
  <c r="A521" i="2"/>
  <c r="B521" i="2"/>
  <c r="A522" i="2"/>
  <c r="B522" i="2"/>
  <c r="A523" i="2"/>
  <c r="B523" i="2"/>
  <c r="A524" i="2"/>
  <c r="B524" i="2"/>
  <c r="A525" i="2"/>
  <c r="B525" i="2"/>
  <c r="A526" i="2"/>
  <c r="B526" i="2"/>
  <c r="A527" i="2"/>
  <c r="B527" i="2"/>
  <c r="A528" i="2"/>
  <c r="B528" i="2"/>
  <c r="A529" i="2"/>
  <c r="B529" i="2"/>
  <c r="A530" i="2"/>
  <c r="B530" i="2"/>
  <c r="A531" i="2"/>
  <c r="B531" i="2"/>
  <c r="A532" i="2"/>
  <c r="B532" i="2"/>
  <c r="A533" i="2"/>
  <c r="B533" i="2"/>
  <c r="A534" i="2"/>
  <c r="B534" i="2"/>
  <c r="A535" i="2"/>
  <c r="B535" i="2"/>
  <c r="A536" i="2"/>
  <c r="B536" i="2"/>
  <c r="A537" i="2"/>
  <c r="B537" i="2"/>
  <c r="A538" i="2"/>
  <c r="B538" i="2"/>
  <c r="A539" i="2"/>
  <c r="B539" i="2"/>
  <c r="A540" i="2"/>
  <c r="B540" i="2"/>
  <c r="A541" i="2"/>
  <c r="B541" i="2"/>
  <c r="A542" i="2"/>
  <c r="B542" i="2"/>
  <c r="A543" i="2"/>
  <c r="B543" i="2"/>
  <c r="A544" i="2"/>
  <c r="B544" i="2"/>
  <c r="A545" i="2"/>
  <c r="B545" i="2"/>
  <c r="A546" i="2"/>
  <c r="B546" i="2"/>
  <c r="A547" i="2"/>
  <c r="B547" i="2"/>
  <c r="A548" i="2"/>
  <c r="B548" i="2"/>
  <c r="A549" i="2"/>
  <c r="B549" i="2"/>
  <c r="A550" i="2"/>
  <c r="B550" i="2"/>
  <c r="A551" i="2"/>
  <c r="B551" i="2"/>
  <c r="A552" i="2"/>
  <c r="B552" i="2"/>
  <c r="A553" i="2"/>
  <c r="B553" i="2"/>
  <c r="A554" i="2"/>
  <c r="B554" i="2"/>
  <c r="A555" i="2"/>
  <c r="B555" i="2"/>
  <c r="A556" i="2"/>
  <c r="B556" i="2"/>
  <c r="A557" i="2"/>
  <c r="B557" i="2"/>
  <c r="A558" i="2"/>
  <c r="B558" i="2"/>
  <c r="A559" i="2"/>
  <c r="B559" i="2"/>
  <c r="A560" i="2"/>
  <c r="B560" i="2"/>
  <c r="A561" i="2"/>
  <c r="B561" i="2"/>
  <c r="A562" i="2"/>
  <c r="B562" i="2"/>
  <c r="A563" i="2"/>
  <c r="B563" i="2"/>
  <c r="A564" i="2"/>
  <c r="B564" i="2"/>
  <c r="A565" i="2"/>
  <c r="B565" i="2"/>
  <c r="A566" i="2"/>
  <c r="B566" i="2"/>
  <c r="A567" i="2"/>
  <c r="B567" i="2"/>
  <c r="A568" i="2"/>
  <c r="B568" i="2"/>
  <c r="A569" i="2"/>
  <c r="B569" i="2"/>
  <c r="A570" i="2"/>
  <c r="B570" i="2"/>
  <c r="A571" i="2"/>
  <c r="B571" i="2"/>
  <c r="A572" i="2"/>
  <c r="B572" i="2"/>
  <c r="A573" i="2"/>
  <c r="B573" i="2"/>
  <c r="A574" i="2"/>
  <c r="B574" i="2"/>
  <c r="A575" i="2"/>
  <c r="B575" i="2"/>
  <c r="A576" i="2"/>
  <c r="B576" i="2"/>
  <c r="A577" i="2"/>
  <c r="B577" i="2"/>
  <c r="A578" i="2"/>
  <c r="B578" i="2"/>
  <c r="A579" i="2"/>
  <c r="B579" i="2"/>
  <c r="A580" i="2"/>
  <c r="B580" i="2"/>
  <c r="A581" i="2"/>
  <c r="B581" i="2"/>
  <c r="A582" i="2"/>
  <c r="B582" i="2"/>
  <c r="A583" i="2"/>
  <c r="B583" i="2"/>
  <c r="A584" i="2"/>
  <c r="B584" i="2"/>
  <c r="A585" i="2"/>
  <c r="B585" i="2"/>
  <c r="A586" i="2"/>
  <c r="B586" i="2"/>
  <c r="A587" i="2"/>
  <c r="B587" i="2"/>
  <c r="A588" i="2"/>
  <c r="B588" i="2"/>
  <c r="A589" i="2"/>
  <c r="B589" i="2"/>
  <c r="A590" i="2"/>
  <c r="B590" i="2"/>
  <c r="A591" i="2"/>
  <c r="B591" i="2"/>
  <c r="A592" i="2"/>
  <c r="B592" i="2"/>
  <c r="A593" i="2"/>
  <c r="B593" i="2"/>
  <c r="A594" i="2"/>
  <c r="B594" i="2"/>
  <c r="A595" i="2"/>
  <c r="B595" i="2"/>
  <c r="A596" i="2"/>
  <c r="B596" i="2"/>
  <c r="A597" i="2"/>
  <c r="B597" i="2"/>
  <c r="A598" i="2"/>
  <c r="B598" i="2"/>
  <c r="A599" i="2"/>
  <c r="B599" i="2"/>
  <c r="A600" i="2"/>
  <c r="B600" i="2"/>
  <c r="A601" i="2"/>
  <c r="B601" i="2"/>
  <c r="A602" i="2"/>
  <c r="B602" i="2"/>
  <c r="A603" i="2"/>
  <c r="B603" i="2"/>
  <c r="A604" i="2"/>
  <c r="B604" i="2"/>
  <c r="A605" i="2"/>
  <c r="B605" i="2"/>
  <c r="A606" i="2"/>
  <c r="B606" i="2"/>
  <c r="A607" i="2"/>
  <c r="B607" i="2"/>
  <c r="A608" i="2"/>
  <c r="B608" i="2"/>
  <c r="A609" i="2"/>
  <c r="B609" i="2"/>
  <c r="A610" i="2"/>
  <c r="B610" i="2"/>
  <c r="A611" i="2"/>
  <c r="B611" i="2"/>
  <c r="A612" i="2"/>
  <c r="B612" i="2"/>
  <c r="A613" i="2"/>
  <c r="B613" i="2"/>
  <c r="A614" i="2"/>
  <c r="B614" i="2"/>
  <c r="A615" i="2"/>
  <c r="B615" i="2"/>
  <c r="A616" i="2"/>
  <c r="B616" i="2"/>
  <c r="A617" i="2"/>
  <c r="B617" i="2"/>
  <c r="A618" i="2"/>
  <c r="B618" i="2"/>
  <c r="A619" i="2"/>
  <c r="B619" i="2"/>
  <c r="A620" i="2"/>
  <c r="B620" i="2"/>
  <c r="A621" i="2"/>
  <c r="B621" i="2"/>
  <c r="A622" i="2"/>
  <c r="B622" i="2"/>
  <c r="A623" i="2"/>
  <c r="B623" i="2"/>
  <c r="A624" i="2"/>
  <c r="B624" i="2"/>
  <c r="A625" i="2"/>
  <c r="B625" i="2"/>
  <c r="A626" i="2"/>
  <c r="B626" i="2"/>
  <c r="A627" i="2"/>
  <c r="B627" i="2"/>
  <c r="A628" i="2"/>
  <c r="B628" i="2"/>
  <c r="A629" i="2"/>
  <c r="B629" i="2"/>
  <c r="A630" i="2"/>
  <c r="B630" i="2"/>
  <c r="A631" i="2"/>
  <c r="B631" i="2"/>
  <c r="A632" i="2"/>
  <c r="B632" i="2"/>
  <c r="A633" i="2"/>
  <c r="B633" i="2"/>
  <c r="A634" i="2"/>
  <c r="B634" i="2"/>
  <c r="A635" i="2"/>
  <c r="B635" i="2"/>
  <c r="A636" i="2"/>
  <c r="B636" i="2"/>
  <c r="A637" i="2"/>
  <c r="B637" i="2"/>
  <c r="A638" i="2"/>
  <c r="B638" i="2"/>
  <c r="A639" i="2"/>
  <c r="B639" i="2"/>
  <c r="A640" i="2"/>
  <c r="B640" i="2"/>
  <c r="A641" i="2"/>
  <c r="B641" i="2"/>
  <c r="A642" i="2"/>
  <c r="B642" i="2"/>
  <c r="A643" i="2"/>
  <c r="B643" i="2"/>
  <c r="A644" i="2"/>
  <c r="B644" i="2"/>
  <c r="A645" i="2"/>
  <c r="B645" i="2"/>
  <c r="A646" i="2"/>
  <c r="B646" i="2"/>
  <c r="A647" i="2"/>
  <c r="B647" i="2"/>
  <c r="A648" i="2"/>
  <c r="B648" i="2"/>
  <c r="A649" i="2"/>
  <c r="B649" i="2"/>
  <c r="A650" i="2"/>
  <c r="B650" i="2"/>
  <c r="A651" i="2"/>
  <c r="B651" i="2"/>
  <c r="A652" i="2"/>
  <c r="B652" i="2"/>
  <c r="A653" i="2"/>
  <c r="B653" i="2"/>
  <c r="A654" i="2"/>
  <c r="B654" i="2"/>
  <c r="A655" i="2"/>
  <c r="B655" i="2"/>
  <c r="A656" i="2"/>
  <c r="B656" i="2"/>
  <c r="A657" i="2"/>
  <c r="B657" i="2"/>
  <c r="A658" i="2"/>
  <c r="B658" i="2"/>
  <c r="A659" i="2"/>
  <c r="B659" i="2"/>
  <c r="A660" i="2"/>
  <c r="B660" i="2"/>
  <c r="A661" i="2"/>
  <c r="B661" i="2"/>
  <c r="A662" i="2"/>
  <c r="B662" i="2"/>
  <c r="A663" i="2"/>
  <c r="B663" i="2"/>
  <c r="A664" i="2"/>
  <c r="B664" i="2"/>
  <c r="A665" i="2"/>
  <c r="B665" i="2"/>
  <c r="A666" i="2"/>
  <c r="B666" i="2"/>
  <c r="B417" i="2"/>
  <c r="A417" i="2"/>
  <c r="B410" i="2"/>
  <c r="B402" i="2"/>
  <c r="A370" i="2"/>
  <c r="B370" i="2"/>
  <c r="C370" i="2"/>
  <c r="D370" i="2"/>
  <c r="A371" i="2"/>
  <c r="B371" i="2"/>
  <c r="C371" i="2"/>
  <c r="D371" i="2"/>
  <c r="A372" i="2"/>
  <c r="B372" i="2"/>
  <c r="C372" i="2"/>
  <c r="D372" i="2"/>
  <c r="A373" i="2"/>
  <c r="B373" i="2"/>
  <c r="C373" i="2"/>
  <c r="D373" i="2"/>
  <c r="A374" i="2"/>
  <c r="B374" i="2"/>
  <c r="C374" i="2"/>
  <c r="D374" i="2"/>
  <c r="A375" i="2"/>
  <c r="B375" i="2"/>
  <c r="C375" i="2"/>
  <c r="D375" i="2"/>
  <c r="A376" i="2"/>
  <c r="B376" i="2"/>
  <c r="C376" i="2"/>
  <c r="D376" i="2"/>
  <c r="A377" i="2"/>
  <c r="B377" i="2"/>
  <c r="C377" i="2"/>
  <c r="D377" i="2"/>
  <c r="A378" i="2"/>
  <c r="B378" i="2"/>
  <c r="C378" i="2"/>
  <c r="D378" i="2"/>
  <c r="A379" i="2"/>
  <c r="B379" i="2"/>
  <c r="C379" i="2"/>
  <c r="D379" i="2"/>
  <c r="A380" i="2"/>
  <c r="B380" i="2"/>
  <c r="C380" i="2"/>
  <c r="D380" i="2"/>
  <c r="A381" i="2"/>
  <c r="B381" i="2"/>
  <c r="C381" i="2"/>
  <c r="D381" i="2"/>
  <c r="A382" i="2"/>
  <c r="B382" i="2"/>
  <c r="C382" i="2"/>
  <c r="D382" i="2"/>
  <c r="A383" i="2"/>
  <c r="B383" i="2"/>
  <c r="C383" i="2"/>
  <c r="D383" i="2"/>
  <c r="A384" i="2"/>
  <c r="B384" i="2"/>
  <c r="C384" i="2"/>
  <c r="D384" i="2"/>
  <c r="A385" i="2"/>
  <c r="B385" i="2"/>
  <c r="C385" i="2"/>
  <c r="D385" i="2"/>
  <c r="A386" i="2"/>
  <c r="B386" i="2"/>
  <c r="C386" i="2"/>
  <c r="D386" i="2"/>
  <c r="A387" i="2"/>
  <c r="B387" i="2"/>
  <c r="C387" i="2"/>
  <c r="D387" i="2"/>
  <c r="A388" i="2"/>
  <c r="B388" i="2"/>
  <c r="C388" i="2"/>
  <c r="D388" i="2"/>
  <c r="A389" i="2"/>
  <c r="B389" i="2"/>
  <c r="C389" i="2"/>
  <c r="D389" i="2"/>
  <c r="A390" i="2"/>
  <c r="B390" i="2"/>
  <c r="C390" i="2"/>
  <c r="D390" i="2"/>
  <c r="A391" i="2"/>
  <c r="B391" i="2"/>
  <c r="C391" i="2"/>
  <c r="D391" i="2"/>
  <c r="A392" i="2"/>
  <c r="B392" i="2"/>
  <c r="C392" i="2"/>
  <c r="D392" i="2"/>
  <c r="A393" i="2"/>
  <c r="B393" i="2"/>
  <c r="C393" i="2"/>
  <c r="D393" i="2"/>
  <c r="A394" i="2"/>
  <c r="B394" i="2"/>
  <c r="C394" i="2"/>
  <c r="D394" i="2"/>
  <c r="A395" i="2"/>
  <c r="B395" i="2"/>
  <c r="C395" i="2"/>
  <c r="D395" i="2"/>
  <c r="A396" i="2"/>
  <c r="B396" i="2"/>
  <c r="C396" i="2"/>
  <c r="D396" i="2"/>
  <c r="A148" i="2"/>
  <c r="B148" i="2"/>
  <c r="C148" i="2"/>
  <c r="D148" i="2"/>
  <c r="A149" i="2"/>
  <c r="B149" i="2"/>
  <c r="C149" i="2"/>
  <c r="D149" i="2"/>
  <c r="A150" i="2"/>
  <c r="B150" i="2"/>
  <c r="C150" i="2"/>
  <c r="D150" i="2"/>
  <c r="A151" i="2"/>
  <c r="B151" i="2"/>
  <c r="C151" i="2"/>
  <c r="D151" i="2"/>
  <c r="A152" i="2"/>
  <c r="B152" i="2"/>
  <c r="C152" i="2"/>
  <c r="D152" i="2"/>
  <c r="A153" i="2"/>
  <c r="B153" i="2"/>
  <c r="C153" i="2"/>
  <c r="D153" i="2"/>
  <c r="A154" i="2"/>
  <c r="B154" i="2"/>
  <c r="C154" i="2"/>
  <c r="D154" i="2"/>
  <c r="A155" i="2"/>
  <c r="B155" i="2"/>
  <c r="C155" i="2"/>
  <c r="D155" i="2"/>
  <c r="A156" i="2"/>
  <c r="B156" i="2"/>
  <c r="C156" i="2"/>
  <c r="D156" i="2"/>
  <c r="A157" i="2"/>
  <c r="B157" i="2"/>
  <c r="C157" i="2"/>
  <c r="D157" i="2"/>
  <c r="A158" i="2"/>
  <c r="B158" i="2"/>
  <c r="C158" i="2"/>
  <c r="D158" i="2"/>
  <c r="A159" i="2"/>
  <c r="B159" i="2"/>
  <c r="C159" i="2"/>
  <c r="D159" i="2"/>
  <c r="A160" i="2"/>
  <c r="B160" i="2"/>
  <c r="C160" i="2"/>
  <c r="D160" i="2"/>
  <c r="A161" i="2"/>
  <c r="B161" i="2"/>
  <c r="C161" i="2"/>
  <c r="D161" i="2"/>
  <c r="A162" i="2"/>
  <c r="B162" i="2"/>
  <c r="C162" i="2"/>
  <c r="D162" i="2"/>
  <c r="A163" i="2"/>
  <c r="B163" i="2"/>
  <c r="C163" i="2"/>
  <c r="D163" i="2"/>
  <c r="A164" i="2"/>
  <c r="B164" i="2"/>
  <c r="C164" i="2"/>
  <c r="D164" i="2"/>
  <c r="A165" i="2"/>
  <c r="B165" i="2"/>
  <c r="C165" i="2"/>
  <c r="D165" i="2"/>
  <c r="A166" i="2"/>
  <c r="B166" i="2"/>
  <c r="C166" i="2"/>
  <c r="D166" i="2"/>
  <c r="A167" i="2"/>
  <c r="B167" i="2"/>
  <c r="C167" i="2"/>
  <c r="D167" i="2"/>
  <c r="A168" i="2"/>
  <c r="B168" i="2"/>
  <c r="C168" i="2"/>
  <c r="D168" i="2"/>
  <c r="A169" i="2"/>
  <c r="B169" i="2"/>
  <c r="C169" i="2"/>
  <c r="D169" i="2"/>
  <c r="A170" i="2"/>
  <c r="B170" i="2"/>
  <c r="C170" i="2"/>
  <c r="D170" i="2"/>
  <c r="A171" i="2"/>
  <c r="B171" i="2"/>
  <c r="C171" i="2"/>
  <c r="D171" i="2"/>
  <c r="A172" i="2"/>
  <c r="B172" i="2"/>
  <c r="C172" i="2"/>
  <c r="D172" i="2"/>
  <c r="A173" i="2"/>
  <c r="B173" i="2"/>
  <c r="C173" i="2"/>
  <c r="D173" i="2"/>
  <c r="A174" i="2"/>
  <c r="B174" i="2"/>
  <c r="C174" i="2"/>
  <c r="D174" i="2"/>
  <c r="A175" i="2"/>
  <c r="B175" i="2"/>
  <c r="C175" i="2"/>
  <c r="D175" i="2"/>
  <c r="A176" i="2"/>
  <c r="B176" i="2"/>
  <c r="C176" i="2"/>
  <c r="D176" i="2"/>
  <c r="A177" i="2"/>
  <c r="B177" i="2"/>
  <c r="C177" i="2"/>
  <c r="D177" i="2"/>
  <c r="A178" i="2"/>
  <c r="B178" i="2"/>
  <c r="C178" i="2"/>
  <c r="D178" i="2"/>
  <c r="A179" i="2"/>
  <c r="B179" i="2"/>
  <c r="C179" i="2"/>
  <c r="D179" i="2"/>
  <c r="A180" i="2"/>
  <c r="B180" i="2"/>
  <c r="C180" i="2"/>
  <c r="D180" i="2"/>
  <c r="A181" i="2"/>
  <c r="B181" i="2"/>
  <c r="C181" i="2"/>
  <c r="D181" i="2"/>
  <c r="A182" i="2"/>
  <c r="B182" i="2"/>
  <c r="C182" i="2"/>
  <c r="D182" i="2"/>
  <c r="A183" i="2"/>
  <c r="B183" i="2"/>
  <c r="C183" i="2"/>
  <c r="D183" i="2"/>
  <c r="A184" i="2"/>
  <c r="B184" i="2"/>
  <c r="C184" i="2"/>
  <c r="D184" i="2"/>
  <c r="A185" i="2"/>
  <c r="B185" i="2"/>
  <c r="C185" i="2"/>
  <c r="D185" i="2"/>
  <c r="A186" i="2"/>
  <c r="B186" i="2"/>
  <c r="C186" i="2"/>
  <c r="D186" i="2"/>
  <c r="A187" i="2"/>
  <c r="B187" i="2"/>
  <c r="C187" i="2"/>
  <c r="D187" i="2"/>
  <c r="A188" i="2"/>
  <c r="B188" i="2"/>
  <c r="C188" i="2"/>
  <c r="D188" i="2"/>
  <c r="A189" i="2"/>
  <c r="B189" i="2"/>
  <c r="C189" i="2"/>
  <c r="D189" i="2"/>
  <c r="A190" i="2"/>
  <c r="B190" i="2"/>
  <c r="C190" i="2"/>
  <c r="D190" i="2"/>
  <c r="A191" i="2"/>
  <c r="B191" i="2"/>
  <c r="C191" i="2"/>
  <c r="D191" i="2"/>
  <c r="A192" i="2"/>
  <c r="B192" i="2"/>
  <c r="C192" i="2"/>
  <c r="D192" i="2"/>
  <c r="A193" i="2"/>
  <c r="B193" i="2"/>
  <c r="C193" i="2"/>
  <c r="D193" i="2"/>
  <c r="A194" i="2"/>
  <c r="B194" i="2"/>
  <c r="C194" i="2"/>
  <c r="D194" i="2"/>
  <c r="A195" i="2"/>
  <c r="B195" i="2"/>
  <c r="C195" i="2"/>
  <c r="D195" i="2"/>
  <c r="A196" i="2"/>
  <c r="B196" i="2"/>
  <c r="C196" i="2"/>
  <c r="D196" i="2"/>
  <c r="A197" i="2"/>
  <c r="B197" i="2"/>
  <c r="C197" i="2"/>
  <c r="D197" i="2"/>
  <c r="A198" i="2"/>
  <c r="B198" i="2"/>
  <c r="C198" i="2"/>
  <c r="D198" i="2"/>
  <c r="A199" i="2"/>
  <c r="B199" i="2"/>
  <c r="C199" i="2"/>
  <c r="D199" i="2"/>
  <c r="A200" i="2"/>
  <c r="B200" i="2"/>
  <c r="C200" i="2"/>
  <c r="D200" i="2"/>
  <c r="A201" i="2"/>
  <c r="B201" i="2"/>
  <c r="C201" i="2"/>
  <c r="D201" i="2"/>
  <c r="A202" i="2"/>
  <c r="B202" i="2"/>
  <c r="C202" i="2"/>
  <c r="D202" i="2"/>
  <c r="A203" i="2"/>
  <c r="B203" i="2"/>
  <c r="C203" i="2"/>
  <c r="D203" i="2"/>
  <c r="A204" i="2"/>
  <c r="B204" i="2"/>
  <c r="C204" i="2"/>
  <c r="D204" i="2"/>
  <c r="A205" i="2"/>
  <c r="B205" i="2"/>
  <c r="C205" i="2"/>
  <c r="D205" i="2"/>
  <c r="A206" i="2"/>
  <c r="B206" i="2"/>
  <c r="C206" i="2"/>
  <c r="D206" i="2"/>
  <c r="A207" i="2"/>
  <c r="B207" i="2"/>
  <c r="C207" i="2"/>
  <c r="D207" i="2"/>
  <c r="A208" i="2"/>
  <c r="B208" i="2"/>
  <c r="C208" i="2"/>
  <c r="D208" i="2"/>
  <c r="A209" i="2"/>
  <c r="B209" i="2"/>
  <c r="C209" i="2"/>
  <c r="D209" i="2"/>
  <c r="A210" i="2"/>
  <c r="B210" i="2"/>
  <c r="C210" i="2"/>
  <c r="D210" i="2"/>
  <c r="A211" i="2"/>
  <c r="B211" i="2"/>
  <c r="C211" i="2"/>
  <c r="D211" i="2"/>
  <c r="A212" i="2"/>
  <c r="B212" i="2"/>
  <c r="C212" i="2"/>
  <c r="D212" i="2"/>
  <c r="A213" i="2"/>
  <c r="B213" i="2"/>
  <c r="C213" i="2"/>
  <c r="D213" i="2"/>
  <c r="A214" i="2"/>
  <c r="B214" i="2"/>
  <c r="C214" i="2"/>
  <c r="D214" i="2"/>
  <c r="A215" i="2"/>
  <c r="B215" i="2"/>
  <c r="C215" i="2"/>
  <c r="D215" i="2"/>
  <c r="A216" i="2"/>
  <c r="B216" i="2"/>
  <c r="C216" i="2"/>
  <c r="D216" i="2"/>
  <c r="A217" i="2"/>
  <c r="B217" i="2"/>
  <c r="C217" i="2"/>
  <c r="D217" i="2"/>
  <c r="A218" i="2"/>
  <c r="B218" i="2"/>
  <c r="C218" i="2"/>
  <c r="D218" i="2"/>
  <c r="A219" i="2"/>
  <c r="B219" i="2"/>
  <c r="C219" i="2"/>
  <c r="D219" i="2"/>
  <c r="A220" i="2"/>
  <c r="B220" i="2"/>
  <c r="C220" i="2"/>
  <c r="D220" i="2"/>
  <c r="A221" i="2"/>
  <c r="B221" i="2"/>
  <c r="C221" i="2"/>
  <c r="D221" i="2"/>
  <c r="A222" i="2"/>
  <c r="B222" i="2"/>
  <c r="C222" i="2"/>
  <c r="D222" i="2"/>
  <c r="A223" i="2"/>
  <c r="B223" i="2"/>
  <c r="C223" i="2"/>
  <c r="D223" i="2"/>
  <c r="A224" i="2"/>
  <c r="B224" i="2"/>
  <c r="C224" i="2"/>
  <c r="D224" i="2"/>
  <c r="A225" i="2"/>
  <c r="B225" i="2"/>
  <c r="C225" i="2"/>
  <c r="D225" i="2"/>
  <c r="A226" i="2"/>
  <c r="B226" i="2"/>
  <c r="C226" i="2"/>
  <c r="D226" i="2"/>
  <c r="A227" i="2"/>
  <c r="B227" i="2"/>
  <c r="C227" i="2"/>
  <c r="D227" i="2"/>
  <c r="A228" i="2"/>
  <c r="B228" i="2"/>
  <c r="C228" i="2"/>
  <c r="D228" i="2"/>
  <c r="A229" i="2"/>
  <c r="B229" i="2"/>
  <c r="C229" i="2"/>
  <c r="D229" i="2"/>
  <c r="A230" i="2"/>
  <c r="B230" i="2"/>
  <c r="C230" i="2"/>
  <c r="D230" i="2"/>
  <c r="A231" i="2"/>
  <c r="B231" i="2"/>
  <c r="C231" i="2"/>
  <c r="D231" i="2"/>
  <c r="A232" i="2"/>
  <c r="B232" i="2"/>
  <c r="C232" i="2"/>
  <c r="D232" i="2"/>
  <c r="A233" i="2"/>
  <c r="B233" i="2"/>
  <c r="C233" i="2"/>
  <c r="D233" i="2"/>
  <c r="A234" i="2"/>
  <c r="B234" i="2"/>
  <c r="C234" i="2"/>
  <c r="D234" i="2"/>
  <c r="A235" i="2"/>
  <c r="B235" i="2"/>
  <c r="C235" i="2"/>
  <c r="D235" i="2"/>
  <c r="A236" i="2"/>
  <c r="B236" i="2"/>
  <c r="C236" i="2"/>
  <c r="D236" i="2"/>
  <c r="A237" i="2"/>
  <c r="B237" i="2"/>
  <c r="C237" i="2"/>
  <c r="D237" i="2"/>
  <c r="A238" i="2"/>
  <c r="B238" i="2"/>
  <c r="C238" i="2"/>
  <c r="D238" i="2"/>
  <c r="A239" i="2"/>
  <c r="B239" i="2"/>
  <c r="C239" i="2"/>
  <c r="D239" i="2"/>
  <c r="A240" i="2"/>
  <c r="B240" i="2"/>
  <c r="C240" i="2"/>
  <c r="D240" i="2"/>
  <c r="A241" i="2"/>
  <c r="B241" i="2"/>
  <c r="C241" i="2"/>
  <c r="D241" i="2"/>
  <c r="A242" i="2"/>
  <c r="B242" i="2"/>
  <c r="C242" i="2"/>
  <c r="D242" i="2"/>
  <c r="A243" i="2"/>
  <c r="B243" i="2"/>
  <c r="C243" i="2"/>
  <c r="D243" i="2"/>
  <c r="A244" i="2"/>
  <c r="B244" i="2"/>
  <c r="C244" i="2"/>
  <c r="D244" i="2"/>
  <c r="A245" i="2"/>
  <c r="B245" i="2"/>
  <c r="C245" i="2"/>
  <c r="D245" i="2"/>
  <c r="A246" i="2"/>
  <c r="B246" i="2"/>
  <c r="C246" i="2"/>
  <c r="D246" i="2"/>
  <c r="A247" i="2"/>
  <c r="B247" i="2"/>
  <c r="C247" i="2"/>
  <c r="D247" i="2"/>
  <c r="A248" i="2"/>
  <c r="B248" i="2"/>
  <c r="C248" i="2"/>
  <c r="D248" i="2"/>
  <c r="A249" i="2"/>
  <c r="B249" i="2"/>
  <c r="C249" i="2"/>
  <c r="D249" i="2"/>
  <c r="A250" i="2"/>
  <c r="B250" i="2"/>
  <c r="C250" i="2"/>
  <c r="D250" i="2"/>
  <c r="A251" i="2"/>
  <c r="B251" i="2"/>
  <c r="C251" i="2"/>
  <c r="D251" i="2"/>
  <c r="A252" i="2"/>
  <c r="B252" i="2"/>
  <c r="C252" i="2"/>
  <c r="D252" i="2"/>
  <c r="A253" i="2"/>
  <c r="B253" i="2"/>
  <c r="C253" i="2"/>
  <c r="D253" i="2"/>
  <c r="A254" i="2"/>
  <c r="B254" i="2"/>
  <c r="C254" i="2"/>
  <c r="D254" i="2"/>
  <c r="A255" i="2"/>
  <c r="B255" i="2"/>
  <c r="C255" i="2"/>
  <c r="D255" i="2"/>
  <c r="A256" i="2"/>
  <c r="B256" i="2"/>
  <c r="C256" i="2"/>
  <c r="D256" i="2"/>
  <c r="A257" i="2"/>
  <c r="B257" i="2"/>
  <c r="C257" i="2"/>
  <c r="D257" i="2"/>
  <c r="A258" i="2"/>
  <c r="B258" i="2"/>
  <c r="C258" i="2"/>
  <c r="D258" i="2"/>
  <c r="A259" i="2"/>
  <c r="B259" i="2"/>
  <c r="C259" i="2"/>
  <c r="D259" i="2"/>
  <c r="A260" i="2"/>
  <c r="B260" i="2"/>
  <c r="C260" i="2"/>
  <c r="D260" i="2"/>
  <c r="A261" i="2"/>
  <c r="B261" i="2"/>
  <c r="C261" i="2"/>
  <c r="D261" i="2"/>
  <c r="A262" i="2"/>
  <c r="B262" i="2"/>
  <c r="C262" i="2"/>
  <c r="D262" i="2"/>
  <c r="A263" i="2"/>
  <c r="B263" i="2"/>
  <c r="C263" i="2"/>
  <c r="D263" i="2"/>
  <c r="A264" i="2"/>
  <c r="B264" i="2"/>
  <c r="C264" i="2"/>
  <c r="D264" i="2"/>
  <c r="A265" i="2"/>
  <c r="B265" i="2"/>
  <c r="C265" i="2"/>
  <c r="D265" i="2"/>
  <c r="A266" i="2"/>
  <c r="B266" i="2"/>
  <c r="C266" i="2"/>
  <c r="D266" i="2"/>
  <c r="A267" i="2"/>
  <c r="B267" i="2"/>
  <c r="C267" i="2"/>
  <c r="D267" i="2"/>
  <c r="A268" i="2"/>
  <c r="B268" i="2"/>
  <c r="C268" i="2"/>
  <c r="D268" i="2"/>
  <c r="A269" i="2"/>
  <c r="B269" i="2"/>
  <c r="C269" i="2"/>
  <c r="D269" i="2"/>
  <c r="A270" i="2"/>
  <c r="B270" i="2"/>
  <c r="C270" i="2"/>
  <c r="D270" i="2"/>
  <c r="A271" i="2"/>
  <c r="B271" i="2"/>
  <c r="C271" i="2"/>
  <c r="D271" i="2"/>
  <c r="A272" i="2"/>
  <c r="B272" i="2"/>
  <c r="C272" i="2"/>
  <c r="D272" i="2"/>
  <c r="A273" i="2"/>
  <c r="B273" i="2"/>
  <c r="C273" i="2"/>
  <c r="D273" i="2"/>
  <c r="A274" i="2"/>
  <c r="B274" i="2"/>
  <c r="C274" i="2"/>
  <c r="D274" i="2"/>
  <c r="A275" i="2"/>
  <c r="B275" i="2"/>
  <c r="C275" i="2"/>
  <c r="D275" i="2"/>
  <c r="A276" i="2"/>
  <c r="B276" i="2"/>
  <c r="C276" i="2"/>
  <c r="D276" i="2"/>
  <c r="A277" i="2"/>
  <c r="B277" i="2"/>
  <c r="C277" i="2"/>
  <c r="D277" i="2"/>
  <c r="A278" i="2"/>
  <c r="B278" i="2"/>
  <c r="C278" i="2"/>
  <c r="D278" i="2"/>
  <c r="A279" i="2"/>
  <c r="B279" i="2"/>
  <c r="C279" i="2"/>
  <c r="D279" i="2"/>
  <c r="A280" i="2"/>
  <c r="B280" i="2"/>
  <c r="C280" i="2"/>
  <c r="D280" i="2"/>
  <c r="A281" i="2"/>
  <c r="B281" i="2"/>
  <c r="C281" i="2"/>
  <c r="D281" i="2"/>
  <c r="A282" i="2"/>
  <c r="B282" i="2"/>
  <c r="C282" i="2"/>
  <c r="D282" i="2"/>
  <c r="A283" i="2"/>
  <c r="B283" i="2"/>
  <c r="C283" i="2"/>
  <c r="D283" i="2"/>
  <c r="A284" i="2"/>
  <c r="B284" i="2"/>
  <c r="C284" i="2"/>
  <c r="D284" i="2"/>
  <c r="A285" i="2"/>
  <c r="B285" i="2"/>
  <c r="C285" i="2"/>
  <c r="D285" i="2"/>
  <c r="A286" i="2"/>
  <c r="B286" i="2"/>
  <c r="C286" i="2"/>
  <c r="D286" i="2"/>
  <c r="A287" i="2"/>
  <c r="B287" i="2"/>
  <c r="C287" i="2"/>
  <c r="D287" i="2"/>
  <c r="A288" i="2"/>
  <c r="B288" i="2"/>
  <c r="C288" i="2"/>
  <c r="D288" i="2"/>
  <c r="A289" i="2"/>
  <c r="B289" i="2"/>
  <c r="C289" i="2"/>
  <c r="D289" i="2"/>
  <c r="A290" i="2"/>
  <c r="B290" i="2"/>
  <c r="C290" i="2"/>
  <c r="D290" i="2"/>
  <c r="A291" i="2"/>
  <c r="B291" i="2"/>
  <c r="C291" i="2"/>
  <c r="D291" i="2"/>
  <c r="A292" i="2"/>
  <c r="B292" i="2"/>
  <c r="C292" i="2"/>
  <c r="D292" i="2"/>
  <c r="A293" i="2"/>
  <c r="B293" i="2"/>
  <c r="C293" i="2"/>
  <c r="D293" i="2"/>
  <c r="A294" i="2"/>
  <c r="B294" i="2"/>
  <c r="C294" i="2"/>
  <c r="D294" i="2"/>
  <c r="A295" i="2"/>
  <c r="B295" i="2"/>
  <c r="C295" i="2"/>
  <c r="D295" i="2"/>
  <c r="A296" i="2"/>
  <c r="B296" i="2"/>
  <c r="C296" i="2"/>
  <c r="D296" i="2"/>
  <c r="A297" i="2"/>
  <c r="B297" i="2"/>
  <c r="C297" i="2"/>
  <c r="D297" i="2"/>
  <c r="A298" i="2"/>
  <c r="B298" i="2"/>
  <c r="C298" i="2"/>
  <c r="D298" i="2"/>
  <c r="A299" i="2"/>
  <c r="B299" i="2"/>
  <c r="C299" i="2"/>
  <c r="D299" i="2"/>
  <c r="A300" i="2"/>
  <c r="B300" i="2"/>
  <c r="C300" i="2"/>
  <c r="D300" i="2"/>
  <c r="A301" i="2"/>
  <c r="B301" i="2"/>
  <c r="C301" i="2"/>
  <c r="D301" i="2"/>
  <c r="A302" i="2"/>
  <c r="B302" i="2"/>
  <c r="C302" i="2"/>
  <c r="D302" i="2"/>
  <c r="A303" i="2"/>
  <c r="B303" i="2"/>
  <c r="C303" i="2"/>
  <c r="D303" i="2"/>
  <c r="A304" i="2"/>
  <c r="B304" i="2"/>
  <c r="C304" i="2"/>
  <c r="D304" i="2"/>
  <c r="A305" i="2"/>
  <c r="B305" i="2"/>
  <c r="C305" i="2"/>
  <c r="D305" i="2"/>
  <c r="A306" i="2"/>
  <c r="B306" i="2"/>
  <c r="C306" i="2"/>
  <c r="D306" i="2"/>
  <c r="A307" i="2"/>
  <c r="B307" i="2"/>
  <c r="C307" i="2"/>
  <c r="D307" i="2"/>
  <c r="A308" i="2"/>
  <c r="B308" i="2"/>
  <c r="C308" i="2"/>
  <c r="D308" i="2"/>
  <c r="A309" i="2"/>
  <c r="B309" i="2"/>
  <c r="C309" i="2"/>
  <c r="D309" i="2"/>
  <c r="A310" i="2"/>
  <c r="B310" i="2"/>
  <c r="C310" i="2"/>
  <c r="D310" i="2"/>
  <c r="A311" i="2"/>
  <c r="B311" i="2"/>
  <c r="C311" i="2"/>
  <c r="D311" i="2"/>
  <c r="A312" i="2"/>
  <c r="B312" i="2"/>
  <c r="C312" i="2"/>
  <c r="D312" i="2"/>
  <c r="A313" i="2"/>
  <c r="B313" i="2"/>
  <c r="C313" i="2"/>
  <c r="D313" i="2"/>
  <c r="A314" i="2"/>
  <c r="B314" i="2"/>
  <c r="C314" i="2"/>
  <c r="D314" i="2"/>
  <c r="A315" i="2"/>
  <c r="B315" i="2"/>
  <c r="C315" i="2"/>
  <c r="D315" i="2"/>
  <c r="A316" i="2"/>
  <c r="B316" i="2"/>
  <c r="C316" i="2"/>
  <c r="D316" i="2"/>
  <c r="A317" i="2"/>
  <c r="B317" i="2"/>
  <c r="C317" i="2"/>
  <c r="D317" i="2"/>
  <c r="A318" i="2"/>
  <c r="B318" i="2"/>
  <c r="C318" i="2"/>
  <c r="D318" i="2"/>
  <c r="A319" i="2"/>
  <c r="B319" i="2"/>
  <c r="C319" i="2"/>
  <c r="D319" i="2"/>
  <c r="A320" i="2"/>
  <c r="B320" i="2"/>
  <c r="C320" i="2"/>
  <c r="D320" i="2"/>
  <c r="A321" i="2"/>
  <c r="B321" i="2"/>
  <c r="C321" i="2"/>
  <c r="D321" i="2"/>
  <c r="A322" i="2"/>
  <c r="B322" i="2"/>
  <c r="C322" i="2"/>
  <c r="D322" i="2"/>
  <c r="A323" i="2"/>
  <c r="B323" i="2"/>
  <c r="C323" i="2"/>
  <c r="D323" i="2"/>
  <c r="A324" i="2"/>
  <c r="B324" i="2"/>
  <c r="C324" i="2"/>
  <c r="D324" i="2"/>
  <c r="A325" i="2"/>
  <c r="B325" i="2"/>
  <c r="C325" i="2"/>
  <c r="D325" i="2"/>
  <c r="A326" i="2"/>
  <c r="B326" i="2"/>
  <c r="C326" i="2"/>
  <c r="D326" i="2"/>
  <c r="A327" i="2"/>
  <c r="B327" i="2"/>
  <c r="C327" i="2"/>
  <c r="D327" i="2"/>
  <c r="A328" i="2"/>
  <c r="B328" i="2"/>
  <c r="C328" i="2"/>
  <c r="D328" i="2"/>
  <c r="A329" i="2"/>
  <c r="B329" i="2"/>
  <c r="C329" i="2"/>
  <c r="D329" i="2"/>
  <c r="A330" i="2"/>
  <c r="B330" i="2"/>
  <c r="C330" i="2"/>
  <c r="D330" i="2"/>
  <c r="A331" i="2"/>
  <c r="B331" i="2"/>
  <c r="C331" i="2"/>
  <c r="D331" i="2"/>
  <c r="A332" i="2"/>
  <c r="B332" i="2"/>
  <c r="C332" i="2"/>
  <c r="D332" i="2"/>
  <c r="A333" i="2"/>
  <c r="B333" i="2"/>
  <c r="C333" i="2"/>
  <c r="D333" i="2"/>
  <c r="A334" i="2"/>
  <c r="B334" i="2"/>
  <c r="C334" i="2"/>
  <c r="D334" i="2"/>
  <c r="A335" i="2"/>
  <c r="B335" i="2"/>
  <c r="C335" i="2"/>
  <c r="D335" i="2"/>
  <c r="A336" i="2"/>
  <c r="B336" i="2"/>
  <c r="C336" i="2"/>
  <c r="D336" i="2"/>
  <c r="A337" i="2"/>
  <c r="B337" i="2"/>
  <c r="C337" i="2"/>
  <c r="D337" i="2"/>
  <c r="A338" i="2"/>
  <c r="B338" i="2"/>
  <c r="C338" i="2"/>
  <c r="D338" i="2"/>
  <c r="A339" i="2"/>
  <c r="B339" i="2"/>
  <c r="C339" i="2"/>
  <c r="D339" i="2"/>
  <c r="A340" i="2"/>
  <c r="B340" i="2"/>
  <c r="C340" i="2"/>
  <c r="D340" i="2"/>
  <c r="A341" i="2"/>
  <c r="B341" i="2"/>
  <c r="C341" i="2"/>
  <c r="D341" i="2"/>
  <c r="A342" i="2"/>
  <c r="B342" i="2"/>
  <c r="C342" i="2"/>
  <c r="D342" i="2"/>
  <c r="A343" i="2"/>
  <c r="B343" i="2"/>
  <c r="C343" i="2"/>
  <c r="D343" i="2"/>
  <c r="A344" i="2"/>
  <c r="B344" i="2"/>
  <c r="C344" i="2"/>
  <c r="D344" i="2"/>
  <c r="A345" i="2"/>
  <c r="B345" i="2"/>
  <c r="C345" i="2"/>
  <c r="D345" i="2"/>
  <c r="A346" i="2"/>
  <c r="B346" i="2"/>
  <c r="C346" i="2"/>
  <c r="D346" i="2"/>
  <c r="A347" i="2"/>
  <c r="B347" i="2"/>
  <c r="C347" i="2"/>
  <c r="D347" i="2"/>
  <c r="A348" i="2"/>
  <c r="B348" i="2"/>
  <c r="C348" i="2"/>
  <c r="D348" i="2"/>
  <c r="A349" i="2"/>
  <c r="B349" i="2"/>
  <c r="C349" i="2"/>
  <c r="D349" i="2"/>
  <c r="A350" i="2"/>
  <c r="B350" i="2"/>
  <c r="C350" i="2"/>
  <c r="D350" i="2"/>
  <c r="A351" i="2"/>
  <c r="B351" i="2"/>
  <c r="C351" i="2"/>
  <c r="D351" i="2"/>
  <c r="A352" i="2"/>
  <c r="B352" i="2"/>
  <c r="C352" i="2"/>
  <c r="D352" i="2"/>
  <c r="A353" i="2"/>
  <c r="B353" i="2"/>
  <c r="C353" i="2"/>
  <c r="D353" i="2"/>
  <c r="A354" i="2"/>
  <c r="B354" i="2"/>
  <c r="C354" i="2"/>
  <c r="D354" i="2"/>
  <c r="A355" i="2"/>
  <c r="B355" i="2"/>
  <c r="C355" i="2"/>
  <c r="D355" i="2"/>
  <c r="A356" i="2"/>
  <c r="B356" i="2"/>
  <c r="C356" i="2"/>
  <c r="D356" i="2"/>
  <c r="A357" i="2"/>
  <c r="B357" i="2"/>
  <c r="C357" i="2"/>
  <c r="D357" i="2"/>
  <c r="A358" i="2"/>
  <c r="B358" i="2"/>
  <c r="C358" i="2"/>
  <c r="D358" i="2"/>
  <c r="A359" i="2"/>
  <c r="B359" i="2"/>
  <c r="C359" i="2"/>
  <c r="D359" i="2"/>
  <c r="A360" i="2"/>
  <c r="B360" i="2"/>
  <c r="C360" i="2"/>
  <c r="D360" i="2"/>
  <c r="A361" i="2"/>
  <c r="B361" i="2"/>
  <c r="C361" i="2"/>
  <c r="D361" i="2"/>
  <c r="A362" i="2"/>
  <c r="B362" i="2"/>
  <c r="C362" i="2"/>
  <c r="D362" i="2"/>
  <c r="A363" i="2"/>
  <c r="B363" i="2"/>
  <c r="C363" i="2"/>
  <c r="D363" i="2"/>
  <c r="A364" i="2"/>
  <c r="B364" i="2"/>
  <c r="C364" i="2"/>
  <c r="D364" i="2"/>
  <c r="A365" i="2"/>
  <c r="B365" i="2"/>
  <c r="C365" i="2"/>
  <c r="D365" i="2"/>
  <c r="A366" i="2"/>
  <c r="B366" i="2"/>
  <c r="C366" i="2"/>
  <c r="D366" i="2"/>
  <c r="A367" i="2"/>
  <c r="B367" i="2"/>
  <c r="C367" i="2"/>
  <c r="D367" i="2"/>
  <c r="A368" i="2"/>
  <c r="B368" i="2"/>
  <c r="C368" i="2"/>
  <c r="D368" i="2"/>
  <c r="A369" i="2"/>
  <c r="B369" i="2"/>
  <c r="C369" i="2"/>
  <c r="D369" i="2"/>
  <c r="D147" i="2"/>
  <c r="C147" i="2"/>
  <c r="B147" i="2"/>
  <c r="A147" i="2"/>
  <c r="A12" i="2" a="1"/>
  <c r="A12" i="2" s="1"/>
  <c r="B7" i="2"/>
  <c r="B6" i="2"/>
  <c r="B5" i="2"/>
  <c r="B4"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<sst xmlns="http://schemas.openxmlformats.org/spreadsheetml/2006/main" count="2437" uniqueCount="507">
  <si>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</si>
  <si>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</si>
  <si>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</si>
  <si>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</si>
  <si>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</si>
  <si>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</si>
  <si>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</si>
  <si>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</si>
  <si>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</si>
  <si>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</si>
  <si>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</si>
  <si>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</si>
  <si>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</si>
  <si>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</si>
  <si>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</si>
  <si>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</si>
  <si>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</si>
  <si>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</si>
  <si>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</si>
  <si>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</si>
  <si>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</si>
  <si>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</si>
  <si>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</si>
  <si>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</si>
  <si>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</si>
  <si>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</si>
  <si>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</si>
  <si>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</si>
  <si>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</si>
  <si>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</si>
  <si>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</si>
  <si>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</si>
  <si>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</si>
  <si>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</si>
  <si>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</si>
  <si>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</si>
  <si>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</si>
  <si>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</si>
  <si>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</si>
  <si>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</si>
  <si>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</si>
  <si>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</si>
  <si>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</si>
  <si>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</si>
  <si>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</si>
  <si>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</si>
  <si>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</si>
  <si>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</si>
  <si>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</si>
  <si>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</si>
  <si>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</si>
  <si>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</si>
  <si>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</si>
  <si>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</si>
  <si>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</si>
  <si>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</si>
  <si>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</si>
  <si>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</si>
  <si>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</si>
  <si>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</si>
  <si>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</si>
  <si>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</si>
  <si>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</si>
  <si>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</si>
  <si>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</si>
  <si>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</si>
  <si>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</si>
  <si>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</si>
  <si>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</si>
  <si>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</si>
  <si>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</si>
  <si>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</si>
  <si>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</si>
  <si>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</si>
  <si>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</si>
  <si>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</si>
  <si>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</si>
  <si>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</si>
  <si>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</si>
  <si>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</si>
  <si>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</si>
  <si>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</si>
  <si>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</si>
  <si>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</si>
  <si>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</si>
  <si>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</si>
  <si>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</si>
  <si>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</si>
  <si>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</si>
  <si>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</si>
  <si>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</si>
  <si>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</si>
  <si>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</si>
  <si>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</si>
  <si>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</si>
  <si>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</si>
  <si>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</si>
  <si>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</si>
  <si>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</si>
  <si>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</si>
  <si>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</si>
  <si>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</si>
  <si>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</si>
  <si>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</si>
  <si>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</si>
  <si>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</si>
  <si>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</si>
  <si>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</si>
  <si>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</si>
  <si>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</si>
  <si>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</si>
  <si>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</si>
  <si>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</si>
  <si>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</si>
  <si>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</si>
  <si>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</si>
  <si>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</si>
  <si>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</si>
  <si>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</si>
  <si>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</si>
  <si>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</si>
  <si>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</si>
  <si>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</si>
  <si>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</si>
  <si>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</si>
  <si>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</si>
  <si>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</si>
  <si>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</si>
  <si>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</si>
  <si>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</si>
  <si>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</si>
  <si>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</si>
  <si>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</si>
  <si>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</si>
  <si>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</si>
  <si>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</si>
  <si>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</si>
  <si>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</si>
  <si>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</si>
  <si>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</si>
  <si>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</si>
  <si>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</si>
  <si>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</si>
  <si>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</si>
  <si>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</si>
  <si>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</si>
  <si>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</si>
  <si>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</si>
  <si>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</si>
  <si>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</si>
  <si>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</si>
  <si>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</si>
  <si>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</si>
  <si>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</si>
  <si>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</si>
  <si>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</si>
  <si>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</si>
  <si>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</si>
  <si>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</si>
  <si>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</si>
  <si>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</si>
  <si>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</si>
  <si>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</si>
  <si>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</si>
  <si>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</si>
  <si>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</si>
  <si>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</si>
  <si>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</si>
  <si>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</si>
  <si>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</si>
  <si>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</si>
  <si>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</si>
  <si>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</si>
  <si>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</si>
  <si>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</si>
  <si>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</si>
  <si>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</si>
  <si>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</si>
  <si>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</si>
  <si>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</si>
  <si>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</si>
  <si>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</si>
  <si>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</si>
  <si>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</si>
  <si>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</si>
  <si>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</si>
  <si>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</si>
  <si>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</si>
  <si>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</si>
  <si>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</si>
  <si>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</si>
  <si>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</si>
  <si>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</si>
  <si>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</si>
  <si>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</si>
  <si>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</si>
  <si>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</si>
  <si>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</si>
  <si>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</si>
  <si>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</si>
  <si>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</si>
  <si>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</si>
  <si>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</si>
  <si>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</si>
  <si>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</si>
  <si>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</si>
  <si>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</si>
  <si>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</si>
  <si>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</si>
  <si>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</si>
  <si>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</si>
  <si>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</si>
  <si>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</si>
  <si>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</si>
  <si>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</si>
  <si>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</si>
  <si>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</si>
  <si>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</si>
  <si>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</si>
  <si>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</si>
  <si>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</si>
  <si>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</si>
  <si>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</si>
  <si>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</si>
  <si>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</si>
  <si>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</si>
  <si>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</si>
  <si>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</si>
  <si>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</si>
  <si>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</si>
  <si>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</si>
  <si>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</si>
  <si>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</si>
  <si>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</si>
  <si>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</si>
  <si>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</si>
  <si>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</si>
  <si>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</si>
  <si>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</si>
  <si>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</si>
  <si>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</si>
  <si>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</si>
  <si>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</si>
  <si>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</si>
  <si>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</si>
  <si>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</si>
  <si>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</si>
  <si>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</si>
  <si>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</si>
  <si>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</si>
  <si>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</si>
  <si>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</si>
  <si>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</si>
  <si>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</si>
  <si>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</si>
  <si>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</si>
  <si>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</si>
  <si>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</si>
  <si>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</si>
  <si>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</si>
  <si>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</si>
  <si>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</si>
  <si>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</si>
  <si>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</si>
  <si>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</si>
  <si>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</si>
  <si>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</si>
  <si>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</si>
  <si>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</si>
  <si>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</si>
  <si>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</si>
  <si>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</si>
  <si>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</si>
  <si>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</si>
  <si>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</si>
  <si>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</si>
  <si>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</si>
  <si>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</si>
  <si>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</si>
  <si>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</si>
  <si>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</si>
  <si>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</si>
  <si>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</si>
  <si>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</si>
  <si>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</si>
  <si>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</si>
  <si>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</si>
  <si>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</si>
  <si>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</si>
  <si>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</si>
  <si>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</si>
  <si>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</si>
  <si>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</si>
  <si>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</si>
  <si>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</si>
  <si>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</si>
  <si>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</si>
  <si>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</si>
  <si>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</si>
  <si>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</si>
  <si>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</si>
  <si>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</si>
  <si>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</si>
  <si>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</si>
  <si>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</si>
  <si>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</si>
  <si>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</si>
  <si>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</si>
  <si>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</si>
  <si>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</si>
  <si>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</si>
  <si>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</si>
  <si>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</si>
  <si>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</si>
  <si>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</si>
  <si>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</si>
  <si>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</si>
  <si>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</si>
  <si>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</si>
  <si>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</si>
  <si>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</si>
  <si>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</si>
  <si>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</si>
  <si>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</si>
  <si>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</si>
  <si>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</si>
  <si>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</si>
  <si>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</si>
  <si>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</si>
  <si>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</si>
  <si>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</si>
  <si>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</si>
  <si>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</si>
  <si>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</si>
  <si>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</si>
  <si>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</si>
  <si>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</si>
  <si>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</si>
  <si>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</si>
  <si>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</si>
  <si>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</si>
  <si>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</si>
  <si>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</si>
  <si>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</si>
  <si>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</si>
  <si>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</si>
  <si>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</si>
  <si>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</si>
  <si>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</si>
  <si>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</si>
  <si>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</si>
  <si>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</si>
  <si>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</si>
  <si>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</si>
  <si>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</si>
  <si>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</si>
  <si>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</si>
  <si>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</si>
  <si>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</si>
  <si>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</si>
  <si>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</si>
  <si>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</si>
  <si>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</si>
  <si>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</si>
  <si>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</si>
  <si>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</si>
  <si>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</si>
  <si>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</si>
  <si>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</si>
  <si>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</si>
  <si>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</si>
  <si>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</si>
  <si>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</si>
  <si>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</si>
  <si>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</si>
  <si>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</si>
  <si>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</si>
  <si>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</si>
  <si>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</si>
  <si>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</si>
  <si>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</si>
  <si>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</si>
  <si>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</si>
  <si>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</si>
  <si>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</si>
  <si>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</si>
  <si>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</si>
  <si>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</si>
  <si>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</si>
  <si>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</si>
  <si>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</si>
  <si>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</si>
  <si>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</si>
  <si>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</si>
  <si>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</si>
  <si>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</si>
  <si>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</si>
  <si>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</si>
  <si>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</si>
  <si>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Task 1: Date &amp; Time Functions.</t>
  </si>
  <si>
    <t>Function</t>
  </si>
  <si>
    <t>Result</t>
  </si>
  <si>
    <t>TODAY</t>
  </si>
  <si>
    <t>NOW</t>
  </si>
  <si>
    <t>DATEDIFF</t>
  </si>
  <si>
    <t>EOMONTH</t>
  </si>
  <si>
    <t>Task 2: FILTER Function.</t>
  </si>
  <si>
    <t>Electronics Transactions</t>
  </si>
  <si>
    <t>Task 3: Conditional Formatting with Icons/Arrows.</t>
  </si>
  <si>
    <t>Task 4: Create Timestamp.</t>
  </si>
  <si>
    <t>Current Timestamp</t>
  </si>
  <si>
    <t>Input</t>
  </si>
  <si>
    <t>Value</t>
  </si>
  <si>
    <t>Unit Price</t>
  </si>
  <si>
    <t>Total Sales</t>
  </si>
  <si>
    <t>$B$408</t>
  </si>
  <si>
    <t>$B$409</t>
  </si>
  <si>
    <t>$B$410</t>
  </si>
  <si>
    <t>Low Sales</t>
  </si>
  <si>
    <t>Created by Sneha on 19-09-2026</t>
  </si>
  <si>
    <t>Normal Sales</t>
  </si>
  <si>
    <t>High Sales</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</si>
  <si>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</si>
  <si>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</si>
  <si>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</si>
  <si>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</si>
  <si>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</si>
  <si>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</si>
  <si>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</si>
  <si>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Task 7: Linear Regression using Data Analysis ToolPak</t>
  </si>
  <si>
    <t>Regression Data</t>
  </si>
  <si>
    <t>Total Amount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</si>
  <si>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</si>
  <si>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</si>
  <si>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</si>
  <si>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</si>
  <si>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</si>
  <si>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</si>
  <si>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</si>
  <si>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</si>
  <si>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</si>
  <si>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</si>
  <si>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</si>
  <si>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</si>
  <si>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</si>
  <si>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</si>
  <si>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</si>
  <si>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</si>
  <si>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</si>
  <si>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</si>
  <si>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</si>
  <si>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</si>
  <si>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</si>
  <si>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</si>
  <si>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</si>
  <si>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</si>
  <si>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Task 5 &amp; 6: WHAT-IF Analysis – Scenario Manager &amp; Goal Seek</t>
  </si>
  <si>
    <t>Task 8: Data Analysis &amp; Storytelling</t>
  </si>
  <si>
    <t>Key Insight</t>
  </si>
  <si>
    <t>Total Revenue</t>
  </si>
  <si>
    <t>Total Transactions</t>
  </si>
  <si>
    <t>Total Quality Sold</t>
  </si>
  <si>
    <t>Average Transaction value</t>
  </si>
  <si>
    <t>Average Quantity Per Transaction</t>
  </si>
  <si>
    <t>Task 8.1: Top customer</t>
  </si>
  <si>
    <t>Top customer</t>
  </si>
  <si>
    <t>Customer</t>
  </si>
  <si>
    <t>Task 8.2: Most Sold Product</t>
  </si>
  <si>
    <t>Most sold Product</t>
  </si>
  <si>
    <t>Product</t>
  </si>
  <si>
    <t>Task 8.3: Regional Sales</t>
  </si>
  <si>
    <t>Task 8.4: High-Value Customers</t>
  </si>
  <si>
    <t>Total Purchase</t>
  </si>
  <si>
    <t>Customer Type</t>
  </si>
  <si>
    <t>Task 9: Most Frequently Purchased Product</t>
  </si>
  <si>
    <t>Purchase Frequency</t>
  </si>
  <si>
    <t>Status</t>
  </si>
  <si>
    <t>Task 10: Compare Two Lists</t>
  </si>
  <si>
    <t>Customer Name</t>
  </si>
  <si>
    <t>Reference Name</t>
  </si>
  <si>
    <t>Matching Name</t>
  </si>
  <si>
    <t>Task 11: Create Abbreviations using TEXT Functions</t>
  </si>
  <si>
    <t>First Name</t>
  </si>
  <si>
    <t>Abbreviation</t>
  </si>
  <si>
    <t>Task 12.1: Total Revenue by Region</t>
  </si>
  <si>
    <t>Row Labels</t>
  </si>
  <si>
    <t>Grand Total</t>
  </si>
  <si>
    <t>Sum of Total_Amount</t>
  </si>
  <si>
    <t>Task 12.2: Total Revenue and Quantity by Category</t>
  </si>
  <si>
    <t>Sum of Quantity</t>
  </si>
  <si>
    <t>Task 12.3: Revenue by Customer Segment and Payment Method</t>
  </si>
  <si>
    <t>Column Labels</t>
  </si>
  <si>
    <t>Task 12.4: Product Sales and Quantity Analysis</t>
  </si>
  <si>
    <t>Data Intelligence</t>
  </si>
  <si>
    <t>Total Quantity</t>
  </si>
  <si>
    <t>Key Insights &amp; storytelling</t>
  </si>
  <si>
    <t>Insight</t>
  </si>
  <si>
    <t>Total revenue</t>
  </si>
  <si>
    <t>Total Quantity sold</t>
  </si>
  <si>
    <t>Top Customer</t>
  </si>
  <si>
    <t>Most Sold Product</t>
  </si>
  <si>
    <t>Highest Revenue Region</t>
  </si>
  <si>
    <t>High-Value Customer Count</t>
  </si>
  <si>
    <t>Most Frequently Purchased Product</t>
  </si>
  <si>
    <t>Business Summary</t>
  </si>
  <si>
    <t>The dashboard summarizes customer transactions using revenue, quantity, customer, product and regional analysis. It highlights key performance indicators,</t>
  </si>
  <si>
    <t>identifies the top customer and most frequently purchased products, and provides regional and category-level revenue insights for easier business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</si>
</sst>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Aptos Narrow"/>
      <family val="2"/>
      <scheme val="minor"/>
    </font>
    <font>
      <b/>
      <sz val="11"/>
      <color theme="1"/>
      <name val="Calibri"/>
      <family val="2"/>
    </font>
    <font>
      <sz val="11"/>
      <color theme="1"/>
      <name val="Calibri"/>
      <family val="2"/>
    </font>
    <font>
      <b/>
      <sz val="14"/>
      <color theme="1"/>
      <name val="Aptos Narrow"/>
      <family val="2"/>
      <scheme val="minor"/>
    </font>
    <font>
      <b/>
      <sz val="11"/>
      <color rgb="FFFF0000"/>
      <name val="Aptos Narrow"/>
      <family val="2"/>
      <scheme val="minor"/>
    </font>
    <font>
      <b/>
      <sz val="12"/>
      <color rgb="FFFF0000"/>
      <name val="Aptos Narrow"/>
      <family val="2"/>
      <scheme val="minor"/>
    </font>
    <font>
      <b/>
      <sz val="14"/>
      <color rgb="FFFF0000"/>
      <name val="Aptos Narrow"/>
      <family val="2"/>
      <scheme val="minor"/>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
      <i/>
      <sz val="11"/>
      <color theme="1"/>
      <name val="Aptos Narrow"/>
      <family val="2"/>
      <scheme val="minor"/>
    </font>
    <font>
      <b/>
      <sz val="11"/>
      <color theme="1"/>
      <name val="Aptos Narrow"/>
      <family val="2"/>
      <scheme val="minor"/>
    </font>
    <font>
      <sz val="14"/>
      <color theme="1"/>
      <name val="Aptos Narrow"/>
      <family val="2"/>
      <scheme val="minor"/>
    </font>
    <font>
      <b/>
      <sz val="48"/>
      <color theme="1"/>
      <name val="Aptos Narrow"/>
      <family val="2"/>
      <scheme val="minor"/>
    </font>
    <font>
      <b/>
      <sz val="16"/>
      <color theme="1"/>
      <name val="Aptos Narrow"/>
      <family val="2"/>
      <scheme val="minor"/>
    </font>
  </fonts>
  <fills count="9">
    <fill>
      <patternFill patternType="none"/>
    </fill>
    <fill>
      <patternFill patternType="gray125"/>
    </fill>
    <fill>
      <patternFill patternType="solid">
        <fgColor theme="5"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3" tint="0.499984740745262"/>
        <bgColor indexed="64"/>
      </patternFill>
    </fill>
    <fill>
      <patternFill patternType="solid">
        <fgColor rgb="FFFF7C80"/>
        <bgColor indexed="64"/>
      </patternFill>
    </fill>
    <fill>
      <patternFill patternType="solid">
        <fgColor rgb="FFCCCCFF"/>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diagonal/>
    </border>
  </borders>
  <cellStyleXfs count="1">
    <xf numFmtId="0" fontId="0" fillId="0" borderId="0"/>
  </cellStyleXfs>
  <cellXfs count="101">
    <xf numFmtId="0" fontId="0" fillId="0" borderId="0" xfId="0"/>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2" fillId="0" borderId="5" xfId="0" applyFont="1" applyBorder="1" applyAlignment="1">
      <alignment horizontal="center" wrapText="1"/>
    </xf>
    <xf numFmtId="14" fontId="2" fillId="0" borderId="1" xfId="0" applyNumberFormat="1" applyFont="1" applyBorder="1" applyAlignment="1">
      <alignment horizontal="center" wrapText="1"/>
    </xf>
    <xf numFmtId="0" fontId="2" fillId="0" borderId="1" xfId="0" applyFont="1" applyBorder="1" applyAlignment="1">
      <alignment horizontal="center" wrapText="1"/>
    </xf>
    <xf numFmtId="0" fontId="2" fillId="0" borderId="6" xfId="0" applyFont="1" applyBorder="1" applyAlignment="1">
      <alignment horizontal="center" wrapText="1"/>
    </xf>
    <xf numFmtId="0" fontId="2" fillId="0" borderId="7" xfId="0" applyFont="1" applyBorder="1" applyAlignment="1">
      <alignment horizontal="center" wrapText="1"/>
    </xf>
    <xf numFmtId="14" fontId="2" fillId="0" borderId="8" xfId="0" applyNumberFormat="1" applyFont="1" applyBorder="1" applyAlignment="1">
      <alignment horizontal="center" wrapText="1"/>
    </xf>
    <xf numFmtId="0" fontId="2" fillId="0" borderId="8" xfId="0" applyFont="1" applyBorder="1" applyAlignment="1">
      <alignment horizontal="center" wrapText="1"/>
    </xf>
    <xf numFmtId="0" fontId="2" fillId="0" borderId="9" xfId="0" applyFont="1" applyBorder="1" applyAlignment="1">
      <alignment horizontal="center" wrapText="1"/>
    </xf>
    <xf numFmtId="0" fontId="0" fillId="0" borderId="1" xfId="0" applyBorder="1" applyAlignment="1">
      <alignment horizontal="center"/>
    </xf>
    <xf numFmtId="0" fontId="0" fillId="0" borderId="13" xfId="0" applyBorder="1" applyAlignment="1">
      <alignment horizontal="center"/>
    </xf>
    <xf numFmtId="14" fontId="0" fillId="0" borderId="14" xfId="0" applyNumberFormat="1" applyBorder="1" applyAlignment="1">
      <alignment horizontal="center"/>
    </xf>
    <xf numFmtId="22" fontId="0" fillId="0" borderId="14" xfId="0" applyNumberFormat="1"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3" fillId="0" borderId="0" xfId="0" applyFont="1"/>
    <xf numFmtId="0" fontId="5" fillId="2" borderId="11" xfId="0" applyFont="1" applyFill="1" applyBorder="1" applyAlignment="1">
      <alignment horizontal="center"/>
    </xf>
    <xf numFmtId="0" fontId="5" fillId="2" borderId="12" xfId="0" applyFont="1" applyFill="1"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3" xfId="0" applyBorder="1" applyAlignment="1">
      <alignment horizontal="center"/>
    </xf>
    <xf numFmtId="0" fontId="0" fillId="0" borderId="19" xfId="0" applyBorder="1" applyAlignment="1">
      <alignment horizontal="center"/>
    </xf>
    <xf numFmtId="0" fontId="4" fillId="2" borderId="20" xfId="0" applyFont="1" applyFill="1" applyBorder="1" applyAlignment="1">
      <alignment horizontal="center"/>
    </xf>
    <xf numFmtId="0" fontId="4" fillId="2" borderId="21" xfId="0" applyFont="1" applyFill="1" applyBorder="1" applyAlignment="1">
      <alignment horizontal="center"/>
    </xf>
    <xf numFmtId="0" fontId="4" fillId="2" borderId="22" xfId="0" applyFont="1" applyFill="1" applyBorder="1" applyAlignment="1">
      <alignment horizontal="center"/>
    </xf>
    <xf numFmtId="22" fontId="0" fillId="0" borderId="23" xfId="0" applyNumberFormat="1" applyBorder="1" applyAlignment="1">
      <alignment horizontal="center"/>
    </xf>
    <xf numFmtId="0" fontId="4" fillId="2" borderId="10" xfId="0" applyFont="1" applyFill="1" applyBorder="1" applyAlignment="1">
      <alignment horizontal="center"/>
    </xf>
    <xf numFmtId="0" fontId="8" fillId="4" borderId="0" xfId="0" applyFont="1" applyFill="1" applyAlignment="1">
      <alignment horizontal="left"/>
    </xf>
    <xf numFmtId="0" fontId="0" fillId="0" borderId="0" xfId="0" applyAlignment="1">
      <alignment horizontal="left"/>
    </xf>
    <xf numFmtId="0" fontId="11" fillId="0" borderId="0" xfId="0" applyFont="1" applyAlignment="1">
      <alignment horizontal="left" vertical="top" wrapText="1"/>
    </xf>
    <xf numFmtId="0" fontId="0" fillId="5" borderId="0" xfId="0" applyFill="1" applyAlignment="1">
      <alignment horizontal="left"/>
    </xf>
    <xf numFmtId="0" fontId="7" fillId="3" borderId="0" xfId="0" applyFont="1" applyFill="1" applyAlignment="1">
      <alignment horizontal="left"/>
    </xf>
    <xf numFmtId="0" fontId="10" fillId="3" borderId="0" xfId="0" applyFont="1" applyFill="1" applyAlignment="1">
      <alignment horizontal="left"/>
    </xf>
    <xf numFmtId="0" fontId="9" fillId="4" borderId="0" xfId="0" applyFont="1" applyFill="1" applyAlignment="1">
      <alignment horizontal="left"/>
    </xf>
    <xf numFmtId="0" fontId="6" fillId="2" borderId="20" xfId="0" applyFont="1" applyFill="1" applyBorder="1" applyAlignment="1">
      <alignment horizontal="center"/>
    </xf>
    <xf numFmtId="0" fontId="6" fillId="2" borderId="21" xfId="0" applyFont="1" applyFill="1" applyBorder="1" applyAlignment="1">
      <alignment horizontal="center"/>
    </xf>
    <xf numFmtId="0" fontId="6" fillId="2" borderId="22" xfId="0" applyFont="1" applyFill="1" applyBorder="1" applyAlignment="1">
      <alignment horizontal="center"/>
    </xf>
    <xf numFmtId="0" fontId="0" fillId="0" borderId="10" xfId="0" applyBorder="1"/>
    <xf numFmtId="0" fontId="0" fillId="0" borderId="0" xfId="0" applyAlignment="1">
      <alignment horizontal="center"/>
    </xf>
    <xf numFmtId="0" fontId="3" fillId="0" borderId="0" xfId="0" applyFont="1" applyAlignment="1"/>
    <xf numFmtId="0" fontId="0" fillId="0" borderId="25" xfId="0" applyBorder="1" applyAlignment="1">
      <alignment horizontal="left"/>
    </xf>
    <xf numFmtId="0" fontId="0" fillId="0" borderId="27" xfId="0" applyBorder="1" applyAlignment="1">
      <alignment horizontal="left"/>
    </xf>
    <xf numFmtId="0" fontId="0" fillId="0" borderId="23" xfId="0" applyBorder="1" applyAlignment="1">
      <alignment horizontal="left"/>
    </xf>
    <xf numFmtId="0" fontId="12" fillId="0" borderId="20" xfId="0" applyFont="1" applyBorder="1" applyAlignment="1">
      <alignment horizontal="center"/>
    </xf>
    <xf numFmtId="0" fontId="12" fillId="0" borderId="21" xfId="0" applyFont="1" applyBorder="1" applyAlignment="1">
      <alignment horizontal="center"/>
    </xf>
    <xf numFmtId="0" fontId="12" fillId="0" borderId="22" xfId="0" applyFont="1" applyBorder="1" applyAlignment="1">
      <alignment horizontal="center"/>
    </xf>
    <xf numFmtId="0" fontId="12" fillId="0" borderId="28" xfId="0" applyFont="1" applyBorder="1" applyAlignment="1">
      <alignment horizontal="center"/>
    </xf>
    <xf numFmtId="0" fontId="12" fillId="0" borderId="26" xfId="0" applyFont="1"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12" fillId="0" borderId="25" xfId="0" applyFont="1" applyBorder="1" applyAlignment="1">
      <alignment horizontal="left"/>
    </xf>
    <xf numFmtId="0" fontId="12" fillId="0" borderId="23" xfId="0" applyFont="1" applyBorder="1" applyAlignment="1">
      <alignment horizontal="left"/>
    </xf>
    <xf numFmtId="0" fontId="3" fillId="0" borderId="25" xfId="0" applyFont="1" applyBorder="1" applyAlignment="1">
      <alignment horizontal="center"/>
    </xf>
    <xf numFmtId="0" fontId="3" fillId="0" borderId="23" xfId="0" applyFont="1" applyBorder="1" applyAlignment="1">
      <alignment horizontal="center"/>
    </xf>
    <xf numFmtId="0" fontId="3" fillId="0" borderId="27" xfId="0" applyFont="1" applyBorder="1" applyAlignment="1">
      <alignment horizontal="center"/>
    </xf>
    <xf numFmtId="0" fontId="3" fillId="0" borderId="10" xfId="0" applyFont="1" applyBorder="1" applyAlignment="1">
      <alignment horizontal="center"/>
    </xf>
    <xf numFmtId="0" fontId="4" fillId="2" borderId="36" xfId="0" applyFont="1" applyFill="1" applyBorder="1" applyAlignment="1">
      <alignment horizontal="center"/>
    </xf>
    <xf numFmtId="0" fontId="4" fillId="2" borderId="37" xfId="0" applyFont="1" applyFill="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14" fillId="0" borderId="10" xfId="0" applyFont="1" applyBorder="1" applyAlignment="1">
      <alignment horizontal="center"/>
    </xf>
    <xf numFmtId="0" fontId="0" fillId="0" borderId="0" xfId="0" applyBorder="1" applyAlignment="1">
      <alignment horizontal="center"/>
    </xf>
    <xf numFmtId="0" fontId="13" fillId="0" borderId="25" xfId="0" applyFont="1" applyBorder="1" applyAlignment="1">
      <alignment horizontal="center"/>
    </xf>
    <xf numFmtId="0" fontId="13" fillId="0" borderId="27" xfId="0" applyFont="1" applyBorder="1" applyAlignment="1">
      <alignment horizontal="center"/>
    </xf>
    <xf numFmtId="0" fontId="13" fillId="0" borderId="23" xfId="0" applyFont="1" applyBorder="1" applyAlignment="1">
      <alignment horizontal="center"/>
    </xf>
    <xf numFmtId="0" fontId="0" fillId="0" borderId="0" xfId="0" pivotButton="1"/>
    <xf numFmtId="0" fontId="0" fillId="0" borderId="0" xfId="0" applyNumberFormat="1"/>
    <xf numFmtId="0" fontId="0" fillId="6" borderId="0" xfId="0" applyFill="1"/>
    <xf numFmtId="0" fontId="0" fillId="0" borderId="0" xfId="0" applyFill="1"/>
    <xf numFmtId="0" fontId="0" fillId="0" borderId="0" xfId="0" applyNumberFormat="1" applyFill="1"/>
    <xf numFmtId="0" fontId="15" fillId="7" borderId="25" xfId="0" applyFont="1" applyFill="1" applyBorder="1" applyAlignment="1">
      <alignment horizontal="center"/>
    </xf>
    <xf numFmtId="0" fontId="15" fillId="7" borderId="27" xfId="0" applyFont="1" applyFill="1" applyBorder="1" applyAlignment="1">
      <alignment horizontal="center"/>
    </xf>
    <xf numFmtId="0" fontId="15" fillId="7" borderId="23" xfId="0" applyFont="1" applyFill="1" applyBorder="1" applyAlignment="1">
      <alignment horizontal="center"/>
    </xf>
    <xf numFmtId="0" fontId="14" fillId="0" borderId="39" xfId="0" applyFont="1" applyBorder="1" applyAlignment="1">
      <alignment horizontal="center"/>
    </xf>
    <xf numFmtId="0" fontId="14" fillId="0" borderId="33" xfId="0" applyFont="1" applyBorder="1" applyAlignment="1">
      <alignment horizontal="center"/>
    </xf>
    <xf numFmtId="0" fontId="14" fillId="0" borderId="33" xfId="0" applyFont="1" applyFill="1" applyBorder="1" applyAlignment="1">
      <alignment horizontal="center"/>
    </xf>
    <xf numFmtId="0" fontId="0" fillId="8" borderId="0" xfId="0" applyFill="1" applyAlignment="1">
      <alignment horizontal="center"/>
    </xf>
    <xf numFmtId="0" fontId="0" fillId="8" borderId="0" xfId="0" applyFill="1"/>
    <xf numFmtId="0" fontId="3" fillId="8" borderId="25" xfId="0" applyFont="1" applyFill="1" applyBorder="1" applyAlignment="1">
      <alignment horizontal="center"/>
    </xf>
    <xf numFmtId="0" fontId="3" fillId="8" borderId="23" xfId="0" applyFont="1" applyFill="1" applyBorder="1" applyAlignment="1">
      <alignment horizontal="center"/>
    </xf>
    <xf numFmtId="0" fontId="16" fillId="8" borderId="10" xfId="0" applyFont="1" applyFill="1" applyBorder="1" applyAlignment="1"/>
    <xf numFmtId="0" fontId="14" fillId="8" borderId="36" xfId="0" applyFont="1" applyFill="1" applyBorder="1" applyAlignment="1">
      <alignment horizontal="center"/>
    </xf>
    <xf numFmtId="0" fontId="14" fillId="8" borderId="40" xfId="0" applyFont="1" applyFill="1" applyBorder="1" applyAlignment="1">
      <alignment horizontal="center"/>
    </xf>
    <xf numFmtId="0" fontId="14" fillId="8" borderId="37" xfId="0" applyFont="1" applyFill="1" applyBorder="1" applyAlignment="1">
      <alignment horizontal="center"/>
    </xf>
    <xf numFmtId="0" fontId="14" fillId="8" borderId="31" xfId="0" applyFont="1" applyFill="1" applyBorder="1" applyAlignment="1">
      <alignment horizontal="center"/>
    </xf>
    <xf numFmtId="0" fontId="14" fillId="8" borderId="24" xfId="0" applyFont="1" applyFill="1" applyBorder="1" applyAlignment="1">
      <alignment horizontal="center"/>
    </xf>
    <xf numFmtId="0" fontId="14" fillId="8" borderId="32" xfId="0" applyFont="1" applyFill="1" applyBorder="1" applyAlignment="1">
      <alignment horizontal="center"/>
    </xf>
    <xf numFmtId="0" fontId="0" fillId="8" borderId="12" xfId="0" applyFill="1" applyBorder="1" applyAlignment="1">
      <alignment horizontal="center"/>
    </xf>
    <xf numFmtId="0" fontId="0" fillId="8" borderId="14" xfId="0" applyFill="1" applyBorder="1" applyAlignment="1">
      <alignment horizontal="center"/>
    </xf>
    <xf numFmtId="0" fontId="0" fillId="8" borderId="16" xfId="0" applyFill="1" applyBorder="1" applyAlignment="1">
      <alignment horizontal="center"/>
    </xf>
    <xf numFmtId="0" fontId="0" fillId="8" borderId="11" xfId="0" applyFill="1" applyBorder="1" applyAlignment="1">
      <alignment horizontal="left"/>
    </xf>
    <xf numFmtId="0" fontId="0" fillId="8" borderId="13" xfId="0" applyFill="1" applyBorder="1" applyAlignment="1">
      <alignment horizontal="left"/>
    </xf>
    <xf numFmtId="0" fontId="0" fillId="8" borderId="15" xfId="0" applyFill="1" applyBorder="1" applyAlignment="1">
      <alignment horizontal="left"/>
    </xf>
    <xf numFmtId="0" fontId="3" fillId="8" borderId="41" xfId="0" applyFont="1" applyFill="1" applyBorder="1" applyAlignment="1">
      <alignment horizontal="left"/>
    </xf>
    <xf numFmtId="0" fontId="3" fillId="8" borderId="38" xfId="0" applyFont="1" applyFill="1" applyBorder="1" applyAlignment="1">
      <alignment horizontal="center"/>
    </xf>
  </cellXfs>
  <cellStyles count="1">
    <cellStyle name="Normal" xfId="0" builtinId="0"/>
  </cellStyles>
  <dxfs count="28">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bgColor theme="0"/>
        </patternFill>
      </fill>
    </dxf>
    <dxf>
      <fill>
        <patternFill patternType="solid">
          <bgColor theme="3" tint="0.499984740745262"/>
        </patternFill>
      </fill>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9" formatCode="dd/mm/yyyy"/>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none"/>
      </font>
      <alignment horizontal="center"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mruColors>
      <color rgb="FFCCCCFF"/>
      <color rgb="FFCC99FF"/>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tables!PivotTable1</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r>
              <a:rPr lang="en-IN" baseline="0"/>
              <a:t> Revenue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Total</c:v>
                </c:pt>
              </c:strCache>
            </c:strRef>
          </c:tx>
          <c:spPr>
            <a:solidFill>
              <a:schemeClr val="accent1"/>
            </a:solidFill>
            <a:ln>
              <a:noFill/>
            </a:ln>
            <a:effectLst/>
          </c:spPr>
          <c:invertIfNegative val="0"/>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41288.340000000018</c:v>
                </c:pt>
                <c:pt idx="1">
                  <c:v>59288.389999999992</c:v>
                </c:pt>
                <c:pt idx="2">
                  <c:v>50808.310000000012</c:v>
                </c:pt>
                <c:pt idx="3">
                  <c:v>36398.750000000007</c:v>
                </c:pt>
                <c:pt idx="4">
                  <c:v>41408.680000000015</c:v>
                </c:pt>
              </c:numCache>
            </c:numRef>
          </c:val>
          <c:extLst>
            <c:ext xmlns:c16="http://schemas.microsoft.com/office/drawing/2014/chart" uri="{C3380CC4-5D6E-409C-BE32-E72D297353CC}">
              <c16:uniqueId val="{00000000-B751-4212-B496-AF6A2825495B}"/>
            </c:ext>
          </c:extLst>
        </c:ser>
        <c:dLbls>
          <c:showLegendKey val="0"/>
          <c:showVal val="0"/>
          <c:showCatName val="0"/>
          <c:showSerName val="0"/>
          <c:showPercent val="0"/>
          <c:showBubbleSize val="0"/>
        </c:dLbls>
        <c:gapWidth val="219"/>
        <c:overlap val="-27"/>
        <c:axId val="109028431"/>
        <c:axId val="2047737199"/>
      </c:barChart>
      <c:catAx>
        <c:axId val="109028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37199"/>
        <c:crosses val="autoZero"/>
        <c:auto val="1"/>
        <c:lblAlgn val="ctr"/>
        <c:lblOffset val="100"/>
        <c:noMultiLvlLbl val="0"/>
      </c:catAx>
      <c:valAx>
        <c:axId val="2047737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28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2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[Final_Project.xlsx]Pivot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Revenue and Quantity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3333411970272092E-2"/>
          <c:y val="0.28645709707504791"/>
          <c:w val="0.76192541557305338"/>
          <c:h val="0.59421733741615634"/>
        </c:manualLayout>
      </c:layout>
      <c:pie3DChart>
        <c:varyColors val="1"/>
        <c:ser>
          <c:idx val="0"/>
          <c:order val="0"/>
          <c:tx>
            <c:strRef>
              <c:f>'Pivot tables'!$B$14</c:f>
              <c:strCache>
                <c:ptCount val="1"/>
                <c:pt idx="0">
                  <c:v>Sum of Total_Amount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60C-45A3-9070-A2260FB866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60C-45A3-9070-A2260FB866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60C-45A3-9070-A2260FB8661C}"/>
              </c:ext>
            </c:extLst>
          </c:dPt>
          <c:cat>
            <c:strRef>
              <c:f>'Pivot tables'!$A$15:$A$18</c:f>
              <c:strCache>
                <c:ptCount val="3"/>
                <c:pt idx="0">
                  <c:v>Appliances</c:v>
                </c:pt>
                <c:pt idx="1">
                  <c:v>Electronics</c:v>
                </c:pt>
                <c:pt idx="2">
                  <c:v>Furniture</c:v>
                </c:pt>
              </c:strCache>
            </c:strRef>
          </c:cat>
          <c:val>
            <c:numRef>
              <c:f>'Pivot tables'!$B$15:$B$18</c:f>
              <c:numCache>
                <c:formatCode>General</c:formatCode>
                <c:ptCount val="3"/>
                <c:pt idx="0">
                  <c:v>8338.7399999999961</c:v>
                </c:pt>
                <c:pt idx="1">
                  <c:v>171756.05000000013</c:v>
                </c:pt>
                <c:pt idx="2">
                  <c:v>49097.680000000015</c:v>
                </c:pt>
              </c:numCache>
            </c:numRef>
          </c:val>
          <c:extLst>
            <c:ext xmlns:c16="http://schemas.microsoft.com/office/drawing/2014/chart" uri="{C3380CC4-5D6E-409C-BE32-E72D297353CC}">
              <c16:uniqueId val="{00000006-C60C-45A3-9070-A2260FB8661C}"/>
            </c:ext>
          </c:extLst>
        </c:ser>
        <c:ser>
          <c:idx val="1"/>
          <c:order val="1"/>
          <c:tx>
            <c:strRef>
              <c:f>'Pivot tables'!$C$14</c:f>
              <c:strCache>
                <c:ptCount val="1"/>
                <c:pt idx="0">
                  <c:v>Sum of Quantity</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C60C-45A3-9070-A2260FB8661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C60C-45A3-9070-A2260FB8661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C60C-45A3-9070-A2260FB8661C}"/>
              </c:ext>
            </c:extLst>
          </c:dPt>
          <c:cat>
            <c:strRef>
              <c:f>'Pivot tables'!$A$15:$A$18</c:f>
              <c:strCache>
                <c:ptCount val="3"/>
                <c:pt idx="0">
                  <c:v>Appliances</c:v>
                </c:pt>
                <c:pt idx="1">
                  <c:v>Electronics</c:v>
                </c:pt>
                <c:pt idx="2">
                  <c:v>Furniture</c:v>
                </c:pt>
              </c:strCache>
            </c:strRef>
          </c:cat>
          <c:val>
            <c:numRef>
              <c:f>'Pivot tables'!$C$15:$C$18</c:f>
              <c:numCache>
                <c:formatCode>General</c:formatCode>
                <c:ptCount val="3"/>
                <c:pt idx="0">
                  <c:v>126</c:v>
                </c:pt>
                <c:pt idx="1">
                  <c:v>395</c:v>
                </c:pt>
                <c:pt idx="2">
                  <c:v>232</c:v>
                </c:pt>
              </c:numCache>
            </c:numRef>
          </c:val>
          <c:extLst>
            <c:ext xmlns:c16="http://schemas.microsoft.com/office/drawing/2014/chart" uri="{C3380CC4-5D6E-409C-BE32-E72D297353CC}">
              <c16:uniqueId val="{0000000D-C60C-45A3-9070-A2260FB8661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[Final_Project.xlsx]Pivot tables!PivotTable1</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a:t>
            </a:r>
            <a:r>
              <a:rPr lang="en-US" baseline="0"/>
              <a:t> Trend by Date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tables'!$A$4:$A$9</c:f>
              <c:strCache>
                <c:ptCount val="5"/>
                <c:pt idx="0">
                  <c:v>Central</c:v>
                </c:pt>
                <c:pt idx="1">
                  <c:v>East</c:v>
                </c:pt>
                <c:pt idx="2">
                  <c:v>North</c:v>
                </c:pt>
                <c:pt idx="3">
                  <c:v>South</c:v>
                </c:pt>
                <c:pt idx="4">
                  <c:v>West</c:v>
                </c:pt>
              </c:strCache>
            </c:strRef>
          </c:cat>
          <c:val>
            <c:numRef>
              <c:f>'Pivot tables'!$B$4:$B$9</c:f>
              <c:numCache>
                <c:formatCode>General</c:formatCode>
                <c:ptCount val="5"/>
                <c:pt idx="0">
                  <c:v>41288.340000000018</c:v>
                </c:pt>
                <c:pt idx="1">
                  <c:v>59288.389999999992</c:v>
                </c:pt>
                <c:pt idx="2">
                  <c:v>50808.310000000012</c:v>
                </c:pt>
                <c:pt idx="3">
                  <c:v>36398.750000000007</c:v>
                </c:pt>
                <c:pt idx="4">
                  <c:v>41408.680000000015</c:v>
                </c:pt>
              </c:numCache>
            </c:numRef>
          </c:val>
          <c:smooth val="0"/>
          <c:extLst>
            <c:ext xmlns:c16="http://schemas.microsoft.com/office/drawing/2014/chart" uri="{C3380CC4-5D6E-409C-BE32-E72D297353CC}">
              <c16:uniqueId val="{00000000-02ED-47A6-A577-9DFEA63AC3C0}"/>
            </c:ext>
          </c:extLst>
        </c:ser>
        <c:dLbls>
          <c:showLegendKey val="0"/>
          <c:showVal val="0"/>
          <c:showCatName val="0"/>
          <c:showSerName val="0"/>
          <c:showPercent val="0"/>
          <c:showBubbleSize val="0"/>
        </c:dLbls>
        <c:marker val="1"/>
        <c:smooth val="0"/>
        <c:axId val="90458559"/>
        <c:axId val="2047789039"/>
      </c:lineChart>
      <c:catAx>
        <c:axId val="904585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789039"/>
        <c:crosses val="autoZero"/>
        <c:auto val="1"/>
        <c:lblAlgn val="ctr"/>
        <c:lblOffset val="100"/>
        <c:noMultiLvlLbl val="0"/>
      </c:catAx>
      <c:valAx>
        <c:axId val="2047789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45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2000">
          <a:schemeClr val="accent1">
            <a:lumMod val="5000"/>
            <a:lumOff val="95000"/>
          </a:schemeClr>
        </a:gs>
        <a:gs pos="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259080</xdr:colOff>
      <xdr:row>2</xdr:row>
      <xdr:rowOff>38101</xdr:rowOff>
    </xdr:from>
    <xdr:to>
      <xdr:col>4</xdr:col>
      <xdr:colOff>457200</xdr:colOff>
      <xdr:row>7</xdr:row>
      <xdr:rowOff>114301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C6378D37-CF10-838B-2790-4D276A3BE4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387967" y="407317"/>
              <a:ext cx="2146326" cy="9796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0</xdr:colOff>
      <xdr:row>2</xdr:row>
      <xdr:rowOff>38100</xdr:rowOff>
    </xdr:from>
    <xdr:to>
      <xdr:col>8</xdr:col>
      <xdr:colOff>441960</xdr:colOff>
      <xdr:row>9</xdr:row>
      <xdr:rowOff>129540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01A064DA-5B40-C7D0-B111-BCCC75C1F28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697691" y="407316"/>
              <a:ext cx="2390166" cy="135620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8</xdr:row>
      <xdr:rowOff>7937</xdr:rowOff>
    </xdr:from>
    <xdr:to>
      <xdr:col>5</xdr:col>
      <xdr:colOff>468313</xdr:colOff>
      <xdr:row>23</xdr:row>
      <xdr:rowOff>7937</xdr:rowOff>
    </xdr:to>
    <xdr:graphicFrame macro="">
      <xdr:nvGraphicFramePr>
        <xdr:cNvPr id="2" name="Chart 1">
          <a:extLst>
            <a:ext uri="{FF2B5EF4-FFF2-40B4-BE49-F238E27FC236}">
              <a16:creationId xmlns:a16="http://schemas.microsoft.com/office/drawing/2014/main" id="{C0DADF70-7E42-4731-AA81-482229278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572452</xdr:colOff>
      <xdr:row>8</xdr:row>
      <xdr:rowOff>952</xdr:rowOff>
    </xdr:from>
    <xdr:to>
      <xdr:col>11</xdr:col>
      <xdr:colOff>182245</xdr:colOff>
      <xdr:row>23</xdr:row>
      <xdr:rowOff>953</xdr:rowOff>
    </xdr:to>
    <xdr:graphicFrame macro="">
      <xdr:nvGraphicFramePr>
        <xdr:cNvPr id="3" name="Chart 2">
          <a:extLst>
            <a:ext uri="{FF2B5EF4-FFF2-40B4-BE49-F238E27FC236}">
              <a16:creationId xmlns:a16="http://schemas.microsoft.com/office/drawing/2014/main" id="{7ED35208-4623-4F30-A6DF-3E7790712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304483</xdr:colOff>
      <xdr:row>7</xdr:row>
      <xdr:rowOff>167640</xdr:rowOff>
    </xdr:from>
    <xdr:to>
      <xdr:col>18</xdr:col>
      <xdr:colOff>508000</xdr:colOff>
      <xdr:row>22</xdr:row>
      <xdr:rowOff>167640</xdr:rowOff>
    </xdr:to>
    <xdr:graphicFrame macro="">
      <xdr:nvGraphicFramePr>
        <xdr:cNvPr id="4" name="Chart 3">
          <a:extLst>
            <a:ext uri="{FF2B5EF4-FFF2-40B4-BE49-F238E27FC236}">
              <a16:creationId xmlns:a16="http://schemas.microsoft.com/office/drawing/2014/main" id="{86912F35-BEB6-485C-A6EB-747F0B7B8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neha" refreshedDate="46286.482011111111" createdVersion="8" refreshedVersion="8" minRefreshableVersion="3" recordCount="250" xr:uid="{8491846C-7D0B-4B4F-83AC-9FA3C2E50478}">
  <cacheSource type="worksheet">
    <worksheetSource ref="A1:N251" sheet="DataSet"/>
  </cacheSource>
  <cacheFields count="14">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cacheField>
    <cacheField name="Customer_ID" numFmtId="0">
      <sharedItems/>
    </cacheField>
    <cacheField name="Customer_Name" numFmtId="0">
      <sharedItems/>
    </cacheField>
    <cacheField name="Product_ID" numFmtId="0">
      <sharedItems/>
    </cacheField>
    <cacheField name="Product_Name" numFmtId="0">
      <sharedItems count="10">
        <s v="Monitor"/>
        <s v="Blender"/>
        <s v="Bookshelf"/>
        <s v="Headphones"/>
        <s v="Laptop"/>
        <s v="Smartphone"/>
        <s v="Desk"/>
        <s v="Coffee Maker"/>
        <s v="Keyboard"/>
        <s v="Office Chair"/>
      </sharedItems>
    </cacheField>
    <cacheField name="Category" numFmtId="0">
      <sharedItems count="3">
        <s v="Electronics"/>
        <s v="Appliances"/>
        <s v="Furniture"/>
      </sharedItems>
    </cacheField>
    <cacheField name="Quantity" numFmtId="0">
      <sharedItems containsSemiMixedTypes="0" containsString="0" containsNumber="1" containsInteger="1" minValue="1" maxValue="5"/>
    </cacheField>
    <cacheField name="Unit_Price" numFmtId="0">
      <sharedItems containsSemiMixedTypes="0" containsString="0" containsNumber="1" minValue="59.99" maxValue="899.99"/>
    </cacheField>
    <cacheField name="Payment_Method" numFmtId="0">
      <sharedItems count="4">
        <s v="Cash"/>
        <s v="Credit Card"/>
        <s v="PayPal"/>
        <s v="Debit Card"/>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Total_Amount" numFmtId="0">
      <sharedItems containsSemiMixedTypes="0" containsString="0" containsNumber="1" minValue="59.99" maxValue="4499.95"/>
    </cacheField>
  </cacheFields>
  <extLst>
    <ext xmlns:x14="http://schemas.microsoft.com/office/spreadsheetml/2009/9/main" uri="{725AE2AE-9491-48be-B2B4-4EB974FC3084}">
      <x14:pivotCacheDefinition pivotCacheId="1537544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x v="0"/>
    <x v="0"/>
    <n v="3"/>
    <n v="249.99"/>
    <x v="0"/>
    <x v="0"/>
    <x v="0"/>
    <d v="2021-08-17T00:00:00"/>
    <n v="749.97"/>
  </r>
  <r>
    <s v="TRX0023"/>
    <x v="1"/>
    <s v="CUST013"/>
    <s v="Joseph Jackson"/>
    <s v="P009"/>
    <x v="0"/>
    <x v="0"/>
    <n v="3"/>
    <n v="249.99"/>
    <x v="1"/>
    <x v="0"/>
    <x v="1"/>
    <d v="2022-01-14T00:00:00"/>
    <n v="749.97"/>
  </r>
  <r>
    <s v="TRX0139"/>
    <x v="2"/>
    <s v="CUST021"/>
    <s v="Kevin Scott"/>
    <s v="P005"/>
    <x v="1"/>
    <x v="1"/>
    <n v="3"/>
    <n v="59.99"/>
    <x v="2"/>
    <x v="1"/>
    <x v="2"/>
    <d v="2023-12-02T00:00:00"/>
    <n v="179.97"/>
  </r>
  <r>
    <s v="TRX0043"/>
    <x v="3"/>
    <s v="CUST046"/>
    <s v="Kathleen Bennett"/>
    <s v="P005"/>
    <x v="1"/>
    <x v="1"/>
    <n v="3"/>
    <n v="59.99"/>
    <x v="0"/>
    <x v="2"/>
    <x v="1"/>
    <d v="2023-07-07T00:00:00"/>
    <n v="179.97"/>
  </r>
  <r>
    <s v="TRX0212"/>
    <x v="3"/>
    <s v="CUST003"/>
    <s v="Michael Brown"/>
    <s v="P008"/>
    <x v="2"/>
    <x v="2"/>
    <n v="5"/>
    <n v="149.99"/>
    <x v="1"/>
    <x v="2"/>
    <x v="1"/>
    <d v="2024-01-04T00:00:00"/>
    <n v="749.95"/>
  </r>
  <r>
    <s v="TRX0092"/>
    <x v="4"/>
    <s v="CUST024"/>
    <s v="Dorothy Nelson"/>
    <s v="P005"/>
    <x v="1"/>
    <x v="1"/>
    <n v="2"/>
    <n v="59.99"/>
    <x v="0"/>
    <x v="3"/>
    <x v="2"/>
    <d v="2022-07-04T00:00:00"/>
    <n v="119.98"/>
  </r>
  <r>
    <s v="TRX0193"/>
    <x v="4"/>
    <s v="CUST024"/>
    <s v="Dorothy Nelson"/>
    <s v="P003"/>
    <x v="3"/>
    <x v="0"/>
    <n v="5"/>
    <n v="149.99"/>
    <x v="1"/>
    <x v="0"/>
    <x v="2"/>
    <d v="2021-08-10T00:00:00"/>
    <n v="749.95"/>
  </r>
  <r>
    <s v="TRX0240"/>
    <x v="4"/>
    <s v="CUST017"/>
    <s v="Charles Allen"/>
    <s v="P005"/>
    <x v="1"/>
    <x v="1"/>
    <n v="3"/>
    <n v="59.99"/>
    <x v="3"/>
    <x v="1"/>
    <x v="0"/>
    <d v="2023-03-22T00:00:00"/>
    <n v="179.97"/>
  </r>
  <r>
    <s v="TRX0135"/>
    <x v="5"/>
    <s v="CUST009"/>
    <s v="Robert Thomas"/>
    <s v="P001"/>
    <x v="4"/>
    <x v="0"/>
    <n v="3"/>
    <n v="899.99"/>
    <x v="2"/>
    <x v="4"/>
    <x v="2"/>
    <d v="2024-01-08T00:00:00"/>
    <n v="2699.97"/>
  </r>
  <r>
    <s v="TRX0185"/>
    <x v="6"/>
    <s v="CUST026"/>
    <s v="Karen Hill"/>
    <s v="P005"/>
    <x v="1"/>
    <x v="1"/>
    <n v="3"/>
    <n v="59.99"/>
    <x v="0"/>
    <x v="3"/>
    <x v="1"/>
    <d v="2023-10-08T00:00:00"/>
    <n v="179.97"/>
  </r>
  <r>
    <s v="TRX0138"/>
    <x v="6"/>
    <s v="CUST022"/>
    <s v="Susan Green"/>
    <s v="P008"/>
    <x v="2"/>
    <x v="2"/>
    <n v="1"/>
    <n v="149.99"/>
    <x v="1"/>
    <x v="3"/>
    <x v="2"/>
    <d v="2023-06-26T00:00:00"/>
    <n v="149.99"/>
  </r>
  <r>
    <s v="TRX0209"/>
    <x v="6"/>
    <s v="CUST046"/>
    <s v="Kathleen Bennett"/>
    <s v="P008"/>
    <x v="2"/>
    <x v="2"/>
    <n v="5"/>
    <n v="149.99"/>
    <x v="3"/>
    <x v="2"/>
    <x v="0"/>
    <d v="2022-09-26T00:00:00"/>
    <n v="749.95"/>
  </r>
  <r>
    <s v="TRX0246"/>
    <x v="6"/>
    <s v="CUST041"/>
    <s v="Peter Richardson"/>
    <s v="P008"/>
    <x v="2"/>
    <x v="2"/>
    <n v="3"/>
    <n v="149.99"/>
    <x v="0"/>
    <x v="2"/>
    <x v="1"/>
    <d v="2022-09-02T00:00:00"/>
    <n v="449.97"/>
  </r>
  <r>
    <s v="TRX0067"/>
    <x v="7"/>
    <s v="CUST043"/>
    <s v="Dennis Gray"/>
    <s v="P005"/>
    <x v="1"/>
    <x v="1"/>
    <n v="3"/>
    <n v="59.99"/>
    <x v="1"/>
    <x v="2"/>
    <x v="2"/>
    <d v="2024-02-29T00:00:00"/>
    <n v="179.97"/>
  </r>
  <r>
    <s v="TRX0191"/>
    <x v="7"/>
    <s v="CUST038"/>
    <s v="Michelle Rogers"/>
    <s v="P002"/>
    <x v="5"/>
    <x v="0"/>
    <n v="3"/>
    <n v="699.99"/>
    <x v="1"/>
    <x v="3"/>
    <x v="0"/>
    <d v="2022-01-16T00:00:00"/>
    <n v="2099.9699999999998"/>
  </r>
  <r>
    <s v="TRX0230"/>
    <x v="7"/>
    <s v="CUST027"/>
    <s v="George Adams"/>
    <s v="P001"/>
    <x v="4"/>
    <x v="0"/>
    <n v="1"/>
    <n v="899.99"/>
    <x v="3"/>
    <x v="2"/>
    <x v="2"/>
    <d v="2022-12-25T00:00:00"/>
    <n v="899.99"/>
  </r>
  <r>
    <s v="TRX0049"/>
    <x v="8"/>
    <s v="CUST025"/>
    <s v="Mark Carter"/>
    <s v="P008"/>
    <x v="2"/>
    <x v="2"/>
    <n v="4"/>
    <n v="149.99"/>
    <x v="3"/>
    <x v="2"/>
    <x v="1"/>
    <d v="2024-03-23T00:00:00"/>
    <n v="599.96"/>
  </r>
  <r>
    <s v="TRX0134"/>
    <x v="8"/>
    <s v="CUST010"/>
    <s v="Maria Garcia"/>
    <s v="P002"/>
    <x v="5"/>
    <x v="0"/>
    <n v="2"/>
    <n v="699.99"/>
    <x v="0"/>
    <x v="2"/>
    <x v="0"/>
    <d v="2022-08-08T00:00:00"/>
    <n v="1399.98"/>
  </r>
  <r>
    <s v="TRX0122"/>
    <x v="8"/>
    <s v="CUST025"/>
    <s v="Mark Carter"/>
    <s v="P001"/>
    <x v="4"/>
    <x v="0"/>
    <n v="4"/>
    <n v="899.99"/>
    <x v="1"/>
    <x v="3"/>
    <x v="2"/>
    <d v="2024-02-05T00:00:00"/>
    <n v="3599.96"/>
  </r>
  <r>
    <s v="TRX0222"/>
    <x v="8"/>
    <s v="CUST048"/>
    <s v="Virginia Sanders"/>
    <s v="P009"/>
    <x v="0"/>
    <x v="0"/>
    <n v="3"/>
    <n v="249.99"/>
    <x v="1"/>
    <x v="2"/>
    <x v="1"/>
    <d v="2023-10-25T00:00:00"/>
    <n v="749.97"/>
  </r>
  <r>
    <s v="TRX0231"/>
    <x v="9"/>
    <s v="CUST018"/>
    <s v="Barbara Young"/>
    <s v="P002"/>
    <x v="5"/>
    <x v="0"/>
    <n v="5"/>
    <n v="699.99"/>
    <x v="0"/>
    <x v="3"/>
    <x v="0"/>
    <d v="2023-08-29T00:00:00"/>
    <n v="3499.95"/>
  </r>
  <r>
    <s v="TRX0239"/>
    <x v="10"/>
    <s v="CUST012"/>
    <s v="Patricia Moore"/>
    <s v="P002"/>
    <x v="5"/>
    <x v="0"/>
    <n v="4"/>
    <n v="699.99"/>
    <x v="0"/>
    <x v="4"/>
    <x v="2"/>
    <d v="2021-08-01T00:00:00"/>
    <n v="2799.96"/>
  </r>
  <r>
    <s v="TRX0204"/>
    <x v="11"/>
    <s v="CUST044"/>
    <s v="Cynthia Price"/>
    <s v="P009"/>
    <x v="0"/>
    <x v="0"/>
    <n v="4"/>
    <n v="249.99"/>
    <x v="2"/>
    <x v="2"/>
    <x v="2"/>
    <d v="2021-09-29T00:00:00"/>
    <n v="999.96"/>
  </r>
  <r>
    <s v="TRX0242"/>
    <x v="12"/>
    <s v="CUST025"/>
    <s v="Mark Carter"/>
    <s v="P007"/>
    <x v="6"/>
    <x v="2"/>
    <n v="4"/>
    <n v="299.99"/>
    <x v="0"/>
    <x v="3"/>
    <x v="1"/>
    <d v="2022-06-04T00:00:00"/>
    <n v="1199.96"/>
  </r>
  <r>
    <s v="TRX0071"/>
    <x v="13"/>
    <s v="CUST036"/>
    <s v="Nancy Collins"/>
    <s v="P009"/>
    <x v="0"/>
    <x v="0"/>
    <n v="5"/>
    <n v="249.99"/>
    <x v="1"/>
    <x v="3"/>
    <x v="2"/>
    <d v="2021-11-25T00:00:00"/>
    <n v="1249.95"/>
  </r>
  <r>
    <s v="TRX0040"/>
    <x v="14"/>
    <s v="CUST022"/>
    <s v="Susan Green"/>
    <s v="P007"/>
    <x v="6"/>
    <x v="2"/>
    <n v="5"/>
    <n v="299.99"/>
    <x v="2"/>
    <x v="4"/>
    <x v="0"/>
    <d v="2023-08-30T00:00:00"/>
    <n v="1499.95"/>
  </r>
  <r>
    <s v="TRX0235"/>
    <x v="14"/>
    <s v="CUST014"/>
    <s v="Linda Martin"/>
    <s v="P004"/>
    <x v="7"/>
    <x v="1"/>
    <n v="3"/>
    <n v="79.989999999999995"/>
    <x v="2"/>
    <x v="4"/>
    <x v="1"/>
    <d v="2023-03-27T00:00:00"/>
    <n v="239.97"/>
  </r>
  <r>
    <s v="TRX0004"/>
    <x v="14"/>
    <s v="CUST012"/>
    <s v="Patricia Moore"/>
    <s v="P010"/>
    <x v="8"/>
    <x v="0"/>
    <n v="5"/>
    <n v="89.99"/>
    <x v="0"/>
    <x v="2"/>
    <x v="1"/>
    <d v="2022-12-24T00:00:00"/>
    <n v="449.95"/>
  </r>
  <r>
    <s v="TRX0063"/>
    <x v="15"/>
    <s v="CUST030"/>
    <s v="Helen Roberts"/>
    <s v="P005"/>
    <x v="1"/>
    <x v="1"/>
    <n v="2"/>
    <n v="59.99"/>
    <x v="3"/>
    <x v="0"/>
    <x v="2"/>
    <d v="2023-10-15T00:00:00"/>
    <n v="119.98"/>
  </r>
  <r>
    <s v="TRX0241"/>
    <x v="16"/>
    <s v="CUST029"/>
    <s v="Edward Mitchell"/>
    <s v="P005"/>
    <x v="1"/>
    <x v="1"/>
    <n v="4"/>
    <n v="59.99"/>
    <x v="3"/>
    <x v="4"/>
    <x v="2"/>
    <d v="2022-11-02T00:00:00"/>
    <n v="239.96"/>
  </r>
  <r>
    <s v="TRX0029"/>
    <x v="16"/>
    <s v="CUST017"/>
    <s v="Charles Allen"/>
    <s v="P006"/>
    <x v="9"/>
    <x v="2"/>
    <n v="5"/>
    <n v="199.99"/>
    <x v="0"/>
    <x v="1"/>
    <x v="2"/>
    <d v="2021-08-04T00:00:00"/>
    <n v="999.95"/>
  </r>
  <r>
    <s v="TRX0194"/>
    <x v="17"/>
    <s v="CUST006"/>
    <s v="Lisa Anderson"/>
    <s v="P008"/>
    <x v="2"/>
    <x v="2"/>
    <n v="2"/>
    <n v="149.99"/>
    <x v="1"/>
    <x v="3"/>
    <x v="0"/>
    <d v="2022-09-19T00:00:00"/>
    <n v="299.98"/>
  </r>
  <r>
    <s v="TRX0130"/>
    <x v="18"/>
    <s v="CUST002"/>
    <s v="Emma Wilson"/>
    <s v="P008"/>
    <x v="2"/>
    <x v="2"/>
    <n v="3"/>
    <n v="149.99"/>
    <x v="1"/>
    <x v="3"/>
    <x v="1"/>
    <d v="2023-05-22T00:00:00"/>
    <n v="449.97"/>
  </r>
  <r>
    <s v="TRX0041"/>
    <x v="19"/>
    <s v="CUST021"/>
    <s v="Kevin Scott"/>
    <s v="P001"/>
    <x v="4"/>
    <x v="0"/>
    <n v="1"/>
    <n v="899.99"/>
    <x v="1"/>
    <x v="3"/>
    <x v="1"/>
    <d v="2022-01-17T00:00:00"/>
    <n v="899.99"/>
  </r>
  <r>
    <s v="TRX0232"/>
    <x v="20"/>
    <s v="CUST012"/>
    <s v="Patricia Moore"/>
    <s v="P007"/>
    <x v="6"/>
    <x v="2"/>
    <n v="3"/>
    <n v="299.99"/>
    <x v="1"/>
    <x v="4"/>
    <x v="0"/>
    <d v="2022-09-20T00:00:00"/>
    <n v="899.97"/>
  </r>
  <r>
    <s v="TRX0021"/>
    <x v="21"/>
    <s v="CUST006"/>
    <s v="Lisa Anderson"/>
    <s v="P004"/>
    <x v="7"/>
    <x v="1"/>
    <n v="3"/>
    <n v="79.989999999999995"/>
    <x v="0"/>
    <x v="1"/>
    <x v="0"/>
    <d v="2023-04-30T00:00:00"/>
    <n v="239.97"/>
  </r>
  <r>
    <s v="TRX0245"/>
    <x v="22"/>
    <s v="CUST031"/>
    <s v="Steven Turner"/>
    <s v="P006"/>
    <x v="9"/>
    <x v="2"/>
    <n v="3"/>
    <n v="199.99"/>
    <x v="1"/>
    <x v="2"/>
    <x v="1"/>
    <d v="2024-01-01T00:00:00"/>
    <n v="599.97"/>
  </r>
  <r>
    <s v="TRX0015"/>
    <x v="23"/>
    <s v="CUST008"/>
    <s v="Jennifer Taylor"/>
    <s v="P002"/>
    <x v="5"/>
    <x v="0"/>
    <n v="5"/>
    <n v="699.99"/>
    <x v="2"/>
    <x v="3"/>
    <x v="2"/>
    <d v="2021-07-30T00:00:00"/>
    <n v="3499.95"/>
  </r>
  <r>
    <s v="TRX0202"/>
    <x v="24"/>
    <s v="CUST035"/>
    <s v="Harry Morgan"/>
    <s v="P010"/>
    <x v="8"/>
    <x v="0"/>
    <n v="3"/>
    <n v="89.99"/>
    <x v="2"/>
    <x v="0"/>
    <x v="1"/>
    <d v="2023-07-13T00:00:00"/>
    <n v="269.97000000000003"/>
  </r>
  <r>
    <s v="TRX0042"/>
    <x v="25"/>
    <s v="CUST019"/>
    <s v="Daniel King"/>
    <s v="P004"/>
    <x v="7"/>
    <x v="1"/>
    <n v="1"/>
    <n v="79.989999999999995"/>
    <x v="0"/>
    <x v="2"/>
    <x v="2"/>
    <d v="2022-12-22T00:00:00"/>
    <n v="79.989999999999995"/>
  </r>
  <r>
    <s v="TRX0128"/>
    <x v="26"/>
    <s v="CUST040"/>
    <s v="Sharon Butler"/>
    <s v="P005"/>
    <x v="1"/>
    <x v="1"/>
    <n v="2"/>
    <n v="59.99"/>
    <x v="0"/>
    <x v="3"/>
    <x v="0"/>
    <d v="2024-04-08T00:00:00"/>
    <n v="119.98"/>
  </r>
  <r>
    <s v="TRX0117"/>
    <x v="26"/>
    <s v="CUST017"/>
    <s v="Charles Allen"/>
    <s v="P010"/>
    <x v="8"/>
    <x v="0"/>
    <n v="1"/>
    <n v="89.99"/>
    <x v="0"/>
    <x v="2"/>
    <x v="0"/>
    <d v="2023-08-03T00:00:00"/>
    <n v="89.99"/>
  </r>
  <r>
    <s v="TRX0208"/>
    <x v="27"/>
    <s v="CUST004"/>
    <s v="Sarah Davis"/>
    <s v="P010"/>
    <x v="8"/>
    <x v="0"/>
    <n v="5"/>
    <n v="89.99"/>
    <x v="1"/>
    <x v="4"/>
    <x v="2"/>
    <d v="2022-01-26T00:00:00"/>
    <n v="449.95"/>
  </r>
  <r>
    <s v="TRX0234"/>
    <x v="28"/>
    <s v="CUST013"/>
    <s v="Joseph Jackson"/>
    <s v="P009"/>
    <x v="0"/>
    <x v="0"/>
    <n v="5"/>
    <n v="249.99"/>
    <x v="1"/>
    <x v="4"/>
    <x v="2"/>
    <d v="2022-05-26T00:00:00"/>
    <n v="1249.95"/>
  </r>
  <r>
    <s v="TRX0121"/>
    <x v="28"/>
    <s v="CUST028"/>
    <s v="Betty Campbell"/>
    <s v="P010"/>
    <x v="8"/>
    <x v="0"/>
    <n v="1"/>
    <n v="89.99"/>
    <x v="1"/>
    <x v="1"/>
    <x v="2"/>
    <d v="2022-01-21T00:00:00"/>
    <n v="89.99"/>
  </r>
  <r>
    <s v="TRX0220"/>
    <x v="29"/>
    <s v="CUST003"/>
    <s v="Michael Brown"/>
    <s v="P008"/>
    <x v="2"/>
    <x v="2"/>
    <n v="2"/>
    <n v="149.99"/>
    <x v="0"/>
    <x v="4"/>
    <x v="1"/>
    <d v="2022-03-25T00:00:00"/>
    <n v="299.98"/>
  </r>
  <r>
    <s v="TRX0093"/>
    <x v="30"/>
    <s v="CUST050"/>
    <s v="Julie Foster"/>
    <s v="P005"/>
    <x v="1"/>
    <x v="1"/>
    <n v="4"/>
    <n v="59.99"/>
    <x v="0"/>
    <x v="4"/>
    <x v="2"/>
    <d v="2021-08-27T00:00:00"/>
    <n v="239.96"/>
  </r>
  <r>
    <s v="TRX0088"/>
    <x v="31"/>
    <s v="CUST006"/>
    <s v="Lisa Anderson"/>
    <s v="P010"/>
    <x v="8"/>
    <x v="0"/>
    <n v="5"/>
    <n v="89.99"/>
    <x v="0"/>
    <x v="0"/>
    <x v="1"/>
    <d v="2022-01-18T00:00:00"/>
    <n v="449.95"/>
  </r>
  <r>
    <s v="TRX0115"/>
    <x v="32"/>
    <s v="CUST012"/>
    <s v="Patricia Moore"/>
    <s v="P010"/>
    <x v="8"/>
    <x v="0"/>
    <n v="2"/>
    <n v="89.99"/>
    <x v="1"/>
    <x v="1"/>
    <x v="1"/>
    <d v="2021-10-02T00:00:00"/>
    <n v="179.98"/>
  </r>
  <r>
    <s v="TRX0154"/>
    <x v="32"/>
    <s v="CUST023"/>
    <s v="Paul Baker"/>
    <s v="P001"/>
    <x v="4"/>
    <x v="0"/>
    <n v="5"/>
    <n v="899.99"/>
    <x v="1"/>
    <x v="1"/>
    <x v="2"/>
    <d v="2023-02-17T00:00:00"/>
    <n v="4499.95"/>
  </r>
  <r>
    <s v="TRX0044"/>
    <x v="32"/>
    <s v="CUST029"/>
    <s v="Edward Mitchell"/>
    <s v="P001"/>
    <x v="4"/>
    <x v="0"/>
    <n v="5"/>
    <n v="899.99"/>
    <x v="2"/>
    <x v="4"/>
    <x v="1"/>
    <d v="2023-12-18T00:00:00"/>
    <n v="4499.95"/>
  </r>
  <r>
    <s v="TRX0061"/>
    <x v="33"/>
    <s v="CUST028"/>
    <s v="Betty Campbell"/>
    <s v="P005"/>
    <x v="1"/>
    <x v="1"/>
    <n v="1"/>
    <n v="59.99"/>
    <x v="3"/>
    <x v="3"/>
    <x v="1"/>
    <d v="2023-09-21T00:00:00"/>
    <n v="59.99"/>
  </r>
  <r>
    <s v="TRX0150"/>
    <x v="33"/>
    <s v="CUST008"/>
    <s v="Jennifer Taylor"/>
    <s v="P007"/>
    <x v="6"/>
    <x v="2"/>
    <n v="2"/>
    <n v="299.99"/>
    <x v="3"/>
    <x v="4"/>
    <x v="2"/>
    <d v="2023-11-23T00:00:00"/>
    <n v="599.98"/>
  </r>
  <r>
    <s v="TRX0025"/>
    <x v="34"/>
    <s v="CUST049"/>
    <s v="Raymond Ross"/>
    <s v="P010"/>
    <x v="8"/>
    <x v="0"/>
    <n v="4"/>
    <n v="89.99"/>
    <x v="3"/>
    <x v="1"/>
    <x v="0"/>
    <d v="2023-12-21T00:00:00"/>
    <n v="359.96"/>
  </r>
  <r>
    <s v="TRX0078"/>
    <x v="35"/>
    <s v="CUST021"/>
    <s v="Kevin Scott"/>
    <s v="P004"/>
    <x v="7"/>
    <x v="1"/>
    <n v="1"/>
    <n v="79.989999999999995"/>
    <x v="2"/>
    <x v="0"/>
    <x v="1"/>
    <d v="2024-03-01T00:00:00"/>
    <n v="79.989999999999995"/>
  </r>
  <r>
    <s v="TRX0007"/>
    <x v="35"/>
    <s v="CUST009"/>
    <s v="Robert Thomas"/>
    <s v="P010"/>
    <x v="8"/>
    <x v="0"/>
    <n v="2"/>
    <n v="89.99"/>
    <x v="0"/>
    <x v="3"/>
    <x v="0"/>
    <d v="2021-08-30T00:00:00"/>
    <n v="179.98"/>
  </r>
  <r>
    <s v="TRX0184"/>
    <x v="36"/>
    <s v="CUST046"/>
    <s v="Kathleen Bennett"/>
    <s v="P002"/>
    <x v="5"/>
    <x v="0"/>
    <n v="3"/>
    <n v="699.99"/>
    <x v="1"/>
    <x v="4"/>
    <x v="1"/>
    <d v="2023-06-25T00:00:00"/>
    <n v="2099.9699999999998"/>
  </r>
  <r>
    <s v="TRX0104"/>
    <x v="36"/>
    <s v="CUST012"/>
    <s v="Patricia Moore"/>
    <s v="P001"/>
    <x v="4"/>
    <x v="0"/>
    <n v="4"/>
    <n v="899.99"/>
    <x v="1"/>
    <x v="4"/>
    <x v="1"/>
    <d v="2023-03-08T00:00:00"/>
    <n v="3599.96"/>
  </r>
  <r>
    <s v="TRX0127"/>
    <x v="37"/>
    <s v="CUST030"/>
    <s v="Helen Roberts"/>
    <s v="P008"/>
    <x v="2"/>
    <x v="2"/>
    <n v="1"/>
    <n v="149.99"/>
    <x v="2"/>
    <x v="4"/>
    <x v="0"/>
    <d v="2022-10-17T00:00:00"/>
    <n v="149.99"/>
  </r>
  <r>
    <s v="TRX0096"/>
    <x v="38"/>
    <s v="CUST002"/>
    <s v="Emma Wilson"/>
    <s v="P010"/>
    <x v="8"/>
    <x v="0"/>
    <n v="2"/>
    <n v="89.99"/>
    <x v="2"/>
    <x v="0"/>
    <x v="1"/>
    <d v="2023-12-15T00:00:00"/>
    <n v="179.98"/>
  </r>
  <r>
    <s v="TRX0192"/>
    <x v="39"/>
    <s v="CUST017"/>
    <s v="Charles Allen"/>
    <s v="P010"/>
    <x v="8"/>
    <x v="0"/>
    <n v="1"/>
    <n v="89.99"/>
    <x v="2"/>
    <x v="3"/>
    <x v="2"/>
    <d v="2022-08-29T00:00:00"/>
    <n v="89.99"/>
  </r>
  <r>
    <s v="TRX0052"/>
    <x v="40"/>
    <s v="CUST022"/>
    <s v="Susan Green"/>
    <s v="P010"/>
    <x v="8"/>
    <x v="0"/>
    <n v="1"/>
    <n v="89.99"/>
    <x v="0"/>
    <x v="1"/>
    <x v="2"/>
    <d v="2022-02-19T00:00:00"/>
    <n v="89.99"/>
  </r>
  <r>
    <s v="TRX0070"/>
    <x v="40"/>
    <s v="CUST007"/>
    <s v="David Martinez"/>
    <s v="P004"/>
    <x v="7"/>
    <x v="1"/>
    <n v="5"/>
    <n v="79.989999999999995"/>
    <x v="3"/>
    <x v="0"/>
    <x v="0"/>
    <d v="2023-02-24T00:00:00"/>
    <n v="399.95"/>
  </r>
  <r>
    <s v="TRX0086"/>
    <x v="41"/>
    <s v="CUST020"/>
    <s v="Margaret Wright"/>
    <s v="P008"/>
    <x v="2"/>
    <x v="2"/>
    <n v="1"/>
    <n v="149.99"/>
    <x v="2"/>
    <x v="2"/>
    <x v="0"/>
    <d v="2021-08-13T00:00:00"/>
    <n v="149.99"/>
  </r>
  <r>
    <s v="TRX0113"/>
    <x v="41"/>
    <s v="CUST003"/>
    <s v="Michael Brown"/>
    <s v="P002"/>
    <x v="5"/>
    <x v="0"/>
    <n v="2"/>
    <n v="699.99"/>
    <x v="2"/>
    <x v="4"/>
    <x v="1"/>
    <d v="2024-04-07T00:00:00"/>
    <n v="1399.98"/>
  </r>
  <r>
    <s v="TRX0114"/>
    <x v="41"/>
    <s v="CUST018"/>
    <s v="Barbara Young"/>
    <s v="P010"/>
    <x v="8"/>
    <x v="0"/>
    <n v="5"/>
    <n v="89.99"/>
    <x v="3"/>
    <x v="2"/>
    <x v="1"/>
    <d v="2023-08-23T00:00:00"/>
    <n v="449.95"/>
  </r>
  <r>
    <s v="TRX0136"/>
    <x v="42"/>
    <s v="CUST049"/>
    <s v="Raymond Ross"/>
    <s v="P005"/>
    <x v="1"/>
    <x v="1"/>
    <n v="4"/>
    <n v="59.99"/>
    <x v="0"/>
    <x v="1"/>
    <x v="2"/>
    <d v="2021-11-09T00:00:00"/>
    <n v="239.96"/>
  </r>
  <r>
    <s v="TRX0018"/>
    <x v="43"/>
    <s v="CUST013"/>
    <s v="Joseph Jackson"/>
    <s v="P003"/>
    <x v="3"/>
    <x v="0"/>
    <n v="1"/>
    <n v="149.99"/>
    <x v="0"/>
    <x v="0"/>
    <x v="2"/>
    <d v="2022-12-14T00:00:00"/>
    <n v="149.99"/>
  </r>
  <r>
    <s v="TRX0141"/>
    <x v="43"/>
    <s v="CUST033"/>
    <s v="Frank Torres"/>
    <s v="P007"/>
    <x v="6"/>
    <x v="2"/>
    <n v="1"/>
    <n v="299.99"/>
    <x v="1"/>
    <x v="2"/>
    <x v="1"/>
    <d v="2022-11-26T00:00:00"/>
    <n v="299.99"/>
  </r>
  <r>
    <s v="TRX0097"/>
    <x v="44"/>
    <s v="CUST033"/>
    <s v="Frank Torres"/>
    <s v="P006"/>
    <x v="9"/>
    <x v="2"/>
    <n v="2"/>
    <n v="199.99"/>
    <x v="0"/>
    <x v="2"/>
    <x v="0"/>
    <d v="2021-12-11T00:00:00"/>
    <n v="399.98"/>
  </r>
  <r>
    <s v="TRX0169"/>
    <x v="45"/>
    <s v="CUST047"/>
    <s v="Gerald Murphy"/>
    <s v="P005"/>
    <x v="1"/>
    <x v="1"/>
    <n v="3"/>
    <n v="59.99"/>
    <x v="1"/>
    <x v="3"/>
    <x v="0"/>
    <d v="2023-07-23T00:00:00"/>
    <n v="179.97"/>
  </r>
  <r>
    <s v="TRX0216"/>
    <x v="45"/>
    <s v="CUST041"/>
    <s v="Peter Richardson"/>
    <s v="P008"/>
    <x v="2"/>
    <x v="2"/>
    <n v="3"/>
    <n v="149.99"/>
    <x v="0"/>
    <x v="0"/>
    <x v="1"/>
    <d v="2023-09-30T00:00:00"/>
    <n v="449.97"/>
  </r>
  <r>
    <s v="TRX0131"/>
    <x v="46"/>
    <s v="CUST026"/>
    <s v="Karen Hill"/>
    <s v="P006"/>
    <x v="9"/>
    <x v="2"/>
    <n v="3"/>
    <n v="199.99"/>
    <x v="0"/>
    <x v="2"/>
    <x v="1"/>
    <d v="2023-11-24T00:00:00"/>
    <n v="599.97"/>
  </r>
  <r>
    <s v="TRX0162"/>
    <x v="47"/>
    <s v="CUST040"/>
    <s v="Sharon Butler"/>
    <s v="P001"/>
    <x v="4"/>
    <x v="0"/>
    <n v="1"/>
    <n v="899.99"/>
    <x v="0"/>
    <x v="0"/>
    <x v="2"/>
    <d v="2023-09-10T00:00:00"/>
    <n v="899.99"/>
  </r>
  <r>
    <s v="TRX0244"/>
    <x v="48"/>
    <s v="CUST013"/>
    <s v="Joseph Jackson"/>
    <s v="P001"/>
    <x v="4"/>
    <x v="0"/>
    <n v="5"/>
    <n v="899.99"/>
    <x v="3"/>
    <x v="1"/>
    <x v="2"/>
    <d v="2022-12-04T00:00:00"/>
    <n v="4499.95"/>
  </r>
  <r>
    <s v="TRX0006"/>
    <x v="49"/>
    <s v="CUST007"/>
    <s v="David Martinez"/>
    <s v="P005"/>
    <x v="1"/>
    <x v="1"/>
    <n v="2"/>
    <n v="59.99"/>
    <x v="0"/>
    <x v="2"/>
    <x v="2"/>
    <d v="2023-08-14T00:00:00"/>
    <n v="119.98"/>
  </r>
  <r>
    <s v="TRX0215"/>
    <x v="49"/>
    <s v="CUST047"/>
    <s v="Gerald Murphy"/>
    <s v="P009"/>
    <x v="0"/>
    <x v="0"/>
    <n v="4"/>
    <n v="249.99"/>
    <x v="3"/>
    <x v="0"/>
    <x v="2"/>
    <d v="2023-07-20T00:00:00"/>
    <n v="999.96"/>
  </r>
  <r>
    <s v="TRX0080"/>
    <x v="50"/>
    <s v="CUST018"/>
    <s v="Barbara Young"/>
    <s v="P009"/>
    <x v="0"/>
    <x v="0"/>
    <n v="2"/>
    <n v="249.99"/>
    <x v="0"/>
    <x v="2"/>
    <x v="1"/>
    <d v="2023-08-26T00:00:00"/>
    <n v="499.98"/>
  </r>
  <r>
    <s v="TRX0228"/>
    <x v="50"/>
    <s v="CUST019"/>
    <s v="Daniel King"/>
    <s v="P007"/>
    <x v="6"/>
    <x v="2"/>
    <n v="1"/>
    <n v="299.99"/>
    <x v="0"/>
    <x v="1"/>
    <x v="0"/>
    <d v="2023-02-25T00:00:00"/>
    <n v="299.99"/>
  </r>
  <r>
    <s v="TRX0157"/>
    <x v="51"/>
    <s v="CUST025"/>
    <s v="Mark Carter"/>
    <s v="P010"/>
    <x v="8"/>
    <x v="0"/>
    <n v="2"/>
    <n v="89.99"/>
    <x v="2"/>
    <x v="1"/>
    <x v="0"/>
    <d v="2023-02-19T00:00:00"/>
    <n v="179.98"/>
  </r>
  <r>
    <s v="TRX0002"/>
    <x v="51"/>
    <s v="CUST019"/>
    <s v="Daniel King"/>
    <s v="P007"/>
    <x v="6"/>
    <x v="2"/>
    <n v="3"/>
    <n v="299.99"/>
    <x v="0"/>
    <x v="0"/>
    <x v="0"/>
    <d v="2022-06-20T00:00:00"/>
    <n v="899.97"/>
  </r>
  <r>
    <s v="TRX0217"/>
    <x v="52"/>
    <s v="CUST025"/>
    <s v="Mark Carter"/>
    <s v="P002"/>
    <x v="5"/>
    <x v="0"/>
    <n v="2"/>
    <n v="699.99"/>
    <x v="1"/>
    <x v="2"/>
    <x v="1"/>
    <d v="2023-03-14T00:00:00"/>
    <n v="1399.98"/>
  </r>
  <r>
    <s v="TRX0249"/>
    <x v="53"/>
    <s v="CUST030"/>
    <s v="Helen Roberts"/>
    <s v="P001"/>
    <x v="4"/>
    <x v="0"/>
    <n v="4"/>
    <n v="899.99"/>
    <x v="3"/>
    <x v="1"/>
    <x v="2"/>
    <d v="2021-11-23T00:00:00"/>
    <n v="3599.96"/>
  </r>
  <r>
    <s v="TRX0065"/>
    <x v="54"/>
    <s v="CUST016"/>
    <s v="Elizabeth Hall"/>
    <s v="P008"/>
    <x v="2"/>
    <x v="2"/>
    <n v="2"/>
    <n v="149.99"/>
    <x v="1"/>
    <x v="3"/>
    <x v="0"/>
    <d v="2021-12-12T00:00:00"/>
    <n v="299.98"/>
  </r>
  <r>
    <s v="TRX0176"/>
    <x v="55"/>
    <s v="CUST044"/>
    <s v="Cynthia Price"/>
    <s v="P008"/>
    <x v="2"/>
    <x v="2"/>
    <n v="2"/>
    <n v="149.99"/>
    <x v="3"/>
    <x v="4"/>
    <x v="2"/>
    <d v="2022-04-16T00:00:00"/>
    <n v="299.98"/>
  </r>
  <r>
    <s v="TRX0101"/>
    <x v="56"/>
    <s v="CUST010"/>
    <s v="Maria Garcia"/>
    <s v="P010"/>
    <x v="8"/>
    <x v="0"/>
    <n v="1"/>
    <n v="89.99"/>
    <x v="1"/>
    <x v="2"/>
    <x v="2"/>
    <d v="2024-04-11T00:00:00"/>
    <n v="89.99"/>
  </r>
  <r>
    <s v="TRX0205"/>
    <x v="57"/>
    <s v="CUST025"/>
    <s v="Mark Carter"/>
    <s v="P007"/>
    <x v="6"/>
    <x v="2"/>
    <n v="5"/>
    <n v="299.99"/>
    <x v="1"/>
    <x v="2"/>
    <x v="0"/>
    <d v="2023-02-08T00:00:00"/>
    <n v="1499.95"/>
  </r>
  <r>
    <s v="TRX0020"/>
    <x v="58"/>
    <s v="CUST007"/>
    <s v="David Martinez"/>
    <s v="P003"/>
    <x v="3"/>
    <x v="0"/>
    <n v="4"/>
    <n v="149.99"/>
    <x v="3"/>
    <x v="1"/>
    <x v="1"/>
    <d v="2022-09-16T00:00:00"/>
    <n v="599.96"/>
  </r>
  <r>
    <s v="TRX0075"/>
    <x v="58"/>
    <s v="CUST020"/>
    <s v="Margaret Wright"/>
    <s v="P009"/>
    <x v="0"/>
    <x v="0"/>
    <n v="5"/>
    <n v="249.99"/>
    <x v="2"/>
    <x v="4"/>
    <x v="1"/>
    <d v="2022-08-09T00:00:00"/>
    <n v="1249.95"/>
  </r>
  <r>
    <s v="TRX0098"/>
    <x v="58"/>
    <s v="CUST026"/>
    <s v="Karen Hill"/>
    <s v="P009"/>
    <x v="0"/>
    <x v="0"/>
    <n v="3"/>
    <n v="249.99"/>
    <x v="2"/>
    <x v="2"/>
    <x v="1"/>
    <d v="2021-09-26T00:00:00"/>
    <n v="749.97"/>
  </r>
  <r>
    <s v="TRX0247"/>
    <x v="58"/>
    <s v="CUST046"/>
    <s v="Kathleen Bennett"/>
    <s v="P006"/>
    <x v="9"/>
    <x v="2"/>
    <n v="4"/>
    <n v="199.99"/>
    <x v="0"/>
    <x v="2"/>
    <x v="2"/>
    <d v="2021-09-19T00:00:00"/>
    <n v="799.96"/>
  </r>
  <r>
    <s v="TRX0027"/>
    <x v="59"/>
    <s v="CUST028"/>
    <s v="Betty Campbell"/>
    <s v="P006"/>
    <x v="9"/>
    <x v="2"/>
    <n v="5"/>
    <n v="199.99"/>
    <x v="0"/>
    <x v="2"/>
    <x v="1"/>
    <d v="2023-03-06T00:00:00"/>
    <n v="999.95"/>
  </r>
  <r>
    <s v="TRX0140"/>
    <x v="60"/>
    <s v="CUST025"/>
    <s v="Mark Carter"/>
    <s v="P010"/>
    <x v="8"/>
    <x v="0"/>
    <n v="2"/>
    <n v="89.99"/>
    <x v="0"/>
    <x v="4"/>
    <x v="1"/>
    <d v="2023-02-15T00:00:00"/>
    <n v="179.98"/>
  </r>
  <r>
    <s v="TRX0132"/>
    <x v="61"/>
    <s v="CUST047"/>
    <s v="Gerald Murphy"/>
    <s v="P001"/>
    <x v="4"/>
    <x v="0"/>
    <n v="5"/>
    <n v="899.99"/>
    <x v="3"/>
    <x v="4"/>
    <x v="0"/>
    <d v="2021-11-26T00:00:00"/>
    <n v="4499.95"/>
  </r>
  <r>
    <s v="TRX0031"/>
    <x v="61"/>
    <s v="CUST036"/>
    <s v="Nancy Collins"/>
    <s v="P003"/>
    <x v="3"/>
    <x v="0"/>
    <n v="3"/>
    <n v="149.99"/>
    <x v="2"/>
    <x v="4"/>
    <x v="0"/>
    <d v="2022-01-13T00:00:00"/>
    <n v="449.97"/>
  </r>
  <r>
    <s v="TRX0236"/>
    <x v="62"/>
    <s v="CUST044"/>
    <s v="Cynthia Price"/>
    <s v="P008"/>
    <x v="2"/>
    <x v="2"/>
    <n v="5"/>
    <n v="149.99"/>
    <x v="1"/>
    <x v="0"/>
    <x v="0"/>
    <d v="2024-01-19T00:00:00"/>
    <n v="749.95"/>
  </r>
  <r>
    <s v="TRX0001"/>
    <x v="63"/>
    <s v="CUST039"/>
    <s v="Lawrence Reed"/>
    <s v="P004"/>
    <x v="7"/>
    <x v="1"/>
    <n v="3"/>
    <n v="79.989999999999995"/>
    <x v="0"/>
    <x v="0"/>
    <x v="1"/>
    <d v="2022-08-06T00:00:00"/>
    <n v="239.97"/>
  </r>
  <r>
    <s v="TRX0037"/>
    <x v="63"/>
    <s v="CUST035"/>
    <s v="Harry Morgan"/>
    <s v="P009"/>
    <x v="0"/>
    <x v="0"/>
    <n v="2"/>
    <n v="249.99"/>
    <x v="0"/>
    <x v="1"/>
    <x v="2"/>
    <d v="2022-01-11T00:00:00"/>
    <n v="499.98"/>
  </r>
  <r>
    <s v="TRX0058"/>
    <x v="64"/>
    <s v="CUST047"/>
    <s v="Gerald Murphy"/>
    <s v="P002"/>
    <x v="5"/>
    <x v="0"/>
    <n v="1"/>
    <n v="699.99"/>
    <x v="0"/>
    <x v="0"/>
    <x v="1"/>
    <d v="2021-10-28T00:00:00"/>
    <n v="699.99"/>
  </r>
  <r>
    <s v="TRX0170"/>
    <x v="64"/>
    <s v="CUST034"/>
    <s v="Carol Evans"/>
    <s v="P003"/>
    <x v="3"/>
    <x v="0"/>
    <n v="3"/>
    <n v="149.99"/>
    <x v="0"/>
    <x v="3"/>
    <x v="1"/>
    <d v="2023-10-13T00:00:00"/>
    <n v="449.97"/>
  </r>
  <r>
    <s v="TRX0248"/>
    <x v="65"/>
    <s v="CUST032"/>
    <s v="Sandra Phillips"/>
    <s v="P002"/>
    <x v="5"/>
    <x v="0"/>
    <n v="2"/>
    <n v="699.99"/>
    <x v="1"/>
    <x v="2"/>
    <x v="1"/>
    <d v="2021-08-13T00:00:00"/>
    <n v="1399.98"/>
  </r>
  <r>
    <s v="TRX0099"/>
    <x v="66"/>
    <s v="CUST034"/>
    <s v="Carol Evans"/>
    <s v="P009"/>
    <x v="0"/>
    <x v="0"/>
    <n v="1"/>
    <n v="249.99"/>
    <x v="1"/>
    <x v="3"/>
    <x v="1"/>
    <d v="2022-05-04T00:00:00"/>
    <n v="249.99"/>
  </r>
  <r>
    <s v="TRX0074"/>
    <x v="66"/>
    <s v="CUST023"/>
    <s v="Paul Baker"/>
    <s v="P009"/>
    <x v="0"/>
    <x v="0"/>
    <n v="1"/>
    <n v="249.99"/>
    <x v="3"/>
    <x v="2"/>
    <x v="1"/>
    <d v="2024-02-10T00:00:00"/>
    <n v="249.99"/>
  </r>
  <r>
    <s v="TRX0225"/>
    <x v="67"/>
    <s v="CUST039"/>
    <s v="Lawrence Reed"/>
    <s v="P002"/>
    <x v="5"/>
    <x v="0"/>
    <n v="2"/>
    <n v="699.99"/>
    <x v="3"/>
    <x v="0"/>
    <x v="1"/>
    <d v="2022-11-05T00:00:00"/>
    <n v="1399.98"/>
  </r>
  <r>
    <s v="TRX0100"/>
    <x v="68"/>
    <s v="CUST031"/>
    <s v="Steven Turner"/>
    <s v="P005"/>
    <x v="1"/>
    <x v="1"/>
    <n v="3"/>
    <n v="59.99"/>
    <x v="1"/>
    <x v="0"/>
    <x v="1"/>
    <d v="2022-06-05T00:00:00"/>
    <n v="179.97"/>
  </r>
  <r>
    <s v="TRX0142"/>
    <x v="69"/>
    <s v="CUST002"/>
    <s v="Emma Wilson"/>
    <s v="P005"/>
    <x v="1"/>
    <x v="1"/>
    <n v="3"/>
    <n v="59.99"/>
    <x v="2"/>
    <x v="4"/>
    <x v="2"/>
    <d v="2022-07-06T00:00:00"/>
    <n v="179.97"/>
  </r>
  <r>
    <s v="TRX0112"/>
    <x v="69"/>
    <s v="CUST008"/>
    <s v="Jennifer Taylor"/>
    <s v="P004"/>
    <x v="7"/>
    <x v="1"/>
    <n v="4"/>
    <n v="79.989999999999995"/>
    <x v="0"/>
    <x v="2"/>
    <x v="0"/>
    <d v="2021-11-30T00:00:00"/>
    <n v="319.95999999999998"/>
  </r>
  <r>
    <s v="TRX0161"/>
    <x v="70"/>
    <s v="CUST017"/>
    <s v="Charles Allen"/>
    <s v="P004"/>
    <x v="7"/>
    <x v="1"/>
    <n v="1"/>
    <n v="79.989999999999995"/>
    <x v="0"/>
    <x v="3"/>
    <x v="0"/>
    <d v="2022-05-12T00:00:00"/>
    <n v="79.989999999999995"/>
  </r>
  <r>
    <s v="TRX0108"/>
    <x v="71"/>
    <s v="CUST024"/>
    <s v="Dorothy Nelson"/>
    <s v="P007"/>
    <x v="6"/>
    <x v="2"/>
    <n v="3"/>
    <n v="299.99"/>
    <x v="1"/>
    <x v="0"/>
    <x v="1"/>
    <d v="2021-10-25T00:00:00"/>
    <n v="899.97"/>
  </r>
  <r>
    <s v="TRX0211"/>
    <x v="72"/>
    <s v="CUST046"/>
    <s v="Kathleen Bennett"/>
    <s v="P010"/>
    <x v="8"/>
    <x v="0"/>
    <n v="2"/>
    <n v="89.99"/>
    <x v="1"/>
    <x v="1"/>
    <x v="1"/>
    <d v="2022-03-21T00:00:00"/>
    <n v="179.98"/>
  </r>
  <r>
    <s v="TRX0005"/>
    <x v="73"/>
    <s v="CUST042"/>
    <s v="Ruth Brooks"/>
    <s v="P003"/>
    <x v="3"/>
    <x v="0"/>
    <n v="4"/>
    <n v="149.99"/>
    <x v="0"/>
    <x v="2"/>
    <x v="0"/>
    <d v="2022-12-14T00:00:00"/>
    <n v="599.96"/>
  </r>
  <r>
    <s v="TRX0195"/>
    <x v="74"/>
    <s v="CUST026"/>
    <s v="Karen Hill"/>
    <s v="P009"/>
    <x v="0"/>
    <x v="0"/>
    <n v="2"/>
    <n v="249.99"/>
    <x v="2"/>
    <x v="1"/>
    <x v="0"/>
    <d v="2023-03-08T00:00:00"/>
    <n v="499.98"/>
  </r>
  <r>
    <s v="TRX0054"/>
    <x v="74"/>
    <s v="CUST004"/>
    <s v="Sarah Davis"/>
    <s v="P006"/>
    <x v="9"/>
    <x v="2"/>
    <n v="4"/>
    <n v="199.99"/>
    <x v="3"/>
    <x v="4"/>
    <x v="0"/>
    <d v="2021-09-19T00:00:00"/>
    <n v="799.96"/>
  </r>
  <r>
    <s v="TRX0077"/>
    <x v="75"/>
    <s v="CUST019"/>
    <s v="Daniel King"/>
    <s v="P010"/>
    <x v="8"/>
    <x v="0"/>
    <n v="5"/>
    <n v="89.99"/>
    <x v="1"/>
    <x v="4"/>
    <x v="1"/>
    <d v="2021-09-07T00:00:00"/>
    <n v="449.95"/>
  </r>
  <r>
    <s v="TRX0111"/>
    <x v="75"/>
    <s v="CUST011"/>
    <s v="William White"/>
    <s v="P003"/>
    <x v="3"/>
    <x v="0"/>
    <n v="1"/>
    <n v="149.99"/>
    <x v="2"/>
    <x v="4"/>
    <x v="2"/>
    <d v="2021-10-13T00:00:00"/>
    <n v="149.99"/>
  </r>
  <r>
    <s v="TRX0123"/>
    <x v="75"/>
    <s v="CUST041"/>
    <s v="Peter Richardson"/>
    <s v="P002"/>
    <x v="5"/>
    <x v="0"/>
    <n v="4"/>
    <n v="699.99"/>
    <x v="2"/>
    <x v="1"/>
    <x v="0"/>
    <d v="2022-02-26T00:00:00"/>
    <n v="2799.96"/>
  </r>
  <r>
    <s v="TRX0177"/>
    <x v="76"/>
    <s v="CUST032"/>
    <s v="Sandra Phillips"/>
    <s v="P001"/>
    <x v="4"/>
    <x v="0"/>
    <n v="3"/>
    <n v="899.99"/>
    <x v="1"/>
    <x v="2"/>
    <x v="2"/>
    <d v="2023-08-19T00:00:00"/>
    <n v="2699.97"/>
  </r>
  <r>
    <s v="TRX0119"/>
    <x v="77"/>
    <s v="CUST014"/>
    <s v="Linda Martin"/>
    <s v="P008"/>
    <x v="2"/>
    <x v="2"/>
    <n v="3"/>
    <n v="149.99"/>
    <x v="2"/>
    <x v="4"/>
    <x v="0"/>
    <d v="2022-11-21T00:00:00"/>
    <n v="449.97"/>
  </r>
  <r>
    <s v="TRX0181"/>
    <x v="78"/>
    <s v="CUST012"/>
    <s v="Patricia Moore"/>
    <s v="P007"/>
    <x v="6"/>
    <x v="2"/>
    <n v="2"/>
    <n v="299.99"/>
    <x v="3"/>
    <x v="0"/>
    <x v="0"/>
    <d v="2022-01-08T00:00:00"/>
    <n v="599.98"/>
  </r>
  <r>
    <s v="TRX0129"/>
    <x v="79"/>
    <s v="CUST015"/>
    <s v="Richard Lee"/>
    <s v="P006"/>
    <x v="9"/>
    <x v="2"/>
    <n v="1"/>
    <n v="199.99"/>
    <x v="3"/>
    <x v="4"/>
    <x v="2"/>
    <d v="2023-01-27T00:00:00"/>
    <n v="199.99"/>
  </r>
  <r>
    <s v="TRX0174"/>
    <x v="80"/>
    <s v="CUST003"/>
    <s v="Michael Brown"/>
    <s v="P007"/>
    <x v="6"/>
    <x v="2"/>
    <n v="4"/>
    <n v="299.99"/>
    <x v="0"/>
    <x v="0"/>
    <x v="1"/>
    <d v="2021-09-21T00:00:00"/>
    <n v="1199.96"/>
  </r>
  <r>
    <s v="TRX0146"/>
    <x v="81"/>
    <s v="CUST010"/>
    <s v="Maria Garcia"/>
    <s v="P005"/>
    <x v="1"/>
    <x v="1"/>
    <n v="2"/>
    <n v="59.99"/>
    <x v="1"/>
    <x v="0"/>
    <x v="0"/>
    <d v="2022-01-18T00:00:00"/>
    <n v="119.98"/>
  </r>
  <r>
    <s v="TRX0203"/>
    <x v="81"/>
    <s v="CUST032"/>
    <s v="Sandra Phillips"/>
    <s v="P003"/>
    <x v="3"/>
    <x v="0"/>
    <n v="4"/>
    <n v="149.99"/>
    <x v="1"/>
    <x v="2"/>
    <x v="1"/>
    <d v="2023-05-30T00:00:00"/>
    <n v="599.96"/>
  </r>
  <r>
    <s v="TRX0055"/>
    <x v="82"/>
    <s v="CUST016"/>
    <s v="Elizabeth Hall"/>
    <s v="P002"/>
    <x v="5"/>
    <x v="0"/>
    <n v="2"/>
    <n v="699.99"/>
    <x v="3"/>
    <x v="4"/>
    <x v="1"/>
    <d v="2023-12-14T00:00:00"/>
    <n v="1399.98"/>
  </r>
  <r>
    <s v="TRX0218"/>
    <x v="82"/>
    <s v="CUST034"/>
    <s v="Carol Evans"/>
    <s v="P008"/>
    <x v="2"/>
    <x v="2"/>
    <n v="3"/>
    <n v="149.99"/>
    <x v="1"/>
    <x v="1"/>
    <x v="2"/>
    <d v="2023-01-14T00:00:00"/>
    <n v="449.97"/>
  </r>
  <r>
    <s v="TRX0085"/>
    <x v="83"/>
    <s v="CUST019"/>
    <s v="Daniel King"/>
    <s v="P007"/>
    <x v="6"/>
    <x v="2"/>
    <n v="3"/>
    <n v="299.99"/>
    <x v="1"/>
    <x v="0"/>
    <x v="2"/>
    <d v="2023-09-05T00:00:00"/>
    <n v="899.97"/>
  </r>
  <r>
    <s v="TRX0158"/>
    <x v="84"/>
    <s v="CUST027"/>
    <s v="George Adams"/>
    <s v="P001"/>
    <x v="4"/>
    <x v="0"/>
    <n v="3"/>
    <n v="899.99"/>
    <x v="2"/>
    <x v="3"/>
    <x v="0"/>
    <d v="2023-10-16T00:00:00"/>
    <n v="2699.97"/>
  </r>
  <r>
    <s v="TRX0173"/>
    <x v="85"/>
    <s v="CUST018"/>
    <s v="Barbara Young"/>
    <s v="P002"/>
    <x v="5"/>
    <x v="0"/>
    <n v="5"/>
    <n v="699.99"/>
    <x v="0"/>
    <x v="4"/>
    <x v="2"/>
    <d v="2023-03-23T00:00:00"/>
    <n v="3499.95"/>
  </r>
  <r>
    <s v="TRX0034"/>
    <x v="85"/>
    <s v="CUST049"/>
    <s v="Raymond Ross"/>
    <s v="P002"/>
    <x v="5"/>
    <x v="0"/>
    <n v="4"/>
    <n v="699.99"/>
    <x v="1"/>
    <x v="0"/>
    <x v="0"/>
    <d v="2024-04-03T00:00:00"/>
    <n v="2799.96"/>
  </r>
  <r>
    <s v="TRX0189"/>
    <x v="85"/>
    <s v="CUST040"/>
    <s v="Sharon Butler"/>
    <s v="P001"/>
    <x v="4"/>
    <x v="0"/>
    <n v="1"/>
    <n v="899.99"/>
    <x v="1"/>
    <x v="4"/>
    <x v="2"/>
    <d v="2024-03-18T00:00:00"/>
    <n v="899.99"/>
  </r>
  <r>
    <s v="TRX0190"/>
    <x v="86"/>
    <s v="CUST039"/>
    <s v="Lawrence Reed"/>
    <s v="P003"/>
    <x v="3"/>
    <x v="0"/>
    <n v="2"/>
    <n v="149.99"/>
    <x v="1"/>
    <x v="3"/>
    <x v="0"/>
    <d v="2022-12-21T00:00:00"/>
    <n v="299.98"/>
  </r>
  <r>
    <s v="TRX0079"/>
    <x v="87"/>
    <s v="CUST039"/>
    <s v="Lawrence Reed"/>
    <s v="P010"/>
    <x v="8"/>
    <x v="0"/>
    <n v="3"/>
    <n v="89.99"/>
    <x v="2"/>
    <x v="0"/>
    <x v="0"/>
    <d v="2021-12-21T00:00:00"/>
    <n v="269.97000000000003"/>
  </r>
  <r>
    <s v="TRX0095"/>
    <x v="88"/>
    <s v="CUST046"/>
    <s v="Kathleen Bennett"/>
    <s v="P003"/>
    <x v="3"/>
    <x v="0"/>
    <n v="2"/>
    <n v="149.99"/>
    <x v="2"/>
    <x v="0"/>
    <x v="0"/>
    <d v="2021-10-04T00:00:00"/>
    <n v="299.98"/>
  </r>
  <r>
    <s v="TRX0009"/>
    <x v="88"/>
    <s v="CUST004"/>
    <s v="Sarah Davis"/>
    <s v="P002"/>
    <x v="5"/>
    <x v="0"/>
    <n v="2"/>
    <n v="699.99"/>
    <x v="0"/>
    <x v="0"/>
    <x v="0"/>
    <d v="2023-03-07T00:00:00"/>
    <n v="1399.98"/>
  </r>
  <r>
    <s v="TRX0167"/>
    <x v="89"/>
    <s v="CUST028"/>
    <s v="Betty Campbell"/>
    <s v="P002"/>
    <x v="5"/>
    <x v="0"/>
    <n v="5"/>
    <n v="699.99"/>
    <x v="0"/>
    <x v="2"/>
    <x v="1"/>
    <d v="2022-03-15T00:00:00"/>
    <n v="3499.95"/>
  </r>
  <r>
    <s v="TRX0153"/>
    <x v="90"/>
    <s v="CUST049"/>
    <s v="Raymond Ross"/>
    <s v="P010"/>
    <x v="8"/>
    <x v="0"/>
    <n v="3"/>
    <n v="89.99"/>
    <x v="1"/>
    <x v="2"/>
    <x v="2"/>
    <d v="2022-02-23T00:00:00"/>
    <n v="269.97000000000003"/>
  </r>
  <r>
    <s v="TRX0057"/>
    <x v="91"/>
    <s v="CUST023"/>
    <s v="Paul Baker"/>
    <s v="P009"/>
    <x v="0"/>
    <x v="0"/>
    <n v="5"/>
    <n v="249.99"/>
    <x v="1"/>
    <x v="1"/>
    <x v="2"/>
    <d v="2022-11-16T00:00:00"/>
    <n v="1249.95"/>
  </r>
  <r>
    <s v="TRX0017"/>
    <x v="92"/>
    <s v="CUST026"/>
    <s v="Karen Hill"/>
    <s v="P007"/>
    <x v="6"/>
    <x v="2"/>
    <n v="3"/>
    <n v="299.99"/>
    <x v="1"/>
    <x v="1"/>
    <x v="2"/>
    <d v="2021-11-02T00:00:00"/>
    <n v="899.97"/>
  </r>
  <r>
    <s v="TRX0060"/>
    <x v="93"/>
    <s v="CUST012"/>
    <s v="Patricia Moore"/>
    <s v="P010"/>
    <x v="8"/>
    <x v="0"/>
    <n v="3"/>
    <n v="89.99"/>
    <x v="1"/>
    <x v="2"/>
    <x v="1"/>
    <d v="2021-08-12T00:00:00"/>
    <n v="269.97000000000003"/>
  </r>
  <r>
    <s v="TRX0109"/>
    <x v="94"/>
    <s v="CUST010"/>
    <s v="Maria Garcia"/>
    <s v="P008"/>
    <x v="2"/>
    <x v="2"/>
    <n v="2"/>
    <n v="149.99"/>
    <x v="1"/>
    <x v="3"/>
    <x v="1"/>
    <d v="2022-10-14T00:00:00"/>
    <n v="299.98"/>
  </r>
  <r>
    <s v="TRX0090"/>
    <x v="95"/>
    <s v="CUST020"/>
    <s v="Margaret Wright"/>
    <s v="P009"/>
    <x v="0"/>
    <x v="0"/>
    <n v="1"/>
    <n v="249.99"/>
    <x v="1"/>
    <x v="2"/>
    <x v="1"/>
    <d v="2022-09-24T00:00:00"/>
    <n v="249.99"/>
  </r>
  <r>
    <s v="TRX0035"/>
    <x v="96"/>
    <s v="CUST041"/>
    <s v="Peter Richardson"/>
    <s v="P003"/>
    <x v="3"/>
    <x v="0"/>
    <n v="3"/>
    <n v="149.99"/>
    <x v="0"/>
    <x v="2"/>
    <x v="0"/>
    <d v="2022-07-27T00:00:00"/>
    <n v="449.97"/>
  </r>
  <r>
    <s v="TRX0172"/>
    <x v="96"/>
    <s v="CUST023"/>
    <s v="Paul Baker"/>
    <s v="P005"/>
    <x v="1"/>
    <x v="1"/>
    <n v="5"/>
    <n v="59.99"/>
    <x v="2"/>
    <x v="3"/>
    <x v="1"/>
    <d v="2022-05-13T00:00:00"/>
    <n v="299.95"/>
  </r>
  <r>
    <s v="TRX0076"/>
    <x v="96"/>
    <s v="CUST012"/>
    <s v="Patricia Moore"/>
    <s v="P009"/>
    <x v="0"/>
    <x v="0"/>
    <n v="4"/>
    <n v="249.99"/>
    <x v="1"/>
    <x v="3"/>
    <x v="2"/>
    <d v="2022-04-08T00:00:00"/>
    <n v="999.96"/>
  </r>
  <r>
    <s v="TRX0210"/>
    <x v="97"/>
    <s v="CUST004"/>
    <s v="Sarah Davis"/>
    <s v="P008"/>
    <x v="2"/>
    <x v="2"/>
    <n v="5"/>
    <n v="149.99"/>
    <x v="2"/>
    <x v="0"/>
    <x v="0"/>
    <d v="2022-12-06T00:00:00"/>
    <n v="749.95"/>
  </r>
  <r>
    <s v="TRX0149"/>
    <x v="97"/>
    <s v="CUST027"/>
    <s v="George Adams"/>
    <s v="P005"/>
    <x v="1"/>
    <x v="1"/>
    <n v="3"/>
    <n v="59.99"/>
    <x v="3"/>
    <x v="1"/>
    <x v="2"/>
    <d v="2023-11-30T00:00:00"/>
    <n v="179.97"/>
  </r>
  <r>
    <s v="TRX0073"/>
    <x v="98"/>
    <s v="CUST032"/>
    <s v="Sandra Phillips"/>
    <s v="P008"/>
    <x v="2"/>
    <x v="2"/>
    <n v="5"/>
    <n v="149.99"/>
    <x v="0"/>
    <x v="2"/>
    <x v="0"/>
    <d v="2022-11-04T00:00:00"/>
    <n v="749.95"/>
  </r>
  <r>
    <s v="TRX0033"/>
    <x v="98"/>
    <s v="CUST025"/>
    <s v="Mark Carter"/>
    <s v="P002"/>
    <x v="5"/>
    <x v="0"/>
    <n v="2"/>
    <n v="699.99"/>
    <x v="2"/>
    <x v="3"/>
    <x v="2"/>
    <d v="2022-07-28T00:00:00"/>
    <n v="1399.98"/>
  </r>
  <r>
    <s v="TRX0160"/>
    <x v="99"/>
    <s v="CUST029"/>
    <s v="Edward Mitchell"/>
    <s v="P006"/>
    <x v="9"/>
    <x v="2"/>
    <n v="4"/>
    <n v="199.99"/>
    <x v="3"/>
    <x v="0"/>
    <x v="1"/>
    <d v="2021-08-19T00:00:00"/>
    <n v="799.96"/>
  </r>
  <r>
    <s v="TRX0145"/>
    <x v="100"/>
    <s v="CUST033"/>
    <s v="Frank Torres"/>
    <s v="P005"/>
    <x v="1"/>
    <x v="1"/>
    <n v="1"/>
    <n v="59.99"/>
    <x v="3"/>
    <x v="3"/>
    <x v="2"/>
    <d v="2021-12-30T00:00:00"/>
    <n v="59.99"/>
  </r>
  <r>
    <s v="TRX0148"/>
    <x v="100"/>
    <s v="CUST004"/>
    <s v="Sarah Davis"/>
    <s v="P002"/>
    <x v="5"/>
    <x v="0"/>
    <n v="3"/>
    <n v="699.99"/>
    <x v="2"/>
    <x v="3"/>
    <x v="2"/>
    <d v="2022-01-22T00:00:00"/>
    <n v="2099.9699999999998"/>
  </r>
  <r>
    <s v="TRX0012"/>
    <x v="101"/>
    <s v="CUST045"/>
    <s v="Douglas Watson"/>
    <s v="P009"/>
    <x v="0"/>
    <x v="0"/>
    <n v="5"/>
    <n v="249.99"/>
    <x v="1"/>
    <x v="2"/>
    <x v="0"/>
    <d v="2022-11-08T00:00:00"/>
    <n v="1249.95"/>
  </r>
  <r>
    <s v="TRX0206"/>
    <x v="102"/>
    <s v="CUST014"/>
    <s v="Linda Martin"/>
    <s v="P008"/>
    <x v="2"/>
    <x v="2"/>
    <n v="2"/>
    <n v="149.99"/>
    <x v="0"/>
    <x v="1"/>
    <x v="2"/>
    <d v="2023-06-24T00:00:00"/>
    <n v="299.98"/>
  </r>
  <r>
    <s v="TRX0045"/>
    <x v="103"/>
    <s v="CUST021"/>
    <s v="Kevin Scott"/>
    <s v="P007"/>
    <x v="6"/>
    <x v="2"/>
    <n v="3"/>
    <n v="299.99"/>
    <x v="0"/>
    <x v="1"/>
    <x v="1"/>
    <d v="2022-04-08T00:00:00"/>
    <n v="899.97"/>
  </r>
  <r>
    <s v="TRX0094"/>
    <x v="103"/>
    <s v="CUST017"/>
    <s v="Charles Allen"/>
    <s v="P009"/>
    <x v="0"/>
    <x v="0"/>
    <n v="5"/>
    <n v="249.99"/>
    <x v="0"/>
    <x v="0"/>
    <x v="1"/>
    <d v="2021-10-16T00:00:00"/>
    <n v="1249.95"/>
  </r>
  <r>
    <s v="TRX0133"/>
    <x v="103"/>
    <s v="CUST013"/>
    <s v="Joseph Jackson"/>
    <s v="P003"/>
    <x v="3"/>
    <x v="0"/>
    <n v="2"/>
    <n v="149.99"/>
    <x v="0"/>
    <x v="1"/>
    <x v="1"/>
    <d v="2021-10-06T00:00:00"/>
    <n v="299.98"/>
  </r>
  <r>
    <s v="TRX0201"/>
    <x v="103"/>
    <s v="CUST025"/>
    <s v="Mark Carter"/>
    <s v="P002"/>
    <x v="5"/>
    <x v="0"/>
    <n v="5"/>
    <n v="699.99"/>
    <x v="3"/>
    <x v="3"/>
    <x v="2"/>
    <d v="2023-01-18T00:00:00"/>
    <n v="3499.95"/>
  </r>
  <r>
    <s v="TRX0137"/>
    <x v="104"/>
    <s v="CUST011"/>
    <s v="William White"/>
    <s v="P009"/>
    <x v="0"/>
    <x v="0"/>
    <n v="4"/>
    <n v="249.99"/>
    <x v="2"/>
    <x v="4"/>
    <x v="1"/>
    <d v="2023-06-21T00:00:00"/>
    <n v="999.96"/>
  </r>
  <r>
    <s v="TRX0066"/>
    <x v="105"/>
    <s v="CUST024"/>
    <s v="Dorothy Nelson"/>
    <s v="P002"/>
    <x v="5"/>
    <x v="0"/>
    <n v="4"/>
    <n v="699.99"/>
    <x v="1"/>
    <x v="2"/>
    <x v="1"/>
    <d v="2022-05-22T00:00:00"/>
    <n v="2799.96"/>
  </r>
  <r>
    <s v="TRX0180"/>
    <x v="106"/>
    <s v="CUST036"/>
    <s v="Nancy Collins"/>
    <s v="P009"/>
    <x v="0"/>
    <x v="0"/>
    <n v="2"/>
    <n v="249.99"/>
    <x v="1"/>
    <x v="0"/>
    <x v="1"/>
    <d v="2021-07-19T00:00:00"/>
    <n v="499.98"/>
  </r>
  <r>
    <s v="TRX0082"/>
    <x v="106"/>
    <s v="CUST005"/>
    <s v="James Johnson"/>
    <s v="P005"/>
    <x v="1"/>
    <x v="1"/>
    <n v="3"/>
    <n v="59.99"/>
    <x v="0"/>
    <x v="0"/>
    <x v="1"/>
    <d v="2023-05-06T00:00:00"/>
    <n v="179.97"/>
  </r>
  <r>
    <s v="TRX0036"/>
    <x v="106"/>
    <s v="CUST008"/>
    <s v="Jennifer Taylor"/>
    <s v="P004"/>
    <x v="7"/>
    <x v="1"/>
    <n v="4"/>
    <n v="79.989999999999995"/>
    <x v="3"/>
    <x v="4"/>
    <x v="2"/>
    <d v="2022-12-26T00:00:00"/>
    <n v="319.95999999999998"/>
  </r>
  <r>
    <s v="TRX0198"/>
    <x v="107"/>
    <s v="CUST030"/>
    <s v="Helen Roberts"/>
    <s v="P004"/>
    <x v="7"/>
    <x v="1"/>
    <n v="3"/>
    <n v="79.989999999999995"/>
    <x v="3"/>
    <x v="4"/>
    <x v="2"/>
    <d v="2022-08-06T00:00:00"/>
    <n v="239.97"/>
  </r>
  <r>
    <s v="TRX0032"/>
    <x v="108"/>
    <s v="CUST041"/>
    <s v="Peter Richardson"/>
    <s v="P001"/>
    <x v="4"/>
    <x v="0"/>
    <n v="2"/>
    <n v="899.99"/>
    <x v="0"/>
    <x v="2"/>
    <x v="0"/>
    <d v="2021-07-29T00:00:00"/>
    <n v="1799.98"/>
  </r>
  <r>
    <s v="TRX0081"/>
    <x v="109"/>
    <s v="CUST007"/>
    <s v="David Martinez"/>
    <s v="P008"/>
    <x v="2"/>
    <x v="2"/>
    <n v="1"/>
    <n v="149.99"/>
    <x v="3"/>
    <x v="4"/>
    <x v="2"/>
    <d v="2023-10-01T00:00:00"/>
    <n v="149.99"/>
  </r>
  <r>
    <s v="TRX0224"/>
    <x v="109"/>
    <s v="CUST031"/>
    <s v="Steven Turner"/>
    <s v="P007"/>
    <x v="6"/>
    <x v="2"/>
    <n v="2"/>
    <n v="299.99"/>
    <x v="0"/>
    <x v="4"/>
    <x v="1"/>
    <d v="2022-06-12T00:00:00"/>
    <n v="599.98"/>
  </r>
  <r>
    <s v="TRX0028"/>
    <x v="110"/>
    <s v="CUST002"/>
    <s v="Emma Wilson"/>
    <s v="P005"/>
    <x v="1"/>
    <x v="1"/>
    <n v="2"/>
    <n v="59.99"/>
    <x v="0"/>
    <x v="3"/>
    <x v="0"/>
    <d v="2023-09-22T00:00:00"/>
    <n v="119.98"/>
  </r>
  <r>
    <s v="TRX0183"/>
    <x v="111"/>
    <s v="CUST007"/>
    <s v="David Martinez"/>
    <s v="P010"/>
    <x v="8"/>
    <x v="0"/>
    <n v="1"/>
    <n v="89.99"/>
    <x v="3"/>
    <x v="0"/>
    <x v="2"/>
    <d v="2022-07-18T00:00:00"/>
    <n v="89.99"/>
  </r>
  <r>
    <s v="TRX0163"/>
    <x v="111"/>
    <s v="CUST019"/>
    <s v="Daniel King"/>
    <s v="P001"/>
    <x v="4"/>
    <x v="0"/>
    <n v="5"/>
    <n v="899.99"/>
    <x v="3"/>
    <x v="4"/>
    <x v="2"/>
    <d v="2022-03-05T00:00:00"/>
    <n v="4499.95"/>
  </r>
  <r>
    <s v="TRX0046"/>
    <x v="112"/>
    <s v="CUST003"/>
    <s v="Michael Brown"/>
    <s v="P008"/>
    <x v="2"/>
    <x v="2"/>
    <n v="2"/>
    <n v="149.99"/>
    <x v="0"/>
    <x v="1"/>
    <x v="0"/>
    <d v="2023-11-09T00:00:00"/>
    <n v="299.98"/>
  </r>
  <r>
    <s v="TRX0164"/>
    <x v="113"/>
    <s v="CUST014"/>
    <s v="Linda Martin"/>
    <s v="P003"/>
    <x v="3"/>
    <x v="0"/>
    <n v="2"/>
    <n v="149.99"/>
    <x v="3"/>
    <x v="3"/>
    <x v="1"/>
    <d v="2023-12-20T00:00:00"/>
    <n v="299.98"/>
  </r>
  <r>
    <s v="TRX0008"/>
    <x v="113"/>
    <s v="CUST007"/>
    <s v="David Martinez"/>
    <s v="P008"/>
    <x v="2"/>
    <x v="2"/>
    <n v="3"/>
    <n v="149.99"/>
    <x v="3"/>
    <x v="2"/>
    <x v="2"/>
    <d v="2021-11-22T00:00:00"/>
    <n v="449.97"/>
  </r>
  <r>
    <s v="TRX0171"/>
    <x v="114"/>
    <s v="CUST021"/>
    <s v="Kevin Scott"/>
    <s v="P007"/>
    <x v="6"/>
    <x v="2"/>
    <n v="2"/>
    <n v="299.99"/>
    <x v="2"/>
    <x v="1"/>
    <x v="0"/>
    <d v="2022-06-09T00:00:00"/>
    <n v="599.98"/>
  </r>
  <r>
    <s v="TRX0143"/>
    <x v="115"/>
    <s v="CUST003"/>
    <s v="Michael Brown"/>
    <s v="P007"/>
    <x v="6"/>
    <x v="2"/>
    <n v="2"/>
    <n v="299.99"/>
    <x v="0"/>
    <x v="3"/>
    <x v="0"/>
    <d v="2022-07-29T00:00:00"/>
    <n v="599.98"/>
  </r>
  <r>
    <s v="TRX0165"/>
    <x v="115"/>
    <s v="CUST030"/>
    <s v="Helen Roberts"/>
    <s v="P006"/>
    <x v="9"/>
    <x v="2"/>
    <n v="4"/>
    <n v="199.99"/>
    <x v="1"/>
    <x v="0"/>
    <x v="0"/>
    <d v="2021-11-23T00:00:00"/>
    <n v="799.96"/>
  </r>
  <r>
    <s v="TRX0156"/>
    <x v="116"/>
    <s v="CUST009"/>
    <s v="Robert Thomas"/>
    <s v="P010"/>
    <x v="8"/>
    <x v="0"/>
    <n v="1"/>
    <n v="89.99"/>
    <x v="1"/>
    <x v="1"/>
    <x v="1"/>
    <d v="2022-01-30T00:00:00"/>
    <n v="89.99"/>
  </r>
  <r>
    <s v="TRX0147"/>
    <x v="116"/>
    <s v="CUST036"/>
    <s v="Nancy Collins"/>
    <s v="P008"/>
    <x v="2"/>
    <x v="2"/>
    <n v="5"/>
    <n v="149.99"/>
    <x v="0"/>
    <x v="0"/>
    <x v="1"/>
    <d v="2024-02-25T00:00:00"/>
    <n v="749.95"/>
  </r>
  <r>
    <s v="TRX0207"/>
    <x v="117"/>
    <s v="CUST025"/>
    <s v="Mark Carter"/>
    <s v="P001"/>
    <x v="4"/>
    <x v="0"/>
    <n v="1"/>
    <n v="899.99"/>
    <x v="2"/>
    <x v="2"/>
    <x v="1"/>
    <d v="2023-05-04T00:00:00"/>
    <n v="899.99"/>
  </r>
  <r>
    <s v="TRX0056"/>
    <x v="118"/>
    <s v="CUST019"/>
    <s v="Daniel King"/>
    <s v="P010"/>
    <x v="8"/>
    <x v="0"/>
    <n v="2"/>
    <n v="89.99"/>
    <x v="1"/>
    <x v="1"/>
    <x v="1"/>
    <d v="2022-01-03T00:00:00"/>
    <n v="179.98"/>
  </r>
  <r>
    <s v="TRX0026"/>
    <x v="119"/>
    <s v="CUST037"/>
    <s v="Arthur Edwards"/>
    <s v="P001"/>
    <x v="4"/>
    <x v="0"/>
    <n v="1"/>
    <n v="899.99"/>
    <x v="2"/>
    <x v="2"/>
    <x v="2"/>
    <d v="2022-07-10T00:00:00"/>
    <n v="899.99"/>
  </r>
  <r>
    <s v="TRX0237"/>
    <x v="120"/>
    <s v="CUST006"/>
    <s v="Lisa Anderson"/>
    <s v="P003"/>
    <x v="3"/>
    <x v="0"/>
    <n v="5"/>
    <n v="149.99"/>
    <x v="2"/>
    <x v="4"/>
    <x v="1"/>
    <d v="2022-09-20T00:00:00"/>
    <n v="749.95"/>
  </r>
  <r>
    <s v="TRX0091"/>
    <x v="120"/>
    <s v="CUST003"/>
    <s v="Michael Brown"/>
    <s v="P007"/>
    <x v="6"/>
    <x v="2"/>
    <n v="3"/>
    <n v="299.99"/>
    <x v="0"/>
    <x v="1"/>
    <x v="2"/>
    <d v="2021-08-14T00:00:00"/>
    <n v="899.97"/>
  </r>
  <r>
    <s v="TRX0125"/>
    <x v="121"/>
    <s v="CUST026"/>
    <s v="Karen Hill"/>
    <s v="P002"/>
    <x v="5"/>
    <x v="0"/>
    <n v="3"/>
    <n v="699.99"/>
    <x v="1"/>
    <x v="0"/>
    <x v="1"/>
    <d v="2023-06-28T00:00:00"/>
    <n v="2099.9699999999998"/>
  </r>
  <r>
    <s v="TRX0223"/>
    <x v="122"/>
    <s v="CUST036"/>
    <s v="Nancy Collins"/>
    <s v="P006"/>
    <x v="9"/>
    <x v="2"/>
    <n v="5"/>
    <n v="199.99"/>
    <x v="2"/>
    <x v="0"/>
    <x v="2"/>
    <d v="2022-03-13T00:00:00"/>
    <n v="999.95"/>
  </r>
  <r>
    <s v="TRX0243"/>
    <x v="122"/>
    <s v="CUST048"/>
    <s v="Virginia Sanders"/>
    <s v="P009"/>
    <x v="0"/>
    <x v="0"/>
    <n v="5"/>
    <n v="249.99"/>
    <x v="1"/>
    <x v="1"/>
    <x v="0"/>
    <d v="2024-02-08T00:00:00"/>
    <n v="1249.95"/>
  </r>
  <r>
    <s v="TRX0084"/>
    <x v="123"/>
    <s v="CUST031"/>
    <s v="Steven Turner"/>
    <s v="P003"/>
    <x v="3"/>
    <x v="0"/>
    <n v="4"/>
    <n v="149.99"/>
    <x v="3"/>
    <x v="4"/>
    <x v="2"/>
    <d v="2021-12-06T00:00:00"/>
    <n v="599.96"/>
  </r>
  <r>
    <s v="TRX0238"/>
    <x v="123"/>
    <s v="CUST038"/>
    <s v="Michelle Rogers"/>
    <s v="P002"/>
    <x v="5"/>
    <x v="0"/>
    <n v="3"/>
    <n v="699.99"/>
    <x v="0"/>
    <x v="2"/>
    <x v="1"/>
    <d v="2022-02-10T00:00:00"/>
    <n v="2099.9699999999998"/>
  </r>
  <r>
    <s v="TRX0102"/>
    <x v="124"/>
    <s v="CUST045"/>
    <s v="Douglas Watson"/>
    <s v="P004"/>
    <x v="7"/>
    <x v="1"/>
    <n v="1"/>
    <n v="79.989999999999995"/>
    <x v="1"/>
    <x v="1"/>
    <x v="0"/>
    <d v="2024-01-31T00:00:00"/>
    <n v="79.989999999999995"/>
  </r>
  <r>
    <s v="TRX0022"/>
    <x v="124"/>
    <s v="CUST025"/>
    <s v="Mark Carter"/>
    <s v="P007"/>
    <x v="6"/>
    <x v="2"/>
    <n v="1"/>
    <n v="299.99"/>
    <x v="1"/>
    <x v="2"/>
    <x v="0"/>
    <d v="2021-08-28T00:00:00"/>
    <n v="299.99"/>
  </r>
  <r>
    <s v="TRX0087"/>
    <x v="125"/>
    <s v="CUST028"/>
    <s v="Betty Campbell"/>
    <s v="P009"/>
    <x v="0"/>
    <x v="0"/>
    <n v="4"/>
    <n v="249.99"/>
    <x v="1"/>
    <x v="2"/>
    <x v="1"/>
    <d v="2021-09-21T00:00:00"/>
    <n v="999.96"/>
  </r>
  <r>
    <s v="TRX0107"/>
    <x v="125"/>
    <s v="CUST030"/>
    <s v="Helen Roberts"/>
    <s v="P003"/>
    <x v="3"/>
    <x v="0"/>
    <n v="2"/>
    <n v="149.99"/>
    <x v="0"/>
    <x v="2"/>
    <x v="2"/>
    <d v="2022-12-18T00:00:00"/>
    <n v="299.98"/>
  </r>
  <r>
    <s v="TRX0051"/>
    <x v="125"/>
    <s v="CUST032"/>
    <s v="Sandra Phillips"/>
    <s v="P007"/>
    <x v="6"/>
    <x v="2"/>
    <n v="3"/>
    <n v="299.99"/>
    <x v="1"/>
    <x v="1"/>
    <x v="0"/>
    <d v="2023-10-05T00:00:00"/>
    <n v="899.97"/>
  </r>
  <r>
    <s v="TRX0106"/>
    <x v="126"/>
    <s v="CUST039"/>
    <s v="Lawrence Reed"/>
    <s v="P006"/>
    <x v="9"/>
    <x v="2"/>
    <n v="4"/>
    <n v="199.99"/>
    <x v="3"/>
    <x v="1"/>
    <x v="2"/>
    <d v="2021-12-14T00:00:00"/>
    <n v="799.96"/>
  </r>
  <r>
    <s v="TRX0059"/>
    <x v="126"/>
    <s v="CUST016"/>
    <s v="Elizabeth Hall"/>
    <s v="P007"/>
    <x v="6"/>
    <x v="2"/>
    <n v="5"/>
    <n v="299.99"/>
    <x v="3"/>
    <x v="0"/>
    <x v="0"/>
    <d v="2021-08-23T00:00:00"/>
    <n v="1499.95"/>
  </r>
  <r>
    <s v="TRX0072"/>
    <x v="126"/>
    <s v="CUST009"/>
    <s v="Robert Thomas"/>
    <s v="P008"/>
    <x v="2"/>
    <x v="2"/>
    <n v="3"/>
    <n v="149.99"/>
    <x v="1"/>
    <x v="4"/>
    <x v="2"/>
    <d v="2021-07-18T00:00:00"/>
    <n v="449.97"/>
  </r>
  <r>
    <s v="TRX0110"/>
    <x v="127"/>
    <s v="CUST006"/>
    <s v="Lisa Anderson"/>
    <s v="P005"/>
    <x v="1"/>
    <x v="1"/>
    <n v="5"/>
    <n v="59.99"/>
    <x v="3"/>
    <x v="4"/>
    <x v="0"/>
    <d v="2022-03-22T00:00:00"/>
    <n v="299.95"/>
  </r>
  <r>
    <s v="TRX0126"/>
    <x v="128"/>
    <s v="CUST022"/>
    <s v="Susan Green"/>
    <s v="P005"/>
    <x v="1"/>
    <x v="1"/>
    <n v="4"/>
    <n v="59.99"/>
    <x v="3"/>
    <x v="4"/>
    <x v="2"/>
    <d v="2022-01-03T00:00:00"/>
    <n v="239.96"/>
  </r>
  <r>
    <s v="TRX0159"/>
    <x v="129"/>
    <s v="CUST024"/>
    <s v="Dorothy Nelson"/>
    <s v="P009"/>
    <x v="0"/>
    <x v="0"/>
    <n v="4"/>
    <n v="249.99"/>
    <x v="3"/>
    <x v="0"/>
    <x v="1"/>
    <d v="2023-10-18T00:00:00"/>
    <n v="999.96"/>
  </r>
  <r>
    <s v="TRX0030"/>
    <x v="130"/>
    <s v="CUST011"/>
    <s v="William White"/>
    <s v="P001"/>
    <x v="4"/>
    <x v="0"/>
    <n v="4"/>
    <n v="899.99"/>
    <x v="2"/>
    <x v="0"/>
    <x v="0"/>
    <d v="2022-06-22T00:00:00"/>
    <n v="3599.96"/>
  </r>
  <r>
    <s v="TRX0178"/>
    <x v="130"/>
    <s v="CUST025"/>
    <s v="Mark Carter"/>
    <s v="P007"/>
    <x v="6"/>
    <x v="2"/>
    <n v="3"/>
    <n v="299.99"/>
    <x v="3"/>
    <x v="3"/>
    <x v="2"/>
    <d v="2023-01-26T00:00:00"/>
    <n v="899.97"/>
  </r>
  <r>
    <s v="TRX0188"/>
    <x v="130"/>
    <s v="CUST045"/>
    <s v="Douglas Watson"/>
    <s v="P002"/>
    <x v="5"/>
    <x v="0"/>
    <n v="2"/>
    <n v="699.99"/>
    <x v="3"/>
    <x v="0"/>
    <x v="1"/>
    <d v="2022-04-30T00:00:00"/>
    <n v="1399.98"/>
  </r>
  <r>
    <s v="TRX0010"/>
    <x v="131"/>
    <s v="CUST026"/>
    <s v="Karen Hill"/>
    <s v="P002"/>
    <x v="5"/>
    <x v="0"/>
    <n v="4"/>
    <n v="699.99"/>
    <x v="3"/>
    <x v="3"/>
    <x v="1"/>
    <d v="2022-05-11T00:00:00"/>
    <n v="2799.96"/>
  </r>
  <r>
    <s v="TRX0069"/>
    <x v="131"/>
    <s v="CUST029"/>
    <s v="Edward Mitchell"/>
    <s v="P010"/>
    <x v="8"/>
    <x v="0"/>
    <n v="2"/>
    <n v="89.99"/>
    <x v="3"/>
    <x v="1"/>
    <x v="0"/>
    <d v="2022-08-04T00:00:00"/>
    <n v="179.98"/>
  </r>
  <r>
    <s v="TRX0166"/>
    <x v="131"/>
    <s v="CUST003"/>
    <s v="Michael Brown"/>
    <s v="P010"/>
    <x v="8"/>
    <x v="0"/>
    <n v="3"/>
    <n v="89.99"/>
    <x v="3"/>
    <x v="1"/>
    <x v="1"/>
    <d v="2024-01-16T00:00:00"/>
    <n v="269.97000000000003"/>
  </r>
  <r>
    <s v="TRX0219"/>
    <x v="132"/>
    <s v="CUST037"/>
    <s v="Arthur Edwards"/>
    <s v="P005"/>
    <x v="1"/>
    <x v="1"/>
    <n v="1"/>
    <n v="59.99"/>
    <x v="3"/>
    <x v="0"/>
    <x v="2"/>
    <d v="2023-04-29T00:00:00"/>
    <n v="59.99"/>
  </r>
  <r>
    <s v="TRX0024"/>
    <x v="133"/>
    <s v="CUST042"/>
    <s v="Ruth Brooks"/>
    <s v="P008"/>
    <x v="2"/>
    <x v="2"/>
    <n v="3"/>
    <n v="149.99"/>
    <x v="3"/>
    <x v="2"/>
    <x v="1"/>
    <d v="2022-01-03T00:00:00"/>
    <n v="449.97"/>
  </r>
  <r>
    <s v="TRX0105"/>
    <x v="133"/>
    <s v="CUST048"/>
    <s v="Virginia Sanders"/>
    <s v="P007"/>
    <x v="6"/>
    <x v="2"/>
    <n v="5"/>
    <n v="299.99"/>
    <x v="1"/>
    <x v="1"/>
    <x v="0"/>
    <d v="2023-02-02T00:00:00"/>
    <n v="1499.95"/>
  </r>
  <r>
    <s v="TRX0011"/>
    <x v="134"/>
    <s v="CUST040"/>
    <s v="Sharon Butler"/>
    <s v="P005"/>
    <x v="1"/>
    <x v="1"/>
    <n v="5"/>
    <n v="59.99"/>
    <x v="3"/>
    <x v="0"/>
    <x v="2"/>
    <d v="2023-09-08T00:00:00"/>
    <n v="299.95"/>
  </r>
  <r>
    <s v="TRX0187"/>
    <x v="135"/>
    <s v="CUST036"/>
    <s v="Nancy Collins"/>
    <s v="P004"/>
    <x v="7"/>
    <x v="1"/>
    <n v="3"/>
    <n v="79.989999999999995"/>
    <x v="0"/>
    <x v="4"/>
    <x v="1"/>
    <d v="2021-08-28T00:00:00"/>
    <n v="239.97"/>
  </r>
  <r>
    <s v="TRX0089"/>
    <x v="136"/>
    <s v="CUST021"/>
    <s v="Kevin Scott"/>
    <s v="P006"/>
    <x v="9"/>
    <x v="2"/>
    <n v="3"/>
    <n v="199.99"/>
    <x v="0"/>
    <x v="0"/>
    <x v="0"/>
    <d v="2022-06-23T00:00:00"/>
    <n v="599.97"/>
  </r>
  <r>
    <s v="TRX0196"/>
    <x v="136"/>
    <s v="CUST023"/>
    <s v="Paul Baker"/>
    <s v="P010"/>
    <x v="8"/>
    <x v="0"/>
    <n v="2"/>
    <n v="89.99"/>
    <x v="2"/>
    <x v="0"/>
    <x v="0"/>
    <d v="2023-11-27T00:00:00"/>
    <n v="179.98"/>
  </r>
  <r>
    <s v="TRX0118"/>
    <x v="137"/>
    <s v="CUST015"/>
    <s v="Richard Lee"/>
    <s v="P008"/>
    <x v="2"/>
    <x v="2"/>
    <n v="2"/>
    <n v="149.99"/>
    <x v="0"/>
    <x v="1"/>
    <x v="1"/>
    <d v="2022-06-16T00:00:00"/>
    <n v="299.98"/>
  </r>
  <r>
    <s v="TRX0179"/>
    <x v="138"/>
    <s v="CUST029"/>
    <s v="Edward Mitchell"/>
    <s v="P002"/>
    <x v="5"/>
    <x v="0"/>
    <n v="5"/>
    <n v="699.99"/>
    <x v="2"/>
    <x v="1"/>
    <x v="1"/>
    <d v="2024-03-01T00:00:00"/>
    <n v="3499.95"/>
  </r>
  <r>
    <s v="TRX0168"/>
    <x v="138"/>
    <s v="CUST003"/>
    <s v="Michael Brown"/>
    <s v="P008"/>
    <x v="2"/>
    <x v="2"/>
    <n v="3"/>
    <n v="149.99"/>
    <x v="2"/>
    <x v="0"/>
    <x v="2"/>
    <d v="2022-03-13T00:00:00"/>
    <n v="449.97"/>
  </r>
  <r>
    <s v="TRX0214"/>
    <x v="139"/>
    <s v="CUST018"/>
    <s v="Barbara Young"/>
    <s v="P001"/>
    <x v="4"/>
    <x v="0"/>
    <n v="3"/>
    <n v="899.99"/>
    <x v="0"/>
    <x v="4"/>
    <x v="2"/>
    <d v="2022-02-21T00:00:00"/>
    <n v="2699.97"/>
  </r>
  <r>
    <s v="TRX0221"/>
    <x v="139"/>
    <s v="CUST033"/>
    <s v="Frank Torres"/>
    <s v="P006"/>
    <x v="9"/>
    <x v="2"/>
    <n v="3"/>
    <n v="199.99"/>
    <x v="0"/>
    <x v="3"/>
    <x v="1"/>
    <d v="2022-09-19T00:00:00"/>
    <n v="599.97"/>
  </r>
  <r>
    <s v="TRX0083"/>
    <x v="140"/>
    <s v="CUST017"/>
    <s v="Charles Allen"/>
    <s v="P007"/>
    <x v="6"/>
    <x v="2"/>
    <n v="5"/>
    <n v="299.99"/>
    <x v="0"/>
    <x v="3"/>
    <x v="2"/>
    <d v="2023-08-04T00:00:00"/>
    <n v="1499.95"/>
  </r>
  <r>
    <s v="TRX0151"/>
    <x v="140"/>
    <s v="CUST040"/>
    <s v="Sharon Butler"/>
    <s v="P002"/>
    <x v="5"/>
    <x v="0"/>
    <n v="1"/>
    <n v="699.99"/>
    <x v="2"/>
    <x v="3"/>
    <x v="0"/>
    <d v="2023-01-08T00:00:00"/>
    <n v="699.99"/>
  </r>
  <r>
    <s v="TRX0047"/>
    <x v="141"/>
    <s v="CUST042"/>
    <s v="Ruth Brooks"/>
    <s v="P002"/>
    <x v="5"/>
    <x v="0"/>
    <n v="1"/>
    <n v="699.99"/>
    <x v="0"/>
    <x v="2"/>
    <x v="1"/>
    <d v="2022-01-22T00:00:00"/>
    <n v="699.99"/>
  </r>
  <r>
    <s v="TRX0200"/>
    <x v="141"/>
    <s v="CUST037"/>
    <s v="Arthur Edwards"/>
    <s v="P008"/>
    <x v="2"/>
    <x v="2"/>
    <n v="4"/>
    <n v="149.99"/>
    <x v="2"/>
    <x v="2"/>
    <x v="1"/>
    <d v="2021-08-04T00:00:00"/>
    <n v="599.96"/>
  </r>
  <r>
    <s v="TRX0062"/>
    <x v="141"/>
    <s v="CUST016"/>
    <s v="Elizabeth Hall"/>
    <s v="P010"/>
    <x v="8"/>
    <x v="0"/>
    <n v="5"/>
    <n v="89.99"/>
    <x v="2"/>
    <x v="3"/>
    <x v="1"/>
    <d v="2023-08-02T00:00:00"/>
    <n v="449.95"/>
  </r>
  <r>
    <s v="TRX0182"/>
    <x v="142"/>
    <s v="CUST031"/>
    <s v="Steven Turner"/>
    <s v="P006"/>
    <x v="9"/>
    <x v="2"/>
    <n v="2"/>
    <n v="199.99"/>
    <x v="0"/>
    <x v="0"/>
    <x v="1"/>
    <d v="2022-01-12T00:00:00"/>
    <n v="399.98"/>
  </r>
  <r>
    <s v="TRX0229"/>
    <x v="143"/>
    <s v="CUST015"/>
    <s v="Richard Lee"/>
    <s v="P005"/>
    <x v="1"/>
    <x v="1"/>
    <n v="4"/>
    <n v="59.99"/>
    <x v="0"/>
    <x v="3"/>
    <x v="2"/>
    <d v="2023-05-24T00:00:00"/>
    <n v="239.96"/>
  </r>
  <r>
    <s v="TRX0048"/>
    <x v="143"/>
    <s v="CUST048"/>
    <s v="Virginia Sanders"/>
    <s v="P007"/>
    <x v="6"/>
    <x v="2"/>
    <n v="2"/>
    <n v="299.99"/>
    <x v="2"/>
    <x v="1"/>
    <x v="0"/>
    <d v="2022-01-15T00:00:00"/>
    <n v="599.98"/>
  </r>
  <r>
    <s v="TRX0227"/>
    <x v="144"/>
    <s v="CUST017"/>
    <s v="Charles Allen"/>
    <s v="P008"/>
    <x v="2"/>
    <x v="2"/>
    <n v="2"/>
    <n v="149.99"/>
    <x v="0"/>
    <x v="0"/>
    <x v="0"/>
    <d v="2023-05-22T00:00:00"/>
    <n v="299.98"/>
  </r>
  <r>
    <s v="TRX0226"/>
    <x v="145"/>
    <s v="CUST039"/>
    <s v="Lawrence Reed"/>
    <s v="P002"/>
    <x v="5"/>
    <x v="0"/>
    <n v="5"/>
    <n v="699.99"/>
    <x v="3"/>
    <x v="4"/>
    <x v="1"/>
    <d v="2023-08-23T00:00:00"/>
    <n v="3499.95"/>
  </r>
  <r>
    <s v="TRX0053"/>
    <x v="146"/>
    <s v="CUST043"/>
    <s v="Dennis Gray"/>
    <s v="P005"/>
    <x v="1"/>
    <x v="1"/>
    <n v="5"/>
    <n v="59.99"/>
    <x v="0"/>
    <x v="3"/>
    <x v="1"/>
    <d v="2023-12-31T00:00:00"/>
    <n v="299.95"/>
  </r>
  <r>
    <s v="TRX0233"/>
    <x v="147"/>
    <s v="CUST023"/>
    <s v="Paul Baker"/>
    <s v="P010"/>
    <x v="8"/>
    <x v="0"/>
    <n v="2"/>
    <n v="89.99"/>
    <x v="1"/>
    <x v="3"/>
    <x v="1"/>
    <d v="2024-01-04T00:00:00"/>
    <n v="179.98"/>
  </r>
  <r>
    <s v="TRX0175"/>
    <x v="147"/>
    <s v="CUST030"/>
    <s v="Helen Roberts"/>
    <s v="P009"/>
    <x v="0"/>
    <x v="0"/>
    <n v="5"/>
    <n v="249.99"/>
    <x v="0"/>
    <x v="4"/>
    <x v="2"/>
    <d v="2021-12-10T00:00:00"/>
    <n v="1249.95"/>
  </r>
  <r>
    <s v="TRX0186"/>
    <x v="148"/>
    <s v="CUST039"/>
    <s v="Lawrence Reed"/>
    <s v="P008"/>
    <x v="2"/>
    <x v="2"/>
    <n v="2"/>
    <n v="149.99"/>
    <x v="2"/>
    <x v="0"/>
    <x v="1"/>
    <d v="2022-03-12T00:00:00"/>
    <n v="299.98"/>
  </r>
  <r>
    <s v="TRX0016"/>
    <x v="148"/>
    <s v="CUST035"/>
    <s v="Harry Morgan"/>
    <s v="P001"/>
    <x v="4"/>
    <x v="0"/>
    <n v="5"/>
    <n v="899.99"/>
    <x v="2"/>
    <x v="4"/>
    <x v="1"/>
    <d v="2024-04-07T00:00:00"/>
    <n v="4499.95"/>
  </r>
  <r>
    <s v="TRX0199"/>
    <x v="148"/>
    <s v="CUST017"/>
    <s v="Charles Allen"/>
    <s v="P008"/>
    <x v="2"/>
    <x v="2"/>
    <n v="4"/>
    <n v="149.99"/>
    <x v="0"/>
    <x v="0"/>
    <x v="2"/>
    <d v="2023-12-03T00:00:00"/>
    <n v="599.96"/>
  </r>
  <r>
    <s v="TRX0038"/>
    <x v="149"/>
    <s v="CUST035"/>
    <s v="Harry Morgan"/>
    <s v="P009"/>
    <x v="0"/>
    <x v="0"/>
    <n v="1"/>
    <n v="249.99"/>
    <x v="0"/>
    <x v="2"/>
    <x v="2"/>
    <d v="2023-07-10T00:00:00"/>
    <n v="249.99"/>
  </r>
  <r>
    <s v="TRX0014"/>
    <x v="150"/>
    <s v="CUST033"/>
    <s v="Frank Torres"/>
    <s v="P005"/>
    <x v="1"/>
    <x v="1"/>
    <n v="2"/>
    <n v="59.99"/>
    <x v="1"/>
    <x v="3"/>
    <x v="0"/>
    <d v="2023-09-24T00:00:00"/>
    <n v="119.98"/>
  </r>
  <r>
    <s v="TRX0003"/>
    <x v="151"/>
    <s v="CUST002"/>
    <s v="Emma Wilson"/>
    <s v="P008"/>
    <x v="2"/>
    <x v="2"/>
    <n v="2"/>
    <n v="149.99"/>
    <x v="0"/>
    <x v="3"/>
    <x v="1"/>
    <d v="2023-11-03T00:00:00"/>
    <n v="299.98"/>
  </r>
  <r>
    <s v="TRX0124"/>
    <x v="151"/>
    <s v="CUST040"/>
    <s v="Sharon Butler"/>
    <s v="P001"/>
    <x v="4"/>
    <x v="0"/>
    <n v="3"/>
    <n v="899.99"/>
    <x v="3"/>
    <x v="2"/>
    <x v="1"/>
    <d v="2022-11-11T00:00:00"/>
    <n v="2699.97"/>
  </r>
  <r>
    <s v="TRX0013"/>
    <x v="151"/>
    <s v="CUST024"/>
    <s v="Dorothy Nelson"/>
    <s v="P001"/>
    <x v="4"/>
    <x v="0"/>
    <n v="3"/>
    <n v="899.99"/>
    <x v="2"/>
    <x v="2"/>
    <x v="0"/>
    <d v="2023-02-18T00:00:00"/>
    <n v="2699.97"/>
  </r>
  <r>
    <s v="TRX0019"/>
    <x v="152"/>
    <s v="CUST023"/>
    <s v="Paul Baker"/>
    <s v="P007"/>
    <x v="6"/>
    <x v="2"/>
    <n v="3"/>
    <n v="299.99"/>
    <x v="1"/>
    <x v="3"/>
    <x v="1"/>
    <d v="2023-11-04T00:00:00"/>
    <n v="899.97"/>
  </r>
  <r>
    <s v="TRX0050"/>
    <x v="153"/>
    <s v="CUST001"/>
    <s v="John Smith"/>
    <s v="P008"/>
    <x v="2"/>
    <x v="2"/>
    <n v="4"/>
    <n v="149.99"/>
    <x v="2"/>
    <x v="3"/>
    <x v="2"/>
    <d v="2021-12-30T00:00:00"/>
    <n v="599.96"/>
  </r>
  <r>
    <s v="TRX0152"/>
    <x v="154"/>
    <s v="CUST044"/>
    <s v="Cynthia Price"/>
    <s v="P004"/>
    <x v="7"/>
    <x v="1"/>
    <n v="4"/>
    <n v="79.989999999999995"/>
    <x v="1"/>
    <x v="0"/>
    <x v="0"/>
    <d v="2023-12-28T00:00:00"/>
    <n v="319.95999999999998"/>
  </r>
  <r>
    <s v="TRX0213"/>
    <x v="155"/>
    <s v="CUST020"/>
    <s v="Margaret Wright"/>
    <s v="P010"/>
    <x v="8"/>
    <x v="0"/>
    <n v="5"/>
    <n v="89.99"/>
    <x v="2"/>
    <x v="1"/>
    <x v="0"/>
    <d v="2022-05-23T00:00:00"/>
    <n v="449.95"/>
  </r>
  <r>
    <s v="TRX0197"/>
    <x v="156"/>
    <s v="CUST048"/>
    <s v="Virginia Sanders"/>
    <s v="P008"/>
    <x v="2"/>
    <x v="2"/>
    <n v="3"/>
    <n v="149.99"/>
    <x v="2"/>
    <x v="0"/>
    <x v="2"/>
    <d v="2023-09-02T00:00:00"/>
    <n v="449.97"/>
  </r>
  <r>
    <s v="TRX0250"/>
    <x v="156"/>
    <s v="CUST026"/>
    <s v="Karen Hill"/>
    <s v="P010"/>
    <x v="8"/>
    <x v="0"/>
    <n v="2"/>
    <n v="89.99"/>
    <x v="3"/>
    <x v="3"/>
    <x v="1"/>
    <d v="2021-11-22T00:00:00"/>
    <n v="179.98"/>
  </r>
  <r>
    <s v="TRX0068"/>
    <x v="157"/>
    <s v="CUST044"/>
    <s v="Cynthia Price"/>
    <s v="P002"/>
    <x v="5"/>
    <x v="0"/>
    <n v="2"/>
    <n v="699.99"/>
    <x v="2"/>
    <x v="2"/>
    <x v="2"/>
    <d v="2022-02-26T00:00:00"/>
    <n v="1399.98"/>
  </r>
  <r>
    <s v="TRX0144"/>
    <x v="158"/>
    <s v="CUST029"/>
    <s v="Edward Mitchell"/>
    <s v="P001"/>
    <x v="4"/>
    <x v="0"/>
    <n v="3"/>
    <n v="899.99"/>
    <x v="0"/>
    <x v="0"/>
    <x v="2"/>
    <d v="2023-01-27T00:00:00"/>
    <n v="2699.97"/>
  </r>
  <r>
    <s v="TRX0039"/>
    <x v="159"/>
    <s v="CUST048"/>
    <s v="Virginia Sanders"/>
    <s v="P004"/>
    <x v="7"/>
    <x v="1"/>
    <n v="3"/>
    <n v="79.989999999999995"/>
    <x v="1"/>
    <x v="2"/>
    <x v="0"/>
    <d v="2021-11-11T00:00:00"/>
    <n v="239.97"/>
  </r>
  <r>
    <s v="TRX0116"/>
    <x v="160"/>
    <s v="CUST009"/>
    <s v="Robert Thomas"/>
    <s v="P010"/>
    <x v="8"/>
    <x v="0"/>
    <n v="1"/>
    <n v="89.99"/>
    <x v="3"/>
    <x v="4"/>
    <x v="0"/>
    <d v="2024-02-24T00:00:00"/>
    <n v="89.99"/>
  </r>
  <r>
    <s v="TRX0120"/>
    <x v="161"/>
    <s v="CUST045"/>
    <s v="Douglas Watson"/>
    <s v="P002"/>
    <x v="5"/>
    <x v="0"/>
    <n v="3"/>
    <n v="699.99"/>
    <x v="2"/>
    <x v="2"/>
    <x v="0"/>
    <d v="2022-12-14T00:00:00"/>
    <n v="2099.9699999999998"/>
  </r>
  <r>
    <s v="TRX0103"/>
    <x v="161"/>
    <s v="CUST039"/>
    <s v="Lawrence Reed"/>
    <s v="P010"/>
    <x v="8"/>
    <x v="0"/>
    <n v="2"/>
    <n v="89.99"/>
    <x v="3"/>
    <x v="4"/>
    <x v="0"/>
    <d v="2023-06-11T00:00:00"/>
    <n v="179.98"/>
  </r>
  <r>
    <s v="TRX0064"/>
    <x v="161"/>
    <s v="CUST031"/>
    <s v="Steven Turner"/>
    <s v="P010"/>
    <x v="8"/>
    <x v="0"/>
    <n v="3"/>
    <n v="89.99"/>
    <x v="3"/>
    <x v="2"/>
    <x v="1"/>
    <d v="2022-11-13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583D01-C92C-4D2F-8447-ACDA454F9D6F}"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C42" firstHeaderRow="0" firstDataRow="1" firstDataCol="1"/>
  <pivotFields count="14">
    <pivotField showAll="0"/>
    <pivotField numFmtId="14" showAll="0"/>
    <pivotField showAll="0"/>
    <pivotField showAll="0"/>
    <pivotField showAll="0"/>
    <pivotField axis="axisRow" showAll="0">
      <items count="11">
        <item x="1"/>
        <item x="2"/>
        <item x="7"/>
        <item x="6"/>
        <item x="3"/>
        <item x="8"/>
        <item x="4"/>
        <item x="0"/>
        <item x="9"/>
        <item x="5"/>
        <item t="default"/>
      </items>
    </pivotField>
    <pivotField showAll="0"/>
    <pivotField dataField="1" showAll="0"/>
    <pivotField showAll="0"/>
    <pivotField showAll="0"/>
    <pivotField showAll="0"/>
    <pivotField showAll="0"/>
    <pivotField numFmtId="14" showAll="0"/>
    <pivotField dataField="1" showAll="0"/>
  </pivotFields>
  <rowFields count="1">
    <field x="5"/>
  </rowFields>
  <rowItems count="11">
    <i>
      <x/>
    </i>
    <i>
      <x v="1"/>
    </i>
    <i>
      <x v="2"/>
    </i>
    <i>
      <x v="3"/>
    </i>
    <i>
      <x v="4"/>
    </i>
    <i>
      <x v="5"/>
    </i>
    <i>
      <x v="6"/>
    </i>
    <i>
      <x v="7"/>
    </i>
    <i>
      <x v="8"/>
    </i>
    <i>
      <x v="9"/>
    </i>
    <i t="grand">
      <x/>
    </i>
  </rowItems>
  <colFields count="1">
    <field x="-2"/>
  </colFields>
  <colItems count="2">
    <i>
      <x/>
    </i>
    <i i="1">
      <x v="1"/>
    </i>
  </colItems>
  <dataFields count="2">
    <dataField name="Sum of Quantity" fld="7" baseField="0" baseItem="0"/>
    <dataField name="Sum of Total_Amount"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1F751C-A2BC-447A-B931-0FC8618D5DDC}"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F27" firstHeaderRow="1" firstDataRow="2" firstDataCol="1"/>
  <pivotFields count="14">
    <pivotField showAll="0"/>
    <pivotField numFmtId="14" showAll="0"/>
    <pivotField showAll="0"/>
    <pivotField showAll="0"/>
    <pivotField showAll="0"/>
    <pivotField showAll="0"/>
    <pivotField showAll="0"/>
    <pivotField showAll="0"/>
    <pivotField showAll="0"/>
    <pivotField axis="axisCol" showAll="0">
      <items count="5">
        <item x="0"/>
        <item x="1"/>
        <item x="3"/>
        <item x="2"/>
        <item t="default"/>
      </items>
    </pivotField>
    <pivotField showAll="0"/>
    <pivotField axis="axisRow" showAll="0">
      <items count="4">
        <item x="0"/>
        <item x="1"/>
        <item x="2"/>
        <item t="default"/>
      </items>
    </pivotField>
    <pivotField numFmtId="14" showAll="0"/>
    <pivotField dataField="1" showAll="0"/>
  </pivotFields>
  <rowFields count="1">
    <field x="11"/>
  </rowFields>
  <rowItems count="4">
    <i>
      <x/>
    </i>
    <i>
      <x v="1"/>
    </i>
    <i>
      <x v="2"/>
    </i>
    <i t="grand">
      <x/>
    </i>
  </rowItems>
  <colFields count="1">
    <field x="9"/>
  </colFields>
  <colItems count="5">
    <i>
      <x/>
    </i>
    <i>
      <x v="1"/>
    </i>
    <i>
      <x v="2"/>
    </i>
    <i>
      <x v="3"/>
    </i>
    <i t="grand">
      <x/>
    </i>
  </colItems>
  <dataFields count="1">
    <dataField name="Sum of Total_Amount" fld="13" baseField="0" baseItem="0"/>
  </dataFields>
  <formats count="5">
    <format dxfId="4">
      <pivotArea outline="0" collapsedLevelsAreSubtotals="1" fieldPosition="0">
        <references count="1">
          <reference field="9" count="1" selected="0">
            <x v="3"/>
          </reference>
        </references>
      </pivotArea>
    </format>
    <format dxfId="3">
      <pivotArea grandCol="1" outline="0" collapsedLevelsAreSubtotals="1" fieldPosition="0"/>
    </format>
    <format dxfId="2">
      <pivotArea type="topRight" dataOnly="0" labelOnly="1" outline="0" offset="C1:D1" fieldPosition="0"/>
    </format>
    <format dxfId="1">
      <pivotArea dataOnly="0" labelOnly="1" fieldPosition="0">
        <references count="1">
          <reference field="9" count="1">
            <x v="3"/>
          </reference>
        </references>
      </pivotArea>
    </format>
    <format dxfId="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4DB059A-7EA6-4768-848B-AEEF72A5B9ED}"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C18" firstHeaderRow="0" firstDataRow="1" firstDataCol="1"/>
  <pivotFields count="14">
    <pivotField showAll="0"/>
    <pivotField numFmtId="14" showAll="0"/>
    <pivotField showAll="0"/>
    <pivotField showAll="0"/>
    <pivotField showAll="0"/>
    <pivotField showAll="0"/>
    <pivotField axis="axisRow" showAll="0">
      <items count="4">
        <item x="1"/>
        <item x="0"/>
        <item x="2"/>
        <item t="default"/>
      </items>
    </pivotField>
    <pivotField dataField="1" showAll="0"/>
    <pivotField showAll="0"/>
    <pivotField showAll="0"/>
    <pivotField showAll="0"/>
    <pivotField showAll="0"/>
    <pivotField numFmtId="14" showAll="0"/>
    <pivotField dataField="1" showAll="0"/>
  </pivotFields>
  <rowFields count="1">
    <field x="6"/>
  </rowFields>
  <rowItems count="4">
    <i>
      <x/>
    </i>
    <i>
      <x v="1"/>
    </i>
    <i>
      <x v="2"/>
    </i>
    <i t="grand">
      <x/>
    </i>
  </rowItems>
  <colFields count="1">
    <field x="-2"/>
  </colFields>
  <colItems count="2">
    <i>
      <x/>
    </i>
    <i i="1">
      <x v="1"/>
    </i>
  </colItems>
  <dataFields count="2">
    <dataField name="Sum of Total_Amount" fld="13" baseField="0" baseItem="0"/>
    <dataField name="Sum of Quantity" fld="7" baseField="0" baseItem="0"/>
  </dataFields>
  <chartFormats count="8">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6" count="1" selected="0">
            <x v="0"/>
          </reference>
        </references>
      </pivotArea>
    </chartFormat>
    <chartFormat chart="2" format="12">
      <pivotArea type="data" outline="0" fieldPosition="0">
        <references count="2">
          <reference field="4294967294" count="1" selected="0">
            <x v="0"/>
          </reference>
          <reference field="6" count="1" selected="0">
            <x v="1"/>
          </reference>
        </references>
      </pivotArea>
    </chartFormat>
    <chartFormat chart="2" format="13">
      <pivotArea type="data" outline="0" fieldPosition="0">
        <references count="2">
          <reference field="4294967294" count="1" selected="0">
            <x v="0"/>
          </reference>
          <reference field="6"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6" count="1" selected="0">
            <x v="0"/>
          </reference>
        </references>
      </pivotArea>
    </chartFormat>
    <chartFormat chart="2" format="16">
      <pivotArea type="data" outline="0" fieldPosition="0">
        <references count="2">
          <reference field="4294967294" count="1" selected="0">
            <x v="1"/>
          </reference>
          <reference field="6" count="1" selected="0">
            <x v="1"/>
          </reference>
        </references>
      </pivotArea>
    </chartFormat>
    <chartFormat chart="2" format="17">
      <pivotArea type="data" outline="0" fieldPosition="0">
        <references count="2">
          <reference field="4294967294"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195381-54C7-4F83-BDB3-B5C2F2A61251}" name="PivotTable1" cacheId="11"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3">
  <location ref="A3:B9" firstHeaderRow="1" firstDataRow="1" firstDataCol="1"/>
  <pivotFields count="14">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pivotField showAll="0"/>
    <pivotField showAll="0"/>
    <pivotField showAll="0"/>
    <pivotField axis="axisRow" showAll="0">
      <items count="6">
        <item x="0"/>
        <item x="4"/>
        <item x="2"/>
        <item x="1"/>
        <item x="3"/>
        <item t="default"/>
      </items>
    </pivotField>
    <pivotField showAll="0"/>
    <pivotField numFmtId="14" showAll="0"/>
    <pivotField dataField="1" showAll="0"/>
  </pivotFields>
  <rowFields count="1">
    <field x="10"/>
  </rowFields>
  <rowItems count="6">
    <i>
      <x/>
    </i>
    <i>
      <x v="1"/>
    </i>
    <i>
      <x v="2"/>
    </i>
    <i>
      <x v="3"/>
    </i>
    <i>
      <x v="4"/>
    </i>
    <i t="grand">
      <x/>
    </i>
  </rowItems>
  <colItems count="1">
    <i/>
  </colItems>
  <dataFields count="1">
    <dataField name="Sum of Total_Amount" fld="13" baseField="0" baseItem="0"/>
  </dataFields>
  <formats count="4">
    <format dxfId="8">
      <pivotArea collapsedLevelsAreSubtotals="1" fieldPosition="0">
        <references count="1">
          <reference field="10" count="3">
            <x v="0"/>
            <x v="1"/>
            <x v="2"/>
          </reference>
        </references>
      </pivotArea>
    </format>
    <format dxfId="7">
      <pivotArea collapsedLevelsAreSubtotals="1" fieldPosition="0">
        <references count="1">
          <reference field="10" count="3">
            <x v="0"/>
            <x v="1"/>
            <x v="2"/>
          </reference>
        </references>
      </pivotArea>
    </format>
    <format dxfId="6">
      <pivotArea outline="0" collapsedLevelsAreSubtotals="1" fieldPosition="0"/>
    </format>
    <format dxfId="5">
      <pivotArea dataOnly="0" labelOnly="1" outline="0" axis="axisValues" fieldPosition="0"/>
    </format>
  </formats>
  <chartFormats count="3">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7AF8DC-2F52-4392-9F7B-3F2D226C83D4}" sourceName="Region">
  <pivotTables>
    <pivotTable tabId="4" name="PivotTable1"/>
  </pivotTables>
  <data>
    <tabular pivotCacheId="1537544711">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EAD02EB-585F-4DF7-92B6-F36CD3D587D7}" cache="Slicer_Region" caption="Region" columnCount="3"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8B9AAB-A3E2-4FEE-86E2-CE336099502E}" name="Table1" displayName="Table1" ref="A1:N251" totalsRowShown="0" headerRowDxfId="27" dataDxfId="25" headerRowBorderDxfId="26" tableBorderDxfId="24" totalsRowBorderDxfId="23">
  <autoFilter ref="A1:N251" xr:uid="{038B9AAB-A3E2-4FEE-86E2-CE336099502E}"/>
  <tableColumns count="14">
    <tableColumn id="1" xr3:uid="{5C3814D7-3EDF-47C9-A92E-AE727D24E987}" name="Transaction_ID" dataDxfId="22"/>
    <tableColumn id="2" xr3:uid="{08E98131-39D2-4874-8190-6A5A5C6D2717}" name="Date" dataDxfId="21"/>
    <tableColumn id="3" xr3:uid="{80323593-B8C4-45BD-9AF1-CE041BDB4AF5}" name="Customer_ID" dataDxfId="20"/>
    <tableColumn id="4" xr3:uid="{A3B30B25-399E-49A6-91E4-DD80E4ED80B6}" name="Customer_Name" dataDxfId="19"/>
    <tableColumn id="5" xr3:uid="{45827924-3ABD-4286-8A74-43FE500F04AF}" name="Product_ID" dataDxfId="18"/>
    <tableColumn id="6" xr3:uid="{BD2E0FBC-A166-4979-BAA6-3A4D468C477D}" name="Product_Name" dataDxfId="17"/>
    <tableColumn id="7" xr3:uid="{F5458F0E-91DA-4D7A-8E15-4DAACA529830}" name="Category" dataDxfId="16"/>
    <tableColumn id="8" xr3:uid="{C54CBFEA-8377-4478-A487-B5C9EB71A394}" name="Quantity" dataDxfId="15"/>
    <tableColumn id="9" xr3:uid="{D76FD7C9-60E2-4E5A-87E2-3210C7D3A3A4}" name="Unit_Price" dataDxfId="14"/>
    <tableColumn id="10" xr3:uid="{78138542-F194-4140-A470-29CE072193A7}" name="Payment_Method" dataDxfId="13"/>
    <tableColumn id="11" xr3:uid="{5F7166CE-C32A-4B62-8A5F-6317A2C9D0B8}" name="Region" dataDxfId="12"/>
    <tableColumn id="12" xr3:uid="{4CCF902A-275F-4C83-A1E7-92D8A993D2DE}" name="Customer_Segment" dataDxfId="11"/>
    <tableColumn id="13" xr3:uid="{D5CA929C-7946-4B20-9F80-4FAA9239EC91}" name="Customer_Since" dataDxfId="10"/>
    <tableColumn id="14" xr3:uid="{B843E77D-E7C6-4724-9E78-35B585DD1D64}" name="Total_Amount" dataDxfId="9"/>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0DCD253-828B-4C40-A52B-1026BF4F3135}" sourceName="Date">
  <pivotTables>
    <pivotTable tabId="4" name="PivotTable1"/>
  </pivotTables>
  <state minimalRefreshVersion="6" lastRefreshVersion="6" pivotCacheId="153754471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63A0B92-2E17-4896-B0C5-771D2F76C9F4}" cache="NativeTimeline_Date" caption="Date" level="2" selectionLevel="2" scrollPosition="2025-05-20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11/relationships/timeline" Target="../timelines/timelin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15801-6FDE-495F-92C6-136E40E8043C}">
  <dimension ref="A1:N251"/>
  <sheetViews>
    <sheetView tabSelected="1" topLeftCell="C1" workbookViewId="0">
      <selection activeCell="D5" sqref="D5"/>
    </sheetView>
  </sheetViews>
  <sheetFormatPr defaultRowHeight="14.4" x14ac:dyDescent="0.3"/>
  <cols>
    <col min="1" max="1" width="18.21875" customWidth="1"/>
    <col min="2" max="2" width="11.44140625" customWidth="1"/>
    <col min="3" max="3" width="16.77734375" customWidth="1"/>
    <col min="4" max="4" width="19.33203125" customWidth="1"/>
    <col min="5" max="5" width="15.21875" customWidth="1"/>
    <col min="6" max="6" width="17.6640625" customWidth="1"/>
    <col min="7" max="7" width="14.6640625" customWidth="1"/>
    <col min="8" max="8" width="12.6640625" customWidth="1"/>
    <col min="9" max="9" width="14.88671875" customWidth="1"/>
    <col min="10" max="10" width="21.33203125" customWidth="1"/>
    <col min="11" max="11" width="12.44140625" customWidth="1"/>
    <col min="12" max="12" width="22.109375" customWidth="1"/>
    <col min="13" max="13" width="20.33203125" customWidth="1"/>
    <col min="14" max="14" width="17.109375" customWidth="1"/>
  </cols>
  <sheetData>
    <row r="1" spans="1:14" x14ac:dyDescent="0.3">
      <c r="A1" s="1" t="s">
        <v>0</v>
      </c>
      <c r="B1" s="2" t="s">
        <v>1</v>
      </c>
      <c r="C1" s="2" t="s">
        <v>2</v>
      </c>
      <c r="D1" s="2" t="s">
        <v>3</v>
      </c>
      <c r="E1" s="2" t="s">
        <v>4</v>
      </c>
      <c r="F1" s="2" t="s">
        <v>5</v>
      </c>
      <c r="G1" s="2" t="s">
        <v>6</v>
      </c>
      <c r="H1" s="2" t="s">
        <v>7</v>
      </c>
      <c r="I1" s="2" t="s">
        <v>8</v>
      </c>
      <c r="J1" s="2" t="s">
        <v>9</v>
      </c>
      <c r="K1" s="2" t="s">
        <v>10</v>
      </c>
      <c r="L1" s="2" t="s">
        <v>11</v>
      </c>
      <c r="M1" s="2" t="s">
        <v>12</v>
      </c>
      <c r="N1" s="3" t="s">
        <v>13</v>
      </c>
    </row>
    <row r="2" spans="1:14" x14ac:dyDescent="0.3">
      <c r="A2" s="4" t="s">
        <v>14</v>
      </c>
      <c r="B2" s="5">
        <v>45393</v>
      </c>
      <c r="C2" s="6" t="s">
        <v>15</v>
      </c>
      <c r="D2" s="6" t="s">
        <v>16</v>
      </c>
      <c r="E2" s="6" t="s">
        <v>17</v>
      </c>
      <c r="F2" s="6" t="s">
        <v>18</v>
      </c>
      <c r="G2" s="6" t="s">
        <v>19</v>
      </c>
      <c r="H2" s="6">
        <v>3</v>
      </c>
      <c r="I2" s="6">
        <v>249.99</v>
      </c>
      <c r="J2" s="6" t="s">
        <v>20</v>
      </c>
      <c r="K2" s="6" t="s">
        <v>21</v>
      </c>
      <c r="L2" s="6" t="s">
        <v>22</v>
      </c>
      <c r="M2" s="5">
        <v>44425</v>
      </c>
      <c r="N2" s="7">
        <v>749.97</v>
      </c>
    </row>
    <row r="3" spans="1:14" x14ac:dyDescent="0.3">
      <c r="A3" s="4" t="s">
        <v>23</v>
      </c>
      <c r="B3" s="5">
        <v>45396</v>
      </c>
      <c r="C3" s="6" t="s">
        <v>24</v>
      </c>
      <c r="D3" s="6" t="s">
        <v>25</v>
      </c>
      <c r="E3" s="6" t="s">
        <v>17</v>
      </c>
      <c r="F3" s="6" t="s">
        <v>18</v>
      </c>
      <c r="G3" s="6" t="s">
        <v>19</v>
      </c>
      <c r="H3" s="6">
        <v>3</v>
      </c>
      <c r="I3" s="6">
        <v>249.99</v>
      </c>
      <c r="J3" s="6" t="s">
        <v>26</v>
      </c>
      <c r="K3" s="6" t="s">
        <v>21</v>
      </c>
      <c r="L3" s="6" t="s">
        <v>27</v>
      </c>
      <c r="M3" s="5">
        <v>44575</v>
      </c>
      <c r="N3" s="7">
        <v>749.97</v>
      </c>
    </row>
    <row r="4" spans="1:14" x14ac:dyDescent="0.3">
      <c r="A4" s="4" t="s">
        <v>28</v>
      </c>
      <c r="B4" s="5">
        <v>45399</v>
      </c>
      <c r="C4" s="6" t="s">
        <v>29</v>
      </c>
      <c r="D4" s="6" t="s">
        <v>30</v>
      </c>
      <c r="E4" s="6" t="s">
        <v>31</v>
      </c>
      <c r="F4" s="6" t="s">
        <v>32</v>
      </c>
      <c r="G4" s="6" t="s">
        <v>33</v>
      </c>
      <c r="H4" s="6">
        <v>3</v>
      </c>
      <c r="I4" s="6">
        <v>59.99</v>
      </c>
      <c r="J4" s="6" t="s">
        <v>34</v>
      </c>
      <c r="K4" s="6" t="s">
        <v>35</v>
      </c>
      <c r="L4" s="6" t="s">
        <v>36</v>
      </c>
      <c r="M4" s="5">
        <v>45262</v>
      </c>
      <c r="N4" s="7">
        <v>179.97</v>
      </c>
    </row>
    <row r="5" spans="1:14" x14ac:dyDescent="0.3">
      <c r="A5" s="4" t="s">
        <v>37</v>
      </c>
      <c r="B5" s="5">
        <v>45400</v>
      </c>
      <c r="C5" s="6" t="s">
        <v>38</v>
      </c>
      <c r="D5" s="6" t="s">
        <v>39</v>
      </c>
      <c r="E5" s="6" t="s">
        <v>31</v>
      </c>
      <c r="F5" s="6" t="s">
        <v>32</v>
      </c>
      <c r="G5" s="6" t="s">
        <v>33</v>
      </c>
      <c r="H5" s="6">
        <v>3</v>
      </c>
      <c r="I5" s="6">
        <v>59.99</v>
      </c>
      <c r="J5" s="6" t="s">
        <v>20</v>
      </c>
      <c r="K5" s="6" t="s">
        <v>40</v>
      </c>
      <c r="L5" s="6" t="s">
        <v>27</v>
      </c>
      <c r="M5" s="5">
        <v>45114</v>
      </c>
      <c r="N5" s="7">
        <v>179.97</v>
      </c>
    </row>
    <row r="6" spans="1:14" x14ac:dyDescent="0.3">
      <c r="A6" s="4" t="s">
        <v>41</v>
      </c>
      <c r="B6" s="5">
        <v>45400</v>
      </c>
      <c r="C6" s="6" t="s">
        <v>42</v>
      </c>
      <c r="D6" s="6" t="s">
        <v>43</v>
      </c>
      <c r="E6" s="6" t="s">
        <v>44</v>
      </c>
      <c r="F6" s="6" t="s">
        <v>45</v>
      </c>
      <c r="G6" s="6" t="s">
        <v>46</v>
      </c>
      <c r="H6" s="6">
        <v>5</v>
      </c>
      <c r="I6" s="6">
        <v>149.99</v>
      </c>
      <c r="J6" s="6" t="s">
        <v>26</v>
      </c>
      <c r="K6" s="6" t="s">
        <v>40</v>
      </c>
      <c r="L6" s="6" t="s">
        <v>27</v>
      </c>
      <c r="M6" s="5">
        <v>45295</v>
      </c>
      <c r="N6" s="7">
        <v>749.95</v>
      </c>
    </row>
    <row r="7" spans="1:14" x14ac:dyDescent="0.3">
      <c r="A7" s="4" t="s">
        <v>47</v>
      </c>
      <c r="B7" s="5">
        <v>45403</v>
      </c>
      <c r="C7" s="6" t="s">
        <v>48</v>
      </c>
      <c r="D7" s="6" t="s">
        <v>49</v>
      </c>
      <c r="E7" s="6" t="s">
        <v>31</v>
      </c>
      <c r="F7" s="6" t="s">
        <v>32</v>
      </c>
      <c r="G7" s="6" t="s">
        <v>33</v>
      </c>
      <c r="H7" s="6">
        <v>2</v>
      </c>
      <c r="I7" s="6">
        <v>59.99</v>
      </c>
      <c r="J7" s="6" t="s">
        <v>20</v>
      </c>
      <c r="K7" s="6" t="s">
        <v>50</v>
      </c>
      <c r="L7" s="6" t="s">
        <v>36</v>
      </c>
      <c r="M7" s="5">
        <v>44746</v>
      </c>
      <c r="N7" s="7">
        <v>119.98</v>
      </c>
    </row>
    <row r="8" spans="1:14" x14ac:dyDescent="0.3">
      <c r="A8" s="4" t="s">
        <v>51</v>
      </c>
      <c r="B8" s="5">
        <v>45403</v>
      </c>
      <c r="C8" s="6" t="s">
        <v>48</v>
      </c>
      <c r="D8" s="6" t="s">
        <v>49</v>
      </c>
      <c r="E8" s="6" t="s">
        <v>52</v>
      </c>
      <c r="F8" s="6" t="s">
        <v>53</v>
      </c>
      <c r="G8" s="6" t="s">
        <v>19</v>
      </c>
      <c r="H8" s="6">
        <v>5</v>
      </c>
      <c r="I8" s="6">
        <v>149.99</v>
      </c>
      <c r="J8" s="6" t="s">
        <v>26</v>
      </c>
      <c r="K8" s="6" t="s">
        <v>21</v>
      </c>
      <c r="L8" s="6" t="s">
        <v>36</v>
      </c>
      <c r="M8" s="5">
        <v>44418</v>
      </c>
      <c r="N8" s="7">
        <v>749.95</v>
      </c>
    </row>
    <row r="9" spans="1:14" x14ac:dyDescent="0.3">
      <c r="A9" s="4" t="s">
        <v>54</v>
      </c>
      <c r="B9" s="5">
        <v>45403</v>
      </c>
      <c r="C9" s="6" t="s">
        <v>55</v>
      </c>
      <c r="D9" s="6" t="s">
        <v>56</v>
      </c>
      <c r="E9" s="6" t="s">
        <v>31</v>
      </c>
      <c r="F9" s="6" t="s">
        <v>32</v>
      </c>
      <c r="G9" s="6" t="s">
        <v>33</v>
      </c>
      <c r="H9" s="6">
        <v>3</v>
      </c>
      <c r="I9" s="6">
        <v>59.99</v>
      </c>
      <c r="J9" s="6" t="s">
        <v>57</v>
      </c>
      <c r="K9" s="6" t="s">
        <v>35</v>
      </c>
      <c r="L9" s="6" t="s">
        <v>22</v>
      </c>
      <c r="M9" s="5">
        <v>45007</v>
      </c>
      <c r="N9" s="7">
        <v>179.97</v>
      </c>
    </row>
    <row r="10" spans="1:14" x14ac:dyDescent="0.3">
      <c r="A10" s="4" t="s">
        <v>58</v>
      </c>
      <c r="B10" s="5">
        <v>45405</v>
      </c>
      <c r="C10" s="6" t="s">
        <v>59</v>
      </c>
      <c r="D10" s="6" t="s">
        <v>60</v>
      </c>
      <c r="E10" s="6" t="s">
        <v>61</v>
      </c>
      <c r="F10" s="6" t="s">
        <v>62</v>
      </c>
      <c r="G10" s="6" t="s">
        <v>19</v>
      </c>
      <c r="H10" s="6">
        <v>3</v>
      </c>
      <c r="I10" s="6">
        <v>899.99</v>
      </c>
      <c r="J10" s="6" t="s">
        <v>34</v>
      </c>
      <c r="K10" s="6" t="s">
        <v>63</v>
      </c>
      <c r="L10" s="6" t="s">
        <v>36</v>
      </c>
      <c r="M10" s="5">
        <v>45299</v>
      </c>
      <c r="N10" s="7">
        <v>2699.97</v>
      </c>
    </row>
    <row r="11" spans="1:14" x14ac:dyDescent="0.3">
      <c r="A11" s="4" t="s">
        <v>64</v>
      </c>
      <c r="B11" s="5">
        <v>45408</v>
      </c>
      <c r="C11" s="6" t="s">
        <v>65</v>
      </c>
      <c r="D11" s="6" t="s">
        <v>66</v>
      </c>
      <c r="E11" s="6" t="s">
        <v>31</v>
      </c>
      <c r="F11" s="6" t="s">
        <v>32</v>
      </c>
      <c r="G11" s="6" t="s">
        <v>33</v>
      </c>
      <c r="H11" s="6">
        <v>3</v>
      </c>
      <c r="I11" s="6">
        <v>59.99</v>
      </c>
      <c r="J11" s="6" t="s">
        <v>20</v>
      </c>
      <c r="K11" s="6" t="s">
        <v>50</v>
      </c>
      <c r="L11" s="6" t="s">
        <v>27</v>
      </c>
      <c r="M11" s="5">
        <v>45207</v>
      </c>
      <c r="N11" s="7">
        <v>179.97</v>
      </c>
    </row>
    <row r="12" spans="1:14" x14ac:dyDescent="0.3">
      <c r="A12" s="4" t="s">
        <v>67</v>
      </c>
      <c r="B12" s="5">
        <v>45408</v>
      </c>
      <c r="C12" s="6" t="s">
        <v>68</v>
      </c>
      <c r="D12" s="6" t="s">
        <v>69</v>
      </c>
      <c r="E12" s="6" t="s">
        <v>44</v>
      </c>
      <c r="F12" s="6" t="s">
        <v>45</v>
      </c>
      <c r="G12" s="6" t="s">
        <v>46</v>
      </c>
      <c r="H12" s="6">
        <v>1</v>
      </c>
      <c r="I12" s="6">
        <v>149.99</v>
      </c>
      <c r="J12" s="6" t="s">
        <v>26</v>
      </c>
      <c r="K12" s="6" t="s">
        <v>50</v>
      </c>
      <c r="L12" s="6" t="s">
        <v>36</v>
      </c>
      <c r="M12" s="5">
        <v>45103</v>
      </c>
      <c r="N12" s="7">
        <v>149.99</v>
      </c>
    </row>
    <row r="13" spans="1:14" x14ac:dyDescent="0.3">
      <c r="A13" s="4" t="s">
        <v>70</v>
      </c>
      <c r="B13" s="5">
        <v>45408</v>
      </c>
      <c r="C13" s="6" t="s">
        <v>38</v>
      </c>
      <c r="D13" s="6" t="s">
        <v>39</v>
      </c>
      <c r="E13" s="6" t="s">
        <v>44</v>
      </c>
      <c r="F13" s="6" t="s">
        <v>45</v>
      </c>
      <c r="G13" s="6" t="s">
        <v>46</v>
      </c>
      <c r="H13" s="6">
        <v>5</v>
      </c>
      <c r="I13" s="6">
        <v>149.99</v>
      </c>
      <c r="J13" s="6" t="s">
        <v>57</v>
      </c>
      <c r="K13" s="6" t="s">
        <v>40</v>
      </c>
      <c r="L13" s="6" t="s">
        <v>22</v>
      </c>
      <c r="M13" s="5">
        <v>44830</v>
      </c>
      <c r="N13" s="7">
        <v>749.95</v>
      </c>
    </row>
    <row r="14" spans="1:14" x14ac:dyDescent="0.3">
      <c r="A14" s="4" t="s">
        <v>71</v>
      </c>
      <c r="B14" s="5">
        <v>45408</v>
      </c>
      <c r="C14" s="6" t="s">
        <v>72</v>
      </c>
      <c r="D14" s="6" t="s">
        <v>73</v>
      </c>
      <c r="E14" s="6" t="s">
        <v>44</v>
      </c>
      <c r="F14" s="6" t="s">
        <v>45</v>
      </c>
      <c r="G14" s="6" t="s">
        <v>46</v>
      </c>
      <c r="H14" s="6">
        <v>3</v>
      </c>
      <c r="I14" s="6">
        <v>149.99</v>
      </c>
      <c r="J14" s="6" t="s">
        <v>20</v>
      </c>
      <c r="K14" s="6" t="s">
        <v>40</v>
      </c>
      <c r="L14" s="6" t="s">
        <v>27</v>
      </c>
      <c r="M14" s="5">
        <v>44806</v>
      </c>
      <c r="N14" s="7">
        <v>449.97</v>
      </c>
    </row>
    <row r="15" spans="1:14" x14ac:dyDescent="0.3">
      <c r="A15" s="4" t="s">
        <v>74</v>
      </c>
      <c r="B15" s="5">
        <v>45409</v>
      </c>
      <c r="C15" s="6" t="s">
        <v>75</v>
      </c>
      <c r="D15" s="6" t="s">
        <v>76</v>
      </c>
      <c r="E15" s="6" t="s">
        <v>31</v>
      </c>
      <c r="F15" s="6" t="s">
        <v>32</v>
      </c>
      <c r="G15" s="6" t="s">
        <v>33</v>
      </c>
      <c r="H15" s="6">
        <v>3</v>
      </c>
      <c r="I15" s="6">
        <v>59.99</v>
      </c>
      <c r="J15" s="6" t="s">
        <v>26</v>
      </c>
      <c r="K15" s="6" t="s">
        <v>40</v>
      </c>
      <c r="L15" s="6" t="s">
        <v>36</v>
      </c>
      <c r="M15" s="5">
        <v>45351</v>
      </c>
      <c r="N15" s="7">
        <v>179.97</v>
      </c>
    </row>
    <row r="16" spans="1:14" x14ac:dyDescent="0.3">
      <c r="A16" s="4" t="s">
        <v>77</v>
      </c>
      <c r="B16" s="5">
        <v>45409</v>
      </c>
      <c r="C16" s="6" t="s">
        <v>78</v>
      </c>
      <c r="D16" s="6" t="s">
        <v>79</v>
      </c>
      <c r="E16" s="6" t="s">
        <v>80</v>
      </c>
      <c r="F16" s="6" t="s">
        <v>81</v>
      </c>
      <c r="G16" s="6" t="s">
        <v>19</v>
      </c>
      <c r="H16" s="6">
        <v>3</v>
      </c>
      <c r="I16" s="6">
        <v>699.99</v>
      </c>
      <c r="J16" s="6" t="s">
        <v>26</v>
      </c>
      <c r="K16" s="6" t="s">
        <v>50</v>
      </c>
      <c r="L16" s="6" t="s">
        <v>22</v>
      </c>
      <c r="M16" s="5">
        <v>44577</v>
      </c>
      <c r="N16" s="7">
        <v>2099.9699999999998</v>
      </c>
    </row>
    <row r="17" spans="1:14" x14ac:dyDescent="0.3">
      <c r="A17" s="4" t="s">
        <v>82</v>
      </c>
      <c r="B17" s="5">
        <v>45409</v>
      </c>
      <c r="C17" s="6" t="s">
        <v>83</v>
      </c>
      <c r="D17" s="6" t="s">
        <v>84</v>
      </c>
      <c r="E17" s="6" t="s">
        <v>61</v>
      </c>
      <c r="F17" s="6" t="s">
        <v>62</v>
      </c>
      <c r="G17" s="6" t="s">
        <v>19</v>
      </c>
      <c r="H17" s="6">
        <v>1</v>
      </c>
      <c r="I17" s="6">
        <v>899.99</v>
      </c>
      <c r="J17" s="6" t="s">
        <v>57</v>
      </c>
      <c r="K17" s="6" t="s">
        <v>40</v>
      </c>
      <c r="L17" s="6" t="s">
        <v>36</v>
      </c>
      <c r="M17" s="5">
        <v>44920</v>
      </c>
      <c r="N17" s="7">
        <v>899.99</v>
      </c>
    </row>
    <row r="18" spans="1:14" x14ac:dyDescent="0.3">
      <c r="A18" s="4" t="s">
        <v>85</v>
      </c>
      <c r="B18" s="5">
        <v>45410</v>
      </c>
      <c r="C18" s="6" t="s">
        <v>86</v>
      </c>
      <c r="D18" s="6" t="s">
        <v>87</v>
      </c>
      <c r="E18" s="6" t="s">
        <v>44</v>
      </c>
      <c r="F18" s="6" t="s">
        <v>45</v>
      </c>
      <c r="G18" s="6" t="s">
        <v>46</v>
      </c>
      <c r="H18" s="6">
        <v>4</v>
      </c>
      <c r="I18" s="6">
        <v>149.99</v>
      </c>
      <c r="J18" s="6" t="s">
        <v>57</v>
      </c>
      <c r="K18" s="6" t="s">
        <v>40</v>
      </c>
      <c r="L18" s="6" t="s">
        <v>27</v>
      </c>
      <c r="M18" s="5">
        <v>45374</v>
      </c>
      <c r="N18" s="7">
        <v>599.96</v>
      </c>
    </row>
    <row r="19" spans="1:14" x14ac:dyDescent="0.3">
      <c r="A19" s="4" t="s">
        <v>88</v>
      </c>
      <c r="B19" s="5">
        <v>45410</v>
      </c>
      <c r="C19" s="6" t="s">
        <v>89</v>
      </c>
      <c r="D19" s="6" t="s">
        <v>90</v>
      </c>
      <c r="E19" s="6" t="s">
        <v>80</v>
      </c>
      <c r="F19" s="6" t="s">
        <v>81</v>
      </c>
      <c r="G19" s="6" t="s">
        <v>19</v>
      </c>
      <c r="H19" s="6">
        <v>2</v>
      </c>
      <c r="I19" s="6">
        <v>699.99</v>
      </c>
      <c r="J19" s="6" t="s">
        <v>20</v>
      </c>
      <c r="K19" s="6" t="s">
        <v>40</v>
      </c>
      <c r="L19" s="6" t="s">
        <v>22</v>
      </c>
      <c r="M19" s="5">
        <v>44781</v>
      </c>
      <c r="N19" s="7">
        <v>1399.98</v>
      </c>
    </row>
    <row r="20" spans="1:14" x14ac:dyDescent="0.3">
      <c r="A20" s="4" t="s">
        <v>91</v>
      </c>
      <c r="B20" s="5">
        <v>45410</v>
      </c>
      <c r="C20" s="6" t="s">
        <v>86</v>
      </c>
      <c r="D20" s="6" t="s">
        <v>87</v>
      </c>
      <c r="E20" s="6" t="s">
        <v>61</v>
      </c>
      <c r="F20" s="6" t="s">
        <v>62</v>
      </c>
      <c r="G20" s="6" t="s">
        <v>19</v>
      </c>
      <c r="H20" s="6">
        <v>4</v>
      </c>
      <c r="I20" s="6">
        <v>899.99</v>
      </c>
      <c r="J20" s="6" t="s">
        <v>26</v>
      </c>
      <c r="K20" s="6" t="s">
        <v>50</v>
      </c>
      <c r="L20" s="6" t="s">
        <v>36</v>
      </c>
      <c r="M20" s="5">
        <v>45327</v>
      </c>
      <c r="N20" s="7">
        <v>3599.96</v>
      </c>
    </row>
    <row r="21" spans="1:14" x14ac:dyDescent="0.3">
      <c r="A21" s="4" t="s">
        <v>92</v>
      </c>
      <c r="B21" s="5">
        <v>45410</v>
      </c>
      <c r="C21" s="6" t="s">
        <v>93</v>
      </c>
      <c r="D21" s="6" t="s">
        <v>94</v>
      </c>
      <c r="E21" s="6" t="s">
        <v>17</v>
      </c>
      <c r="F21" s="6" t="s">
        <v>18</v>
      </c>
      <c r="G21" s="6" t="s">
        <v>19</v>
      </c>
      <c r="H21" s="6">
        <v>3</v>
      </c>
      <c r="I21" s="6">
        <v>249.99</v>
      </c>
      <c r="J21" s="6" t="s">
        <v>26</v>
      </c>
      <c r="K21" s="6" t="s">
        <v>40</v>
      </c>
      <c r="L21" s="6" t="s">
        <v>27</v>
      </c>
      <c r="M21" s="5">
        <v>45224</v>
      </c>
      <c r="N21" s="7">
        <v>749.97</v>
      </c>
    </row>
    <row r="22" spans="1:14" x14ac:dyDescent="0.3">
      <c r="A22" s="4" t="s">
        <v>95</v>
      </c>
      <c r="B22" s="5">
        <v>45412</v>
      </c>
      <c r="C22" s="6" t="s">
        <v>96</v>
      </c>
      <c r="D22" s="6" t="s">
        <v>97</v>
      </c>
      <c r="E22" s="6" t="s">
        <v>80</v>
      </c>
      <c r="F22" s="6" t="s">
        <v>81</v>
      </c>
      <c r="G22" s="6" t="s">
        <v>19</v>
      </c>
      <c r="H22" s="6">
        <v>5</v>
      </c>
      <c r="I22" s="6">
        <v>699.99</v>
      </c>
      <c r="J22" s="6" t="s">
        <v>20</v>
      </c>
      <c r="K22" s="6" t="s">
        <v>50</v>
      </c>
      <c r="L22" s="6" t="s">
        <v>22</v>
      </c>
      <c r="M22" s="5">
        <v>45167</v>
      </c>
      <c r="N22" s="7">
        <v>3499.95</v>
      </c>
    </row>
    <row r="23" spans="1:14" x14ac:dyDescent="0.3">
      <c r="A23" s="4" t="s">
        <v>98</v>
      </c>
      <c r="B23" s="5">
        <v>45413</v>
      </c>
      <c r="C23" s="6" t="s">
        <v>99</v>
      </c>
      <c r="D23" s="6" t="s">
        <v>100</v>
      </c>
      <c r="E23" s="6" t="s">
        <v>80</v>
      </c>
      <c r="F23" s="6" t="s">
        <v>81</v>
      </c>
      <c r="G23" s="6" t="s">
        <v>19</v>
      </c>
      <c r="H23" s="6">
        <v>4</v>
      </c>
      <c r="I23" s="6">
        <v>699.99</v>
      </c>
      <c r="J23" s="6" t="s">
        <v>20</v>
      </c>
      <c r="K23" s="6" t="s">
        <v>63</v>
      </c>
      <c r="L23" s="6" t="s">
        <v>36</v>
      </c>
      <c r="M23" s="5">
        <v>44409</v>
      </c>
      <c r="N23" s="7">
        <v>2799.96</v>
      </c>
    </row>
    <row r="24" spans="1:14" x14ac:dyDescent="0.3">
      <c r="A24" s="4" t="s">
        <v>101</v>
      </c>
      <c r="B24" s="5">
        <v>45415</v>
      </c>
      <c r="C24" s="6" t="s">
        <v>102</v>
      </c>
      <c r="D24" s="6" t="s">
        <v>103</v>
      </c>
      <c r="E24" s="6" t="s">
        <v>17</v>
      </c>
      <c r="F24" s="6" t="s">
        <v>18</v>
      </c>
      <c r="G24" s="6" t="s">
        <v>19</v>
      </c>
      <c r="H24" s="6">
        <v>4</v>
      </c>
      <c r="I24" s="6">
        <v>249.99</v>
      </c>
      <c r="J24" s="6" t="s">
        <v>34</v>
      </c>
      <c r="K24" s="6" t="s">
        <v>40</v>
      </c>
      <c r="L24" s="6" t="s">
        <v>36</v>
      </c>
      <c r="M24" s="5">
        <v>44468</v>
      </c>
      <c r="N24" s="7">
        <v>999.96</v>
      </c>
    </row>
    <row r="25" spans="1:14" x14ac:dyDescent="0.3">
      <c r="A25" s="4" t="s">
        <v>104</v>
      </c>
      <c r="B25" s="5">
        <v>45416</v>
      </c>
      <c r="C25" s="6" t="s">
        <v>86</v>
      </c>
      <c r="D25" s="6" t="s">
        <v>87</v>
      </c>
      <c r="E25" s="6" t="s">
        <v>105</v>
      </c>
      <c r="F25" s="6" t="s">
        <v>106</v>
      </c>
      <c r="G25" s="6" t="s">
        <v>46</v>
      </c>
      <c r="H25" s="6">
        <v>4</v>
      </c>
      <c r="I25" s="6">
        <v>299.99</v>
      </c>
      <c r="J25" s="6" t="s">
        <v>20</v>
      </c>
      <c r="K25" s="6" t="s">
        <v>50</v>
      </c>
      <c r="L25" s="6" t="s">
        <v>27</v>
      </c>
      <c r="M25" s="5">
        <v>44716</v>
      </c>
      <c r="N25" s="7">
        <v>1199.96</v>
      </c>
    </row>
    <row r="26" spans="1:14" x14ac:dyDescent="0.3">
      <c r="A26" s="4" t="s">
        <v>107</v>
      </c>
      <c r="B26" s="5">
        <v>45422</v>
      </c>
      <c r="C26" s="6" t="s">
        <v>108</v>
      </c>
      <c r="D26" s="6" t="s">
        <v>109</v>
      </c>
      <c r="E26" s="6" t="s">
        <v>17</v>
      </c>
      <c r="F26" s="6" t="s">
        <v>18</v>
      </c>
      <c r="G26" s="6" t="s">
        <v>19</v>
      </c>
      <c r="H26" s="6">
        <v>5</v>
      </c>
      <c r="I26" s="6">
        <v>249.99</v>
      </c>
      <c r="J26" s="6" t="s">
        <v>26</v>
      </c>
      <c r="K26" s="6" t="s">
        <v>50</v>
      </c>
      <c r="L26" s="6" t="s">
        <v>36</v>
      </c>
      <c r="M26" s="5">
        <v>44525</v>
      </c>
      <c r="N26" s="7">
        <v>1249.95</v>
      </c>
    </row>
    <row r="27" spans="1:14" x14ac:dyDescent="0.3">
      <c r="A27" s="4" t="s">
        <v>110</v>
      </c>
      <c r="B27" s="5">
        <v>45424</v>
      </c>
      <c r="C27" s="6" t="s">
        <v>68</v>
      </c>
      <c r="D27" s="6" t="s">
        <v>69</v>
      </c>
      <c r="E27" s="6" t="s">
        <v>105</v>
      </c>
      <c r="F27" s="6" t="s">
        <v>106</v>
      </c>
      <c r="G27" s="6" t="s">
        <v>46</v>
      </c>
      <c r="H27" s="6">
        <v>5</v>
      </c>
      <c r="I27" s="6">
        <v>299.99</v>
      </c>
      <c r="J27" s="6" t="s">
        <v>34</v>
      </c>
      <c r="K27" s="6" t="s">
        <v>63</v>
      </c>
      <c r="L27" s="6" t="s">
        <v>22</v>
      </c>
      <c r="M27" s="5">
        <v>45168</v>
      </c>
      <c r="N27" s="7">
        <v>1499.95</v>
      </c>
    </row>
    <row r="28" spans="1:14" x14ac:dyDescent="0.3">
      <c r="A28" s="4" t="s">
        <v>111</v>
      </c>
      <c r="B28" s="5">
        <v>45424</v>
      </c>
      <c r="C28" s="6" t="s">
        <v>112</v>
      </c>
      <c r="D28" s="6" t="s">
        <v>113</v>
      </c>
      <c r="E28" s="6" t="s">
        <v>114</v>
      </c>
      <c r="F28" s="6" t="s">
        <v>115</v>
      </c>
      <c r="G28" s="6" t="s">
        <v>33</v>
      </c>
      <c r="H28" s="6">
        <v>3</v>
      </c>
      <c r="I28" s="6">
        <v>79.989999999999995</v>
      </c>
      <c r="J28" s="6" t="s">
        <v>34</v>
      </c>
      <c r="K28" s="6" t="s">
        <v>63</v>
      </c>
      <c r="L28" s="6" t="s">
        <v>27</v>
      </c>
      <c r="M28" s="5">
        <v>45012</v>
      </c>
      <c r="N28" s="7">
        <v>239.97</v>
      </c>
    </row>
    <row r="29" spans="1:14" x14ac:dyDescent="0.3">
      <c r="A29" s="4" t="s">
        <v>116</v>
      </c>
      <c r="B29" s="5">
        <v>45424</v>
      </c>
      <c r="C29" s="6" t="s">
        <v>99</v>
      </c>
      <c r="D29" s="6" t="s">
        <v>100</v>
      </c>
      <c r="E29" s="6" t="s">
        <v>117</v>
      </c>
      <c r="F29" s="6" t="s">
        <v>118</v>
      </c>
      <c r="G29" s="6" t="s">
        <v>19</v>
      </c>
      <c r="H29" s="6">
        <v>5</v>
      </c>
      <c r="I29" s="6">
        <v>89.99</v>
      </c>
      <c r="J29" s="6" t="s">
        <v>20</v>
      </c>
      <c r="K29" s="6" t="s">
        <v>40</v>
      </c>
      <c r="L29" s="6" t="s">
        <v>27</v>
      </c>
      <c r="M29" s="5">
        <v>44919</v>
      </c>
      <c r="N29" s="7">
        <v>449.95</v>
      </c>
    </row>
    <row r="30" spans="1:14" x14ac:dyDescent="0.3">
      <c r="A30" s="4" t="s">
        <v>119</v>
      </c>
      <c r="B30" s="5">
        <v>45425</v>
      </c>
      <c r="C30" s="6" t="s">
        <v>120</v>
      </c>
      <c r="D30" s="6" t="s">
        <v>121</v>
      </c>
      <c r="E30" s="6" t="s">
        <v>31</v>
      </c>
      <c r="F30" s="6" t="s">
        <v>32</v>
      </c>
      <c r="G30" s="6" t="s">
        <v>33</v>
      </c>
      <c r="H30" s="6">
        <v>2</v>
      </c>
      <c r="I30" s="6">
        <v>59.99</v>
      </c>
      <c r="J30" s="6" t="s">
        <v>57</v>
      </c>
      <c r="K30" s="6" t="s">
        <v>21</v>
      </c>
      <c r="L30" s="6" t="s">
        <v>36</v>
      </c>
      <c r="M30" s="5">
        <v>45214</v>
      </c>
      <c r="N30" s="7">
        <v>119.98</v>
      </c>
    </row>
    <row r="31" spans="1:14" x14ac:dyDescent="0.3">
      <c r="A31" s="4" t="s">
        <v>122</v>
      </c>
      <c r="B31" s="5">
        <v>45427</v>
      </c>
      <c r="C31" s="6" t="s">
        <v>123</v>
      </c>
      <c r="D31" s="6" t="s">
        <v>124</v>
      </c>
      <c r="E31" s="6" t="s">
        <v>31</v>
      </c>
      <c r="F31" s="6" t="s">
        <v>32</v>
      </c>
      <c r="G31" s="6" t="s">
        <v>33</v>
      </c>
      <c r="H31" s="6">
        <v>4</v>
      </c>
      <c r="I31" s="6">
        <v>59.99</v>
      </c>
      <c r="J31" s="6" t="s">
        <v>57</v>
      </c>
      <c r="K31" s="6" t="s">
        <v>63</v>
      </c>
      <c r="L31" s="6" t="s">
        <v>36</v>
      </c>
      <c r="M31" s="5">
        <v>44867</v>
      </c>
      <c r="N31" s="7">
        <v>239.96</v>
      </c>
    </row>
    <row r="32" spans="1:14" x14ac:dyDescent="0.3">
      <c r="A32" s="4" t="s">
        <v>125</v>
      </c>
      <c r="B32" s="5">
        <v>45427</v>
      </c>
      <c r="C32" s="6" t="s">
        <v>55</v>
      </c>
      <c r="D32" s="6" t="s">
        <v>56</v>
      </c>
      <c r="E32" s="6" t="s">
        <v>126</v>
      </c>
      <c r="F32" s="6" t="s">
        <v>127</v>
      </c>
      <c r="G32" s="6" t="s">
        <v>46</v>
      </c>
      <c r="H32" s="6">
        <v>5</v>
      </c>
      <c r="I32" s="6">
        <v>199.99</v>
      </c>
      <c r="J32" s="6" t="s">
        <v>20</v>
      </c>
      <c r="K32" s="6" t="s">
        <v>35</v>
      </c>
      <c r="L32" s="6" t="s">
        <v>36</v>
      </c>
      <c r="M32" s="5">
        <v>44412</v>
      </c>
      <c r="N32" s="7">
        <v>999.95</v>
      </c>
    </row>
    <row r="33" spans="1:14" x14ac:dyDescent="0.3">
      <c r="A33" s="4" t="s">
        <v>128</v>
      </c>
      <c r="B33" s="5">
        <v>45428</v>
      </c>
      <c r="C33" s="6" t="s">
        <v>129</v>
      </c>
      <c r="D33" s="6" t="s">
        <v>130</v>
      </c>
      <c r="E33" s="6" t="s">
        <v>44</v>
      </c>
      <c r="F33" s="6" t="s">
        <v>45</v>
      </c>
      <c r="G33" s="6" t="s">
        <v>46</v>
      </c>
      <c r="H33" s="6">
        <v>2</v>
      </c>
      <c r="I33" s="6">
        <v>149.99</v>
      </c>
      <c r="J33" s="6" t="s">
        <v>26</v>
      </c>
      <c r="K33" s="6" t="s">
        <v>50</v>
      </c>
      <c r="L33" s="6" t="s">
        <v>22</v>
      </c>
      <c r="M33" s="5">
        <v>44823</v>
      </c>
      <c r="N33" s="7">
        <v>299.98</v>
      </c>
    </row>
    <row r="34" spans="1:14" x14ac:dyDescent="0.3">
      <c r="A34" s="4" t="s">
        <v>131</v>
      </c>
      <c r="B34" s="5">
        <v>45430</v>
      </c>
      <c r="C34" s="6" t="s">
        <v>132</v>
      </c>
      <c r="D34" s="6" t="s">
        <v>133</v>
      </c>
      <c r="E34" s="6" t="s">
        <v>44</v>
      </c>
      <c r="F34" s="6" t="s">
        <v>45</v>
      </c>
      <c r="G34" s="6" t="s">
        <v>46</v>
      </c>
      <c r="H34" s="6">
        <v>3</v>
      </c>
      <c r="I34" s="6">
        <v>149.99</v>
      </c>
      <c r="J34" s="6" t="s">
        <v>26</v>
      </c>
      <c r="K34" s="6" t="s">
        <v>50</v>
      </c>
      <c r="L34" s="6" t="s">
        <v>27</v>
      </c>
      <c r="M34" s="5">
        <v>45068</v>
      </c>
      <c r="N34" s="7">
        <v>449.97</v>
      </c>
    </row>
    <row r="35" spans="1:14" x14ac:dyDescent="0.3">
      <c r="A35" s="4" t="s">
        <v>134</v>
      </c>
      <c r="B35" s="5">
        <v>45432</v>
      </c>
      <c r="C35" s="6" t="s">
        <v>29</v>
      </c>
      <c r="D35" s="6" t="s">
        <v>30</v>
      </c>
      <c r="E35" s="6" t="s">
        <v>61</v>
      </c>
      <c r="F35" s="6" t="s">
        <v>62</v>
      </c>
      <c r="G35" s="6" t="s">
        <v>19</v>
      </c>
      <c r="H35" s="6">
        <v>1</v>
      </c>
      <c r="I35" s="6">
        <v>899.99</v>
      </c>
      <c r="J35" s="6" t="s">
        <v>26</v>
      </c>
      <c r="K35" s="6" t="s">
        <v>50</v>
      </c>
      <c r="L35" s="6" t="s">
        <v>27</v>
      </c>
      <c r="M35" s="5">
        <v>44578</v>
      </c>
      <c r="N35" s="7">
        <v>899.99</v>
      </c>
    </row>
    <row r="36" spans="1:14" x14ac:dyDescent="0.3">
      <c r="A36" s="4" t="s">
        <v>135</v>
      </c>
      <c r="B36" s="5">
        <v>45434</v>
      </c>
      <c r="C36" s="6" t="s">
        <v>99</v>
      </c>
      <c r="D36" s="6" t="s">
        <v>100</v>
      </c>
      <c r="E36" s="6" t="s">
        <v>105</v>
      </c>
      <c r="F36" s="6" t="s">
        <v>106</v>
      </c>
      <c r="G36" s="6" t="s">
        <v>46</v>
      </c>
      <c r="H36" s="6">
        <v>3</v>
      </c>
      <c r="I36" s="6">
        <v>299.99</v>
      </c>
      <c r="J36" s="6" t="s">
        <v>26</v>
      </c>
      <c r="K36" s="6" t="s">
        <v>63</v>
      </c>
      <c r="L36" s="6" t="s">
        <v>22</v>
      </c>
      <c r="M36" s="5">
        <v>44824</v>
      </c>
      <c r="N36" s="7">
        <v>899.97</v>
      </c>
    </row>
    <row r="37" spans="1:14" x14ac:dyDescent="0.3">
      <c r="A37" s="4" t="s">
        <v>136</v>
      </c>
      <c r="B37" s="5">
        <v>45435</v>
      </c>
      <c r="C37" s="6" t="s">
        <v>129</v>
      </c>
      <c r="D37" s="6" t="s">
        <v>130</v>
      </c>
      <c r="E37" s="6" t="s">
        <v>114</v>
      </c>
      <c r="F37" s="6" t="s">
        <v>115</v>
      </c>
      <c r="G37" s="6" t="s">
        <v>33</v>
      </c>
      <c r="H37" s="6">
        <v>3</v>
      </c>
      <c r="I37" s="6">
        <v>79.989999999999995</v>
      </c>
      <c r="J37" s="6" t="s">
        <v>20</v>
      </c>
      <c r="K37" s="6" t="s">
        <v>35</v>
      </c>
      <c r="L37" s="6" t="s">
        <v>22</v>
      </c>
      <c r="M37" s="5">
        <v>45046</v>
      </c>
      <c r="N37" s="7">
        <v>239.97</v>
      </c>
    </row>
    <row r="38" spans="1:14" x14ac:dyDescent="0.3">
      <c r="A38" s="4" t="s">
        <v>137</v>
      </c>
      <c r="B38" s="5">
        <v>45438</v>
      </c>
      <c r="C38" s="6" t="s">
        <v>138</v>
      </c>
      <c r="D38" s="6" t="s">
        <v>139</v>
      </c>
      <c r="E38" s="6" t="s">
        <v>126</v>
      </c>
      <c r="F38" s="6" t="s">
        <v>127</v>
      </c>
      <c r="G38" s="6" t="s">
        <v>46</v>
      </c>
      <c r="H38" s="6">
        <v>3</v>
      </c>
      <c r="I38" s="6">
        <v>199.99</v>
      </c>
      <c r="J38" s="6" t="s">
        <v>26</v>
      </c>
      <c r="K38" s="6" t="s">
        <v>40</v>
      </c>
      <c r="L38" s="6" t="s">
        <v>27</v>
      </c>
      <c r="M38" s="5">
        <v>45292</v>
      </c>
      <c r="N38" s="7">
        <v>599.97</v>
      </c>
    </row>
    <row r="39" spans="1:14" x14ac:dyDescent="0.3">
      <c r="A39" s="4" t="s">
        <v>140</v>
      </c>
      <c r="B39" s="5">
        <v>45440</v>
      </c>
      <c r="C39" s="6" t="s">
        <v>141</v>
      </c>
      <c r="D39" s="6" t="s">
        <v>142</v>
      </c>
      <c r="E39" s="6" t="s">
        <v>80</v>
      </c>
      <c r="F39" s="6" t="s">
        <v>81</v>
      </c>
      <c r="G39" s="6" t="s">
        <v>19</v>
      </c>
      <c r="H39" s="6">
        <v>5</v>
      </c>
      <c r="I39" s="6">
        <v>699.99</v>
      </c>
      <c r="J39" s="6" t="s">
        <v>34</v>
      </c>
      <c r="K39" s="6" t="s">
        <v>50</v>
      </c>
      <c r="L39" s="6" t="s">
        <v>36</v>
      </c>
      <c r="M39" s="5">
        <v>44407</v>
      </c>
      <c r="N39" s="7">
        <v>3499.95</v>
      </c>
    </row>
    <row r="40" spans="1:14" x14ac:dyDescent="0.3">
      <c r="A40" s="4" t="s">
        <v>143</v>
      </c>
      <c r="B40" s="5">
        <v>45441</v>
      </c>
      <c r="C40" s="6" t="s">
        <v>144</v>
      </c>
      <c r="D40" s="6" t="s">
        <v>145</v>
      </c>
      <c r="E40" s="6" t="s">
        <v>117</v>
      </c>
      <c r="F40" s="6" t="s">
        <v>118</v>
      </c>
      <c r="G40" s="6" t="s">
        <v>19</v>
      </c>
      <c r="H40" s="6">
        <v>3</v>
      </c>
      <c r="I40" s="6">
        <v>89.99</v>
      </c>
      <c r="J40" s="6" t="s">
        <v>34</v>
      </c>
      <c r="K40" s="6" t="s">
        <v>21</v>
      </c>
      <c r="L40" s="6" t="s">
        <v>27</v>
      </c>
      <c r="M40" s="5">
        <v>45120</v>
      </c>
      <c r="N40" s="7">
        <v>269.97000000000003</v>
      </c>
    </row>
    <row r="41" spans="1:14" x14ac:dyDescent="0.3">
      <c r="A41" s="4" t="s">
        <v>146</v>
      </c>
      <c r="B41" s="5">
        <v>45443</v>
      </c>
      <c r="C41" s="6" t="s">
        <v>147</v>
      </c>
      <c r="D41" s="6" t="s">
        <v>148</v>
      </c>
      <c r="E41" s="6" t="s">
        <v>114</v>
      </c>
      <c r="F41" s="6" t="s">
        <v>115</v>
      </c>
      <c r="G41" s="6" t="s">
        <v>33</v>
      </c>
      <c r="H41" s="6">
        <v>1</v>
      </c>
      <c r="I41" s="6">
        <v>79.989999999999995</v>
      </c>
      <c r="J41" s="6" t="s">
        <v>20</v>
      </c>
      <c r="K41" s="6" t="s">
        <v>40</v>
      </c>
      <c r="L41" s="6" t="s">
        <v>36</v>
      </c>
      <c r="M41" s="5">
        <v>44917</v>
      </c>
      <c r="N41" s="7">
        <v>79.989999999999995</v>
      </c>
    </row>
    <row r="42" spans="1:14" x14ac:dyDescent="0.3">
      <c r="A42" s="4" t="s">
        <v>149</v>
      </c>
      <c r="B42" s="5">
        <v>45444</v>
      </c>
      <c r="C42" s="6" t="s">
        <v>150</v>
      </c>
      <c r="D42" s="6" t="s">
        <v>151</v>
      </c>
      <c r="E42" s="6" t="s">
        <v>31</v>
      </c>
      <c r="F42" s="6" t="s">
        <v>32</v>
      </c>
      <c r="G42" s="6" t="s">
        <v>33</v>
      </c>
      <c r="H42" s="6">
        <v>2</v>
      </c>
      <c r="I42" s="6">
        <v>59.99</v>
      </c>
      <c r="J42" s="6" t="s">
        <v>20</v>
      </c>
      <c r="K42" s="6" t="s">
        <v>50</v>
      </c>
      <c r="L42" s="6" t="s">
        <v>22</v>
      </c>
      <c r="M42" s="5">
        <v>45390</v>
      </c>
      <c r="N42" s="7">
        <v>119.98</v>
      </c>
    </row>
    <row r="43" spans="1:14" x14ac:dyDescent="0.3">
      <c r="A43" s="4" t="s">
        <v>152</v>
      </c>
      <c r="B43" s="5">
        <v>45444</v>
      </c>
      <c r="C43" s="6" t="s">
        <v>55</v>
      </c>
      <c r="D43" s="6" t="s">
        <v>56</v>
      </c>
      <c r="E43" s="6" t="s">
        <v>117</v>
      </c>
      <c r="F43" s="6" t="s">
        <v>118</v>
      </c>
      <c r="G43" s="6" t="s">
        <v>19</v>
      </c>
      <c r="H43" s="6">
        <v>1</v>
      </c>
      <c r="I43" s="6">
        <v>89.99</v>
      </c>
      <c r="J43" s="6" t="s">
        <v>20</v>
      </c>
      <c r="K43" s="6" t="s">
        <v>40</v>
      </c>
      <c r="L43" s="6" t="s">
        <v>22</v>
      </c>
      <c r="M43" s="5">
        <v>45141</v>
      </c>
      <c r="N43" s="7">
        <v>89.99</v>
      </c>
    </row>
    <row r="44" spans="1:14" x14ac:dyDescent="0.3">
      <c r="A44" s="4" t="s">
        <v>153</v>
      </c>
      <c r="B44" s="5">
        <v>45446</v>
      </c>
      <c r="C44" s="6" t="s">
        <v>154</v>
      </c>
      <c r="D44" s="6" t="s">
        <v>155</v>
      </c>
      <c r="E44" s="6" t="s">
        <v>117</v>
      </c>
      <c r="F44" s="6" t="s">
        <v>118</v>
      </c>
      <c r="G44" s="6" t="s">
        <v>19</v>
      </c>
      <c r="H44" s="6">
        <v>5</v>
      </c>
      <c r="I44" s="6">
        <v>89.99</v>
      </c>
      <c r="J44" s="6" t="s">
        <v>26</v>
      </c>
      <c r="K44" s="6" t="s">
        <v>63</v>
      </c>
      <c r="L44" s="6" t="s">
        <v>36</v>
      </c>
      <c r="M44" s="5">
        <v>44587</v>
      </c>
      <c r="N44" s="7">
        <v>449.95</v>
      </c>
    </row>
    <row r="45" spans="1:14" x14ac:dyDescent="0.3">
      <c r="A45" s="4" t="s">
        <v>156</v>
      </c>
      <c r="B45" s="5">
        <v>45449</v>
      </c>
      <c r="C45" s="6" t="s">
        <v>24</v>
      </c>
      <c r="D45" s="6" t="s">
        <v>25</v>
      </c>
      <c r="E45" s="6" t="s">
        <v>17</v>
      </c>
      <c r="F45" s="6" t="s">
        <v>18</v>
      </c>
      <c r="G45" s="6" t="s">
        <v>19</v>
      </c>
      <c r="H45" s="6">
        <v>5</v>
      </c>
      <c r="I45" s="6">
        <v>249.99</v>
      </c>
      <c r="J45" s="6" t="s">
        <v>26</v>
      </c>
      <c r="K45" s="6" t="s">
        <v>63</v>
      </c>
      <c r="L45" s="6" t="s">
        <v>36</v>
      </c>
      <c r="M45" s="5">
        <v>44707</v>
      </c>
      <c r="N45" s="7">
        <v>1249.95</v>
      </c>
    </row>
    <row r="46" spans="1:14" x14ac:dyDescent="0.3">
      <c r="A46" s="4" t="s">
        <v>157</v>
      </c>
      <c r="B46" s="5">
        <v>45449</v>
      </c>
      <c r="C46" s="6" t="s">
        <v>158</v>
      </c>
      <c r="D46" s="6" t="s">
        <v>159</v>
      </c>
      <c r="E46" s="6" t="s">
        <v>117</v>
      </c>
      <c r="F46" s="6" t="s">
        <v>118</v>
      </c>
      <c r="G46" s="6" t="s">
        <v>19</v>
      </c>
      <c r="H46" s="6">
        <v>1</v>
      </c>
      <c r="I46" s="6">
        <v>89.99</v>
      </c>
      <c r="J46" s="6" t="s">
        <v>26</v>
      </c>
      <c r="K46" s="6" t="s">
        <v>35</v>
      </c>
      <c r="L46" s="6" t="s">
        <v>36</v>
      </c>
      <c r="M46" s="5">
        <v>44582</v>
      </c>
      <c r="N46" s="7">
        <v>89.99</v>
      </c>
    </row>
    <row r="47" spans="1:14" x14ac:dyDescent="0.3">
      <c r="A47" s="4" t="s">
        <v>160</v>
      </c>
      <c r="B47" s="5">
        <v>45450</v>
      </c>
      <c r="C47" s="6" t="s">
        <v>42</v>
      </c>
      <c r="D47" s="6" t="s">
        <v>43</v>
      </c>
      <c r="E47" s="6" t="s">
        <v>44</v>
      </c>
      <c r="F47" s="6" t="s">
        <v>45</v>
      </c>
      <c r="G47" s="6" t="s">
        <v>46</v>
      </c>
      <c r="H47" s="6">
        <v>2</v>
      </c>
      <c r="I47" s="6">
        <v>149.99</v>
      </c>
      <c r="J47" s="6" t="s">
        <v>20</v>
      </c>
      <c r="K47" s="6" t="s">
        <v>63</v>
      </c>
      <c r="L47" s="6" t="s">
        <v>27</v>
      </c>
      <c r="M47" s="5">
        <v>44645</v>
      </c>
      <c r="N47" s="7">
        <v>299.98</v>
      </c>
    </row>
    <row r="48" spans="1:14" x14ac:dyDescent="0.3">
      <c r="A48" s="4" t="s">
        <v>161</v>
      </c>
      <c r="B48" s="5">
        <v>45452</v>
      </c>
      <c r="C48" s="6" t="s">
        <v>162</v>
      </c>
      <c r="D48" s="6" t="s">
        <v>163</v>
      </c>
      <c r="E48" s="6" t="s">
        <v>31</v>
      </c>
      <c r="F48" s="6" t="s">
        <v>32</v>
      </c>
      <c r="G48" s="6" t="s">
        <v>33</v>
      </c>
      <c r="H48" s="6">
        <v>4</v>
      </c>
      <c r="I48" s="6">
        <v>59.99</v>
      </c>
      <c r="J48" s="6" t="s">
        <v>20</v>
      </c>
      <c r="K48" s="6" t="s">
        <v>63</v>
      </c>
      <c r="L48" s="6" t="s">
        <v>36</v>
      </c>
      <c r="M48" s="5">
        <v>44435</v>
      </c>
      <c r="N48" s="7">
        <v>239.96</v>
      </c>
    </row>
    <row r="49" spans="1:14" x14ac:dyDescent="0.3">
      <c r="A49" s="4" t="s">
        <v>164</v>
      </c>
      <c r="B49" s="5">
        <v>45456</v>
      </c>
      <c r="C49" s="6" t="s">
        <v>129</v>
      </c>
      <c r="D49" s="6" t="s">
        <v>130</v>
      </c>
      <c r="E49" s="6" t="s">
        <v>117</v>
      </c>
      <c r="F49" s="6" t="s">
        <v>118</v>
      </c>
      <c r="G49" s="6" t="s">
        <v>19</v>
      </c>
      <c r="H49" s="6">
        <v>5</v>
      </c>
      <c r="I49" s="6">
        <v>89.99</v>
      </c>
      <c r="J49" s="6" t="s">
        <v>20</v>
      </c>
      <c r="K49" s="6" t="s">
        <v>21</v>
      </c>
      <c r="L49" s="6" t="s">
        <v>27</v>
      </c>
      <c r="M49" s="5">
        <v>44579</v>
      </c>
      <c r="N49" s="7">
        <v>449.95</v>
      </c>
    </row>
    <row r="50" spans="1:14" x14ac:dyDescent="0.3">
      <c r="A50" s="4" t="s">
        <v>165</v>
      </c>
      <c r="B50" s="5">
        <v>45459</v>
      </c>
      <c r="C50" s="6" t="s">
        <v>99</v>
      </c>
      <c r="D50" s="6" t="s">
        <v>100</v>
      </c>
      <c r="E50" s="6" t="s">
        <v>117</v>
      </c>
      <c r="F50" s="6" t="s">
        <v>118</v>
      </c>
      <c r="G50" s="6" t="s">
        <v>19</v>
      </c>
      <c r="H50" s="6">
        <v>2</v>
      </c>
      <c r="I50" s="6">
        <v>89.99</v>
      </c>
      <c r="J50" s="6" t="s">
        <v>26</v>
      </c>
      <c r="K50" s="6" t="s">
        <v>35</v>
      </c>
      <c r="L50" s="6" t="s">
        <v>27</v>
      </c>
      <c r="M50" s="5">
        <v>44471</v>
      </c>
      <c r="N50" s="7">
        <v>179.98</v>
      </c>
    </row>
    <row r="51" spans="1:14" x14ac:dyDescent="0.3">
      <c r="A51" s="4" t="s">
        <v>166</v>
      </c>
      <c r="B51" s="5">
        <v>45459</v>
      </c>
      <c r="C51" s="6" t="s">
        <v>15</v>
      </c>
      <c r="D51" s="6" t="s">
        <v>16</v>
      </c>
      <c r="E51" s="6" t="s">
        <v>61</v>
      </c>
      <c r="F51" s="6" t="s">
        <v>62</v>
      </c>
      <c r="G51" s="6" t="s">
        <v>19</v>
      </c>
      <c r="H51" s="6">
        <v>5</v>
      </c>
      <c r="I51" s="6">
        <v>899.99</v>
      </c>
      <c r="J51" s="6" t="s">
        <v>26</v>
      </c>
      <c r="K51" s="6" t="s">
        <v>35</v>
      </c>
      <c r="L51" s="6" t="s">
        <v>36</v>
      </c>
      <c r="M51" s="5">
        <v>44974</v>
      </c>
      <c r="N51" s="7">
        <v>4499.95</v>
      </c>
    </row>
    <row r="52" spans="1:14" x14ac:dyDescent="0.3">
      <c r="A52" s="4" t="s">
        <v>167</v>
      </c>
      <c r="B52" s="5">
        <v>45459</v>
      </c>
      <c r="C52" s="6" t="s">
        <v>123</v>
      </c>
      <c r="D52" s="6" t="s">
        <v>124</v>
      </c>
      <c r="E52" s="6" t="s">
        <v>61</v>
      </c>
      <c r="F52" s="6" t="s">
        <v>62</v>
      </c>
      <c r="G52" s="6" t="s">
        <v>19</v>
      </c>
      <c r="H52" s="6">
        <v>5</v>
      </c>
      <c r="I52" s="6">
        <v>899.99</v>
      </c>
      <c r="J52" s="6" t="s">
        <v>34</v>
      </c>
      <c r="K52" s="6" t="s">
        <v>63</v>
      </c>
      <c r="L52" s="6" t="s">
        <v>27</v>
      </c>
      <c r="M52" s="5">
        <v>45278</v>
      </c>
      <c r="N52" s="7">
        <v>4499.95</v>
      </c>
    </row>
    <row r="53" spans="1:14" x14ac:dyDescent="0.3">
      <c r="A53" s="4" t="s">
        <v>168</v>
      </c>
      <c r="B53" s="5">
        <v>45460</v>
      </c>
      <c r="C53" s="6" t="s">
        <v>158</v>
      </c>
      <c r="D53" s="6" t="s">
        <v>159</v>
      </c>
      <c r="E53" s="6" t="s">
        <v>31</v>
      </c>
      <c r="F53" s="6" t="s">
        <v>32</v>
      </c>
      <c r="G53" s="6" t="s">
        <v>33</v>
      </c>
      <c r="H53" s="6">
        <v>1</v>
      </c>
      <c r="I53" s="6">
        <v>59.99</v>
      </c>
      <c r="J53" s="6" t="s">
        <v>57</v>
      </c>
      <c r="K53" s="6" t="s">
        <v>50</v>
      </c>
      <c r="L53" s="6" t="s">
        <v>27</v>
      </c>
      <c r="M53" s="5">
        <v>45190</v>
      </c>
      <c r="N53" s="7">
        <v>59.99</v>
      </c>
    </row>
    <row r="54" spans="1:14" x14ac:dyDescent="0.3">
      <c r="A54" s="4" t="s">
        <v>169</v>
      </c>
      <c r="B54" s="5">
        <v>45460</v>
      </c>
      <c r="C54" s="6" t="s">
        <v>141</v>
      </c>
      <c r="D54" s="6" t="s">
        <v>142</v>
      </c>
      <c r="E54" s="6" t="s">
        <v>105</v>
      </c>
      <c r="F54" s="6" t="s">
        <v>106</v>
      </c>
      <c r="G54" s="6" t="s">
        <v>46</v>
      </c>
      <c r="H54" s="6">
        <v>2</v>
      </c>
      <c r="I54" s="6">
        <v>299.99</v>
      </c>
      <c r="J54" s="6" t="s">
        <v>57</v>
      </c>
      <c r="K54" s="6" t="s">
        <v>63</v>
      </c>
      <c r="L54" s="6" t="s">
        <v>36</v>
      </c>
      <c r="M54" s="5">
        <v>45253</v>
      </c>
      <c r="N54" s="7">
        <v>599.98</v>
      </c>
    </row>
    <row r="55" spans="1:14" x14ac:dyDescent="0.3">
      <c r="A55" s="4" t="s">
        <v>170</v>
      </c>
      <c r="B55" s="5">
        <v>45468</v>
      </c>
      <c r="C55" s="6" t="s">
        <v>171</v>
      </c>
      <c r="D55" s="6" t="s">
        <v>172</v>
      </c>
      <c r="E55" s="6" t="s">
        <v>117</v>
      </c>
      <c r="F55" s="6" t="s">
        <v>118</v>
      </c>
      <c r="G55" s="6" t="s">
        <v>19</v>
      </c>
      <c r="H55" s="6">
        <v>4</v>
      </c>
      <c r="I55" s="6">
        <v>89.99</v>
      </c>
      <c r="J55" s="6" t="s">
        <v>57</v>
      </c>
      <c r="K55" s="6" t="s">
        <v>35</v>
      </c>
      <c r="L55" s="6" t="s">
        <v>22</v>
      </c>
      <c r="M55" s="5">
        <v>45281</v>
      </c>
      <c r="N55" s="7">
        <v>359.96</v>
      </c>
    </row>
    <row r="56" spans="1:14" x14ac:dyDescent="0.3">
      <c r="A56" s="4" t="s">
        <v>173</v>
      </c>
      <c r="B56" s="5">
        <v>45469</v>
      </c>
      <c r="C56" s="6" t="s">
        <v>29</v>
      </c>
      <c r="D56" s="6" t="s">
        <v>30</v>
      </c>
      <c r="E56" s="6" t="s">
        <v>114</v>
      </c>
      <c r="F56" s="6" t="s">
        <v>115</v>
      </c>
      <c r="G56" s="6" t="s">
        <v>33</v>
      </c>
      <c r="H56" s="6">
        <v>1</v>
      </c>
      <c r="I56" s="6">
        <v>79.989999999999995</v>
      </c>
      <c r="J56" s="6" t="s">
        <v>34</v>
      </c>
      <c r="K56" s="6" t="s">
        <v>21</v>
      </c>
      <c r="L56" s="6" t="s">
        <v>27</v>
      </c>
      <c r="M56" s="5">
        <v>45352</v>
      </c>
      <c r="N56" s="7">
        <v>79.989999999999995</v>
      </c>
    </row>
    <row r="57" spans="1:14" x14ac:dyDescent="0.3">
      <c r="A57" s="4" t="s">
        <v>174</v>
      </c>
      <c r="B57" s="5">
        <v>45469</v>
      </c>
      <c r="C57" s="6" t="s">
        <v>59</v>
      </c>
      <c r="D57" s="6" t="s">
        <v>60</v>
      </c>
      <c r="E57" s="6" t="s">
        <v>117</v>
      </c>
      <c r="F57" s="6" t="s">
        <v>118</v>
      </c>
      <c r="G57" s="6" t="s">
        <v>19</v>
      </c>
      <c r="H57" s="6">
        <v>2</v>
      </c>
      <c r="I57" s="6">
        <v>89.99</v>
      </c>
      <c r="J57" s="6" t="s">
        <v>20</v>
      </c>
      <c r="K57" s="6" t="s">
        <v>50</v>
      </c>
      <c r="L57" s="6" t="s">
        <v>22</v>
      </c>
      <c r="M57" s="5">
        <v>44438</v>
      </c>
      <c r="N57" s="7">
        <v>179.98</v>
      </c>
    </row>
    <row r="58" spans="1:14" x14ac:dyDescent="0.3">
      <c r="A58" s="4" t="s">
        <v>175</v>
      </c>
      <c r="B58" s="5">
        <v>45471</v>
      </c>
      <c r="C58" s="6" t="s">
        <v>38</v>
      </c>
      <c r="D58" s="6" t="s">
        <v>39</v>
      </c>
      <c r="E58" s="6" t="s">
        <v>80</v>
      </c>
      <c r="F58" s="6" t="s">
        <v>81</v>
      </c>
      <c r="G58" s="6" t="s">
        <v>19</v>
      </c>
      <c r="H58" s="6">
        <v>3</v>
      </c>
      <c r="I58" s="6">
        <v>699.99</v>
      </c>
      <c r="J58" s="6" t="s">
        <v>26</v>
      </c>
      <c r="K58" s="6" t="s">
        <v>63</v>
      </c>
      <c r="L58" s="6" t="s">
        <v>27</v>
      </c>
      <c r="M58" s="5">
        <v>45102</v>
      </c>
      <c r="N58" s="7">
        <v>2099.9699999999998</v>
      </c>
    </row>
    <row r="59" spans="1:14" x14ac:dyDescent="0.3">
      <c r="A59" s="4" t="s">
        <v>176</v>
      </c>
      <c r="B59" s="5">
        <v>45471</v>
      </c>
      <c r="C59" s="6" t="s">
        <v>99</v>
      </c>
      <c r="D59" s="6" t="s">
        <v>100</v>
      </c>
      <c r="E59" s="6" t="s">
        <v>61</v>
      </c>
      <c r="F59" s="6" t="s">
        <v>62</v>
      </c>
      <c r="G59" s="6" t="s">
        <v>19</v>
      </c>
      <c r="H59" s="6">
        <v>4</v>
      </c>
      <c r="I59" s="6">
        <v>899.99</v>
      </c>
      <c r="J59" s="6" t="s">
        <v>26</v>
      </c>
      <c r="K59" s="6" t="s">
        <v>63</v>
      </c>
      <c r="L59" s="6" t="s">
        <v>27</v>
      </c>
      <c r="M59" s="5">
        <v>44993</v>
      </c>
      <c r="N59" s="7">
        <v>3599.96</v>
      </c>
    </row>
    <row r="60" spans="1:14" x14ac:dyDescent="0.3">
      <c r="A60" s="4" t="s">
        <v>177</v>
      </c>
      <c r="B60" s="5">
        <v>45472</v>
      </c>
      <c r="C60" s="6" t="s">
        <v>120</v>
      </c>
      <c r="D60" s="6" t="s">
        <v>121</v>
      </c>
      <c r="E60" s="6" t="s">
        <v>44</v>
      </c>
      <c r="F60" s="6" t="s">
        <v>45</v>
      </c>
      <c r="G60" s="6" t="s">
        <v>46</v>
      </c>
      <c r="H60" s="6">
        <v>1</v>
      </c>
      <c r="I60" s="6">
        <v>149.99</v>
      </c>
      <c r="J60" s="6" t="s">
        <v>34</v>
      </c>
      <c r="K60" s="6" t="s">
        <v>63</v>
      </c>
      <c r="L60" s="6" t="s">
        <v>22</v>
      </c>
      <c r="M60" s="5">
        <v>44851</v>
      </c>
      <c r="N60" s="7">
        <v>149.99</v>
      </c>
    </row>
    <row r="61" spans="1:14" x14ac:dyDescent="0.3">
      <c r="A61" s="4" t="s">
        <v>178</v>
      </c>
      <c r="B61" s="5">
        <v>45474</v>
      </c>
      <c r="C61" s="6" t="s">
        <v>132</v>
      </c>
      <c r="D61" s="6" t="s">
        <v>133</v>
      </c>
      <c r="E61" s="6" t="s">
        <v>117</v>
      </c>
      <c r="F61" s="6" t="s">
        <v>118</v>
      </c>
      <c r="G61" s="6" t="s">
        <v>19</v>
      </c>
      <c r="H61" s="6">
        <v>2</v>
      </c>
      <c r="I61" s="6">
        <v>89.99</v>
      </c>
      <c r="J61" s="6" t="s">
        <v>34</v>
      </c>
      <c r="K61" s="6" t="s">
        <v>21</v>
      </c>
      <c r="L61" s="6" t="s">
        <v>27</v>
      </c>
      <c r="M61" s="5">
        <v>45275</v>
      </c>
      <c r="N61" s="7">
        <v>179.98</v>
      </c>
    </row>
    <row r="62" spans="1:14" x14ac:dyDescent="0.3">
      <c r="A62" s="4" t="s">
        <v>179</v>
      </c>
      <c r="B62" s="5">
        <v>45475</v>
      </c>
      <c r="C62" s="6" t="s">
        <v>55</v>
      </c>
      <c r="D62" s="6" t="s">
        <v>56</v>
      </c>
      <c r="E62" s="6" t="s">
        <v>117</v>
      </c>
      <c r="F62" s="6" t="s">
        <v>118</v>
      </c>
      <c r="G62" s="6" t="s">
        <v>19</v>
      </c>
      <c r="H62" s="6">
        <v>1</v>
      </c>
      <c r="I62" s="6">
        <v>89.99</v>
      </c>
      <c r="J62" s="6" t="s">
        <v>34</v>
      </c>
      <c r="K62" s="6" t="s">
        <v>50</v>
      </c>
      <c r="L62" s="6" t="s">
        <v>36</v>
      </c>
      <c r="M62" s="5">
        <v>44802</v>
      </c>
      <c r="N62" s="7">
        <v>89.99</v>
      </c>
    </row>
    <row r="63" spans="1:14" x14ac:dyDescent="0.3">
      <c r="A63" s="4" t="s">
        <v>180</v>
      </c>
      <c r="B63" s="5">
        <v>45476</v>
      </c>
      <c r="C63" s="6" t="s">
        <v>68</v>
      </c>
      <c r="D63" s="6" t="s">
        <v>69</v>
      </c>
      <c r="E63" s="6" t="s">
        <v>117</v>
      </c>
      <c r="F63" s="6" t="s">
        <v>118</v>
      </c>
      <c r="G63" s="6" t="s">
        <v>19</v>
      </c>
      <c r="H63" s="6">
        <v>1</v>
      </c>
      <c r="I63" s="6">
        <v>89.99</v>
      </c>
      <c r="J63" s="6" t="s">
        <v>20</v>
      </c>
      <c r="K63" s="6" t="s">
        <v>35</v>
      </c>
      <c r="L63" s="6" t="s">
        <v>36</v>
      </c>
      <c r="M63" s="5">
        <v>44611</v>
      </c>
      <c r="N63" s="7">
        <v>89.99</v>
      </c>
    </row>
    <row r="64" spans="1:14" x14ac:dyDescent="0.3">
      <c r="A64" s="4" t="s">
        <v>181</v>
      </c>
      <c r="B64" s="5">
        <v>45476</v>
      </c>
      <c r="C64" s="6" t="s">
        <v>182</v>
      </c>
      <c r="D64" s="6" t="s">
        <v>183</v>
      </c>
      <c r="E64" s="6" t="s">
        <v>114</v>
      </c>
      <c r="F64" s="6" t="s">
        <v>115</v>
      </c>
      <c r="G64" s="6" t="s">
        <v>33</v>
      </c>
      <c r="H64" s="6">
        <v>5</v>
      </c>
      <c r="I64" s="6">
        <v>79.989999999999995</v>
      </c>
      <c r="J64" s="6" t="s">
        <v>57</v>
      </c>
      <c r="K64" s="6" t="s">
        <v>21</v>
      </c>
      <c r="L64" s="6" t="s">
        <v>22</v>
      </c>
      <c r="M64" s="5">
        <v>44981</v>
      </c>
      <c r="N64" s="7">
        <v>399.95</v>
      </c>
    </row>
    <row r="65" spans="1:14" x14ac:dyDescent="0.3">
      <c r="A65" s="4" t="s">
        <v>184</v>
      </c>
      <c r="B65" s="5">
        <v>45481</v>
      </c>
      <c r="C65" s="6" t="s">
        <v>185</v>
      </c>
      <c r="D65" s="6" t="s">
        <v>186</v>
      </c>
      <c r="E65" s="6" t="s">
        <v>44</v>
      </c>
      <c r="F65" s="6" t="s">
        <v>45</v>
      </c>
      <c r="G65" s="6" t="s">
        <v>46</v>
      </c>
      <c r="H65" s="6">
        <v>1</v>
      </c>
      <c r="I65" s="6">
        <v>149.99</v>
      </c>
      <c r="J65" s="6" t="s">
        <v>34</v>
      </c>
      <c r="K65" s="6" t="s">
        <v>40</v>
      </c>
      <c r="L65" s="6" t="s">
        <v>22</v>
      </c>
      <c r="M65" s="5">
        <v>44421</v>
      </c>
      <c r="N65" s="7">
        <v>149.99</v>
      </c>
    </row>
    <row r="66" spans="1:14" x14ac:dyDescent="0.3">
      <c r="A66" s="4" t="s">
        <v>187</v>
      </c>
      <c r="B66" s="5">
        <v>45481</v>
      </c>
      <c r="C66" s="6" t="s">
        <v>42</v>
      </c>
      <c r="D66" s="6" t="s">
        <v>43</v>
      </c>
      <c r="E66" s="6" t="s">
        <v>80</v>
      </c>
      <c r="F66" s="6" t="s">
        <v>81</v>
      </c>
      <c r="G66" s="6" t="s">
        <v>19</v>
      </c>
      <c r="H66" s="6">
        <v>2</v>
      </c>
      <c r="I66" s="6">
        <v>699.99</v>
      </c>
      <c r="J66" s="6" t="s">
        <v>34</v>
      </c>
      <c r="K66" s="6" t="s">
        <v>63</v>
      </c>
      <c r="L66" s="6" t="s">
        <v>27</v>
      </c>
      <c r="M66" s="5">
        <v>45389</v>
      </c>
      <c r="N66" s="7">
        <v>1399.98</v>
      </c>
    </row>
    <row r="67" spans="1:14" x14ac:dyDescent="0.3">
      <c r="A67" s="4" t="s">
        <v>188</v>
      </c>
      <c r="B67" s="5">
        <v>45481</v>
      </c>
      <c r="C67" s="6" t="s">
        <v>96</v>
      </c>
      <c r="D67" s="6" t="s">
        <v>97</v>
      </c>
      <c r="E67" s="6" t="s">
        <v>117</v>
      </c>
      <c r="F67" s="6" t="s">
        <v>118</v>
      </c>
      <c r="G67" s="6" t="s">
        <v>19</v>
      </c>
      <c r="H67" s="6">
        <v>5</v>
      </c>
      <c r="I67" s="6">
        <v>89.99</v>
      </c>
      <c r="J67" s="6" t="s">
        <v>57</v>
      </c>
      <c r="K67" s="6" t="s">
        <v>40</v>
      </c>
      <c r="L67" s="6" t="s">
        <v>27</v>
      </c>
      <c r="M67" s="5">
        <v>45161</v>
      </c>
      <c r="N67" s="7">
        <v>449.95</v>
      </c>
    </row>
    <row r="68" spans="1:14" x14ac:dyDescent="0.3">
      <c r="A68" s="4" t="s">
        <v>189</v>
      </c>
      <c r="B68" s="5">
        <v>45482</v>
      </c>
      <c r="C68" s="6" t="s">
        <v>171</v>
      </c>
      <c r="D68" s="6" t="s">
        <v>172</v>
      </c>
      <c r="E68" s="6" t="s">
        <v>31</v>
      </c>
      <c r="F68" s="6" t="s">
        <v>32</v>
      </c>
      <c r="G68" s="6" t="s">
        <v>33</v>
      </c>
      <c r="H68" s="6">
        <v>4</v>
      </c>
      <c r="I68" s="6">
        <v>59.99</v>
      </c>
      <c r="J68" s="6" t="s">
        <v>20</v>
      </c>
      <c r="K68" s="6" t="s">
        <v>35</v>
      </c>
      <c r="L68" s="6" t="s">
        <v>36</v>
      </c>
      <c r="M68" s="5">
        <v>44509</v>
      </c>
      <c r="N68" s="7">
        <v>239.96</v>
      </c>
    </row>
    <row r="69" spans="1:14" x14ac:dyDescent="0.3">
      <c r="A69" s="4" t="s">
        <v>190</v>
      </c>
      <c r="B69" s="5">
        <v>45484</v>
      </c>
      <c r="C69" s="6" t="s">
        <v>24</v>
      </c>
      <c r="D69" s="6" t="s">
        <v>25</v>
      </c>
      <c r="E69" s="6" t="s">
        <v>52</v>
      </c>
      <c r="F69" s="6" t="s">
        <v>53</v>
      </c>
      <c r="G69" s="6" t="s">
        <v>19</v>
      </c>
      <c r="H69" s="6">
        <v>1</v>
      </c>
      <c r="I69" s="6">
        <v>149.99</v>
      </c>
      <c r="J69" s="6" t="s">
        <v>20</v>
      </c>
      <c r="K69" s="6" t="s">
        <v>21</v>
      </c>
      <c r="L69" s="6" t="s">
        <v>36</v>
      </c>
      <c r="M69" s="5">
        <v>44909</v>
      </c>
      <c r="N69" s="7">
        <v>149.99</v>
      </c>
    </row>
    <row r="70" spans="1:14" x14ac:dyDescent="0.3">
      <c r="A70" s="4" t="s">
        <v>191</v>
      </c>
      <c r="B70" s="5">
        <v>45484</v>
      </c>
      <c r="C70" s="6" t="s">
        <v>192</v>
      </c>
      <c r="D70" s="6" t="s">
        <v>193</v>
      </c>
      <c r="E70" s="6" t="s">
        <v>105</v>
      </c>
      <c r="F70" s="6" t="s">
        <v>106</v>
      </c>
      <c r="G70" s="6" t="s">
        <v>46</v>
      </c>
      <c r="H70" s="6">
        <v>1</v>
      </c>
      <c r="I70" s="6">
        <v>299.99</v>
      </c>
      <c r="J70" s="6" t="s">
        <v>26</v>
      </c>
      <c r="K70" s="6" t="s">
        <v>40</v>
      </c>
      <c r="L70" s="6" t="s">
        <v>27</v>
      </c>
      <c r="M70" s="5">
        <v>44891</v>
      </c>
      <c r="N70" s="7">
        <v>299.99</v>
      </c>
    </row>
    <row r="71" spans="1:14" x14ac:dyDescent="0.3">
      <c r="A71" s="4" t="s">
        <v>194</v>
      </c>
      <c r="B71" s="5">
        <v>45487</v>
      </c>
      <c r="C71" s="6" t="s">
        <v>192</v>
      </c>
      <c r="D71" s="6" t="s">
        <v>193</v>
      </c>
      <c r="E71" s="6" t="s">
        <v>126</v>
      </c>
      <c r="F71" s="6" t="s">
        <v>127</v>
      </c>
      <c r="G71" s="6" t="s">
        <v>46</v>
      </c>
      <c r="H71" s="6">
        <v>2</v>
      </c>
      <c r="I71" s="6">
        <v>199.99</v>
      </c>
      <c r="J71" s="6" t="s">
        <v>20</v>
      </c>
      <c r="K71" s="6" t="s">
        <v>40</v>
      </c>
      <c r="L71" s="6" t="s">
        <v>22</v>
      </c>
      <c r="M71" s="5">
        <v>44541</v>
      </c>
      <c r="N71" s="7">
        <v>399.98</v>
      </c>
    </row>
    <row r="72" spans="1:14" x14ac:dyDescent="0.3">
      <c r="A72" s="4" t="s">
        <v>195</v>
      </c>
      <c r="B72" s="5">
        <v>45490</v>
      </c>
      <c r="C72" s="6" t="s">
        <v>196</v>
      </c>
      <c r="D72" s="6" t="s">
        <v>197</v>
      </c>
      <c r="E72" s="6" t="s">
        <v>31</v>
      </c>
      <c r="F72" s="6" t="s">
        <v>32</v>
      </c>
      <c r="G72" s="6" t="s">
        <v>33</v>
      </c>
      <c r="H72" s="6">
        <v>3</v>
      </c>
      <c r="I72" s="6">
        <v>59.99</v>
      </c>
      <c r="J72" s="6" t="s">
        <v>26</v>
      </c>
      <c r="K72" s="6" t="s">
        <v>50</v>
      </c>
      <c r="L72" s="6" t="s">
        <v>22</v>
      </c>
      <c r="M72" s="5">
        <v>45130</v>
      </c>
      <c r="N72" s="7">
        <v>179.97</v>
      </c>
    </row>
    <row r="73" spans="1:14" x14ac:dyDescent="0.3">
      <c r="A73" s="4" t="s">
        <v>198</v>
      </c>
      <c r="B73" s="5">
        <v>45490</v>
      </c>
      <c r="C73" s="6" t="s">
        <v>72</v>
      </c>
      <c r="D73" s="6" t="s">
        <v>73</v>
      </c>
      <c r="E73" s="6" t="s">
        <v>44</v>
      </c>
      <c r="F73" s="6" t="s">
        <v>45</v>
      </c>
      <c r="G73" s="6" t="s">
        <v>46</v>
      </c>
      <c r="H73" s="6">
        <v>3</v>
      </c>
      <c r="I73" s="6">
        <v>149.99</v>
      </c>
      <c r="J73" s="6" t="s">
        <v>20</v>
      </c>
      <c r="K73" s="6" t="s">
        <v>21</v>
      </c>
      <c r="L73" s="6" t="s">
        <v>27</v>
      </c>
      <c r="M73" s="5">
        <v>45199</v>
      </c>
      <c r="N73" s="7">
        <v>449.97</v>
      </c>
    </row>
    <row r="74" spans="1:14" x14ac:dyDescent="0.3">
      <c r="A74" s="4" t="s">
        <v>199</v>
      </c>
      <c r="B74" s="5">
        <v>45491</v>
      </c>
      <c r="C74" s="6" t="s">
        <v>65</v>
      </c>
      <c r="D74" s="6" t="s">
        <v>66</v>
      </c>
      <c r="E74" s="6" t="s">
        <v>126</v>
      </c>
      <c r="F74" s="6" t="s">
        <v>127</v>
      </c>
      <c r="G74" s="6" t="s">
        <v>46</v>
      </c>
      <c r="H74" s="6">
        <v>3</v>
      </c>
      <c r="I74" s="6">
        <v>199.99</v>
      </c>
      <c r="J74" s="6" t="s">
        <v>20</v>
      </c>
      <c r="K74" s="6" t="s">
        <v>40</v>
      </c>
      <c r="L74" s="6" t="s">
        <v>27</v>
      </c>
      <c r="M74" s="5">
        <v>45254</v>
      </c>
      <c r="N74" s="7">
        <v>599.97</v>
      </c>
    </row>
    <row r="75" spans="1:14" x14ac:dyDescent="0.3">
      <c r="A75" s="4" t="s">
        <v>200</v>
      </c>
      <c r="B75" s="5">
        <v>45496</v>
      </c>
      <c r="C75" s="6" t="s">
        <v>150</v>
      </c>
      <c r="D75" s="6" t="s">
        <v>151</v>
      </c>
      <c r="E75" s="6" t="s">
        <v>61</v>
      </c>
      <c r="F75" s="6" t="s">
        <v>62</v>
      </c>
      <c r="G75" s="6" t="s">
        <v>19</v>
      </c>
      <c r="H75" s="6">
        <v>1</v>
      </c>
      <c r="I75" s="6">
        <v>899.99</v>
      </c>
      <c r="J75" s="6" t="s">
        <v>20</v>
      </c>
      <c r="K75" s="6" t="s">
        <v>21</v>
      </c>
      <c r="L75" s="6" t="s">
        <v>36</v>
      </c>
      <c r="M75" s="5">
        <v>45179</v>
      </c>
      <c r="N75" s="7">
        <v>899.99</v>
      </c>
    </row>
    <row r="76" spans="1:14" x14ac:dyDescent="0.3">
      <c r="A76" s="4" t="s">
        <v>201</v>
      </c>
      <c r="B76" s="5">
        <v>45497</v>
      </c>
      <c r="C76" s="6" t="s">
        <v>24</v>
      </c>
      <c r="D76" s="6" t="s">
        <v>25</v>
      </c>
      <c r="E76" s="6" t="s">
        <v>61</v>
      </c>
      <c r="F76" s="6" t="s">
        <v>62</v>
      </c>
      <c r="G76" s="6" t="s">
        <v>19</v>
      </c>
      <c r="H76" s="6">
        <v>5</v>
      </c>
      <c r="I76" s="6">
        <v>899.99</v>
      </c>
      <c r="J76" s="6" t="s">
        <v>57</v>
      </c>
      <c r="K76" s="6" t="s">
        <v>35</v>
      </c>
      <c r="L76" s="6" t="s">
        <v>36</v>
      </c>
      <c r="M76" s="5">
        <v>44899</v>
      </c>
      <c r="N76" s="7">
        <v>4499.95</v>
      </c>
    </row>
    <row r="77" spans="1:14" x14ac:dyDescent="0.3">
      <c r="A77" s="4" t="s">
        <v>202</v>
      </c>
      <c r="B77" s="5">
        <v>45498</v>
      </c>
      <c r="C77" s="6" t="s">
        <v>182</v>
      </c>
      <c r="D77" s="6" t="s">
        <v>183</v>
      </c>
      <c r="E77" s="6" t="s">
        <v>31</v>
      </c>
      <c r="F77" s="6" t="s">
        <v>32</v>
      </c>
      <c r="G77" s="6" t="s">
        <v>33</v>
      </c>
      <c r="H77" s="6">
        <v>2</v>
      </c>
      <c r="I77" s="6">
        <v>59.99</v>
      </c>
      <c r="J77" s="6" t="s">
        <v>20</v>
      </c>
      <c r="K77" s="6" t="s">
        <v>40</v>
      </c>
      <c r="L77" s="6" t="s">
        <v>36</v>
      </c>
      <c r="M77" s="5">
        <v>45152</v>
      </c>
      <c r="N77" s="7">
        <v>119.98</v>
      </c>
    </row>
    <row r="78" spans="1:14" x14ac:dyDescent="0.3">
      <c r="A78" s="4" t="s">
        <v>203</v>
      </c>
      <c r="B78" s="5">
        <v>45498</v>
      </c>
      <c r="C78" s="6" t="s">
        <v>196</v>
      </c>
      <c r="D78" s="6" t="s">
        <v>197</v>
      </c>
      <c r="E78" s="6" t="s">
        <v>17</v>
      </c>
      <c r="F78" s="6" t="s">
        <v>18</v>
      </c>
      <c r="G78" s="6" t="s">
        <v>19</v>
      </c>
      <c r="H78" s="6">
        <v>4</v>
      </c>
      <c r="I78" s="6">
        <v>249.99</v>
      </c>
      <c r="J78" s="6" t="s">
        <v>57</v>
      </c>
      <c r="K78" s="6" t="s">
        <v>21</v>
      </c>
      <c r="L78" s="6" t="s">
        <v>36</v>
      </c>
      <c r="M78" s="5">
        <v>45127</v>
      </c>
      <c r="N78" s="7">
        <v>999.96</v>
      </c>
    </row>
    <row r="79" spans="1:14" x14ac:dyDescent="0.3">
      <c r="A79" s="4" t="s">
        <v>204</v>
      </c>
      <c r="B79" s="5">
        <v>45500</v>
      </c>
      <c r="C79" s="6" t="s">
        <v>96</v>
      </c>
      <c r="D79" s="6" t="s">
        <v>97</v>
      </c>
      <c r="E79" s="6" t="s">
        <v>17</v>
      </c>
      <c r="F79" s="6" t="s">
        <v>18</v>
      </c>
      <c r="G79" s="6" t="s">
        <v>19</v>
      </c>
      <c r="H79" s="6">
        <v>2</v>
      </c>
      <c r="I79" s="6">
        <v>249.99</v>
      </c>
      <c r="J79" s="6" t="s">
        <v>20</v>
      </c>
      <c r="K79" s="6" t="s">
        <v>40</v>
      </c>
      <c r="L79" s="6" t="s">
        <v>27</v>
      </c>
      <c r="M79" s="5">
        <v>45164</v>
      </c>
      <c r="N79" s="7">
        <v>499.98</v>
      </c>
    </row>
    <row r="80" spans="1:14" x14ac:dyDescent="0.3">
      <c r="A80" s="4" t="s">
        <v>205</v>
      </c>
      <c r="B80" s="5">
        <v>45500</v>
      </c>
      <c r="C80" s="6" t="s">
        <v>147</v>
      </c>
      <c r="D80" s="6" t="s">
        <v>148</v>
      </c>
      <c r="E80" s="6" t="s">
        <v>105</v>
      </c>
      <c r="F80" s="6" t="s">
        <v>106</v>
      </c>
      <c r="G80" s="6" t="s">
        <v>46</v>
      </c>
      <c r="H80" s="6">
        <v>1</v>
      </c>
      <c r="I80" s="6">
        <v>299.99</v>
      </c>
      <c r="J80" s="6" t="s">
        <v>20</v>
      </c>
      <c r="K80" s="6" t="s">
        <v>35</v>
      </c>
      <c r="L80" s="6" t="s">
        <v>22</v>
      </c>
      <c r="M80" s="5">
        <v>44982</v>
      </c>
      <c r="N80" s="7">
        <v>299.99</v>
      </c>
    </row>
    <row r="81" spans="1:14" x14ac:dyDescent="0.3">
      <c r="A81" s="4" t="s">
        <v>206</v>
      </c>
      <c r="B81" s="5">
        <v>45501</v>
      </c>
      <c r="C81" s="6" t="s">
        <v>86</v>
      </c>
      <c r="D81" s="6" t="s">
        <v>87</v>
      </c>
      <c r="E81" s="6" t="s">
        <v>117</v>
      </c>
      <c r="F81" s="6" t="s">
        <v>118</v>
      </c>
      <c r="G81" s="6" t="s">
        <v>19</v>
      </c>
      <c r="H81" s="6">
        <v>2</v>
      </c>
      <c r="I81" s="6">
        <v>89.99</v>
      </c>
      <c r="J81" s="6" t="s">
        <v>34</v>
      </c>
      <c r="K81" s="6" t="s">
        <v>35</v>
      </c>
      <c r="L81" s="6" t="s">
        <v>22</v>
      </c>
      <c r="M81" s="5">
        <v>44976</v>
      </c>
      <c r="N81" s="7">
        <v>179.98</v>
      </c>
    </row>
    <row r="82" spans="1:14" x14ac:dyDescent="0.3">
      <c r="A82" s="4" t="s">
        <v>207</v>
      </c>
      <c r="B82" s="5">
        <v>45501</v>
      </c>
      <c r="C82" s="6" t="s">
        <v>147</v>
      </c>
      <c r="D82" s="6" t="s">
        <v>148</v>
      </c>
      <c r="E82" s="6" t="s">
        <v>105</v>
      </c>
      <c r="F82" s="6" t="s">
        <v>106</v>
      </c>
      <c r="G82" s="6" t="s">
        <v>46</v>
      </c>
      <c r="H82" s="6">
        <v>3</v>
      </c>
      <c r="I82" s="6">
        <v>299.99</v>
      </c>
      <c r="J82" s="6" t="s">
        <v>20</v>
      </c>
      <c r="K82" s="6" t="s">
        <v>21</v>
      </c>
      <c r="L82" s="6" t="s">
        <v>22</v>
      </c>
      <c r="M82" s="5">
        <v>44732</v>
      </c>
      <c r="N82" s="7">
        <v>899.97</v>
      </c>
    </row>
    <row r="83" spans="1:14" x14ac:dyDescent="0.3">
      <c r="A83" s="4" t="s">
        <v>208</v>
      </c>
      <c r="B83" s="5">
        <v>45503</v>
      </c>
      <c r="C83" s="6" t="s">
        <v>86</v>
      </c>
      <c r="D83" s="6" t="s">
        <v>87</v>
      </c>
      <c r="E83" s="6" t="s">
        <v>80</v>
      </c>
      <c r="F83" s="6" t="s">
        <v>81</v>
      </c>
      <c r="G83" s="6" t="s">
        <v>19</v>
      </c>
      <c r="H83" s="6">
        <v>2</v>
      </c>
      <c r="I83" s="6">
        <v>699.99</v>
      </c>
      <c r="J83" s="6" t="s">
        <v>26</v>
      </c>
      <c r="K83" s="6" t="s">
        <v>40</v>
      </c>
      <c r="L83" s="6" t="s">
        <v>27</v>
      </c>
      <c r="M83" s="5">
        <v>44999</v>
      </c>
      <c r="N83" s="7">
        <v>1399.98</v>
      </c>
    </row>
    <row r="84" spans="1:14" x14ac:dyDescent="0.3">
      <c r="A84" s="4" t="s">
        <v>209</v>
      </c>
      <c r="B84" s="5">
        <v>45504</v>
      </c>
      <c r="C84" s="6" t="s">
        <v>120</v>
      </c>
      <c r="D84" s="6" t="s">
        <v>121</v>
      </c>
      <c r="E84" s="6" t="s">
        <v>61</v>
      </c>
      <c r="F84" s="6" t="s">
        <v>62</v>
      </c>
      <c r="G84" s="6" t="s">
        <v>19</v>
      </c>
      <c r="H84" s="6">
        <v>4</v>
      </c>
      <c r="I84" s="6">
        <v>899.99</v>
      </c>
      <c r="J84" s="6" t="s">
        <v>57</v>
      </c>
      <c r="K84" s="6" t="s">
        <v>35</v>
      </c>
      <c r="L84" s="6" t="s">
        <v>36</v>
      </c>
      <c r="M84" s="5">
        <v>44523</v>
      </c>
      <c r="N84" s="7">
        <v>3599.96</v>
      </c>
    </row>
    <row r="85" spans="1:14" x14ac:dyDescent="0.3">
      <c r="A85" s="4" t="s">
        <v>210</v>
      </c>
      <c r="B85" s="5">
        <v>45509</v>
      </c>
      <c r="C85" s="6" t="s">
        <v>211</v>
      </c>
      <c r="D85" s="6" t="s">
        <v>212</v>
      </c>
      <c r="E85" s="6" t="s">
        <v>44</v>
      </c>
      <c r="F85" s="6" t="s">
        <v>45</v>
      </c>
      <c r="G85" s="6" t="s">
        <v>46</v>
      </c>
      <c r="H85" s="6">
        <v>2</v>
      </c>
      <c r="I85" s="6">
        <v>149.99</v>
      </c>
      <c r="J85" s="6" t="s">
        <v>26</v>
      </c>
      <c r="K85" s="6" t="s">
        <v>50</v>
      </c>
      <c r="L85" s="6" t="s">
        <v>22</v>
      </c>
      <c r="M85" s="5">
        <v>44542</v>
      </c>
      <c r="N85" s="7">
        <v>299.98</v>
      </c>
    </row>
    <row r="86" spans="1:14" x14ac:dyDescent="0.3">
      <c r="A86" s="4" t="s">
        <v>213</v>
      </c>
      <c r="B86" s="5">
        <v>45510</v>
      </c>
      <c r="C86" s="6" t="s">
        <v>102</v>
      </c>
      <c r="D86" s="6" t="s">
        <v>103</v>
      </c>
      <c r="E86" s="6" t="s">
        <v>44</v>
      </c>
      <c r="F86" s="6" t="s">
        <v>45</v>
      </c>
      <c r="G86" s="6" t="s">
        <v>46</v>
      </c>
      <c r="H86" s="6">
        <v>2</v>
      </c>
      <c r="I86" s="6">
        <v>149.99</v>
      </c>
      <c r="J86" s="6" t="s">
        <v>57</v>
      </c>
      <c r="K86" s="6" t="s">
        <v>63</v>
      </c>
      <c r="L86" s="6" t="s">
        <v>36</v>
      </c>
      <c r="M86" s="5">
        <v>44667</v>
      </c>
      <c r="N86" s="7">
        <v>299.98</v>
      </c>
    </row>
    <row r="87" spans="1:14" x14ac:dyDescent="0.3">
      <c r="A87" s="4" t="s">
        <v>214</v>
      </c>
      <c r="B87" s="5">
        <v>45513</v>
      </c>
      <c r="C87" s="6" t="s">
        <v>89</v>
      </c>
      <c r="D87" s="6" t="s">
        <v>90</v>
      </c>
      <c r="E87" s="6" t="s">
        <v>117</v>
      </c>
      <c r="F87" s="6" t="s">
        <v>118</v>
      </c>
      <c r="G87" s="6" t="s">
        <v>19</v>
      </c>
      <c r="H87" s="6">
        <v>1</v>
      </c>
      <c r="I87" s="6">
        <v>89.99</v>
      </c>
      <c r="J87" s="6" t="s">
        <v>26</v>
      </c>
      <c r="K87" s="6" t="s">
        <v>40</v>
      </c>
      <c r="L87" s="6" t="s">
        <v>36</v>
      </c>
      <c r="M87" s="5">
        <v>45393</v>
      </c>
      <c r="N87" s="7">
        <v>89.99</v>
      </c>
    </row>
    <row r="88" spans="1:14" x14ac:dyDescent="0.3">
      <c r="A88" s="4" t="s">
        <v>215</v>
      </c>
      <c r="B88" s="5">
        <v>45515</v>
      </c>
      <c r="C88" s="6" t="s">
        <v>86</v>
      </c>
      <c r="D88" s="6" t="s">
        <v>87</v>
      </c>
      <c r="E88" s="6" t="s">
        <v>105</v>
      </c>
      <c r="F88" s="6" t="s">
        <v>106</v>
      </c>
      <c r="G88" s="6" t="s">
        <v>46</v>
      </c>
      <c r="H88" s="6">
        <v>5</v>
      </c>
      <c r="I88" s="6">
        <v>299.99</v>
      </c>
      <c r="J88" s="6" t="s">
        <v>26</v>
      </c>
      <c r="K88" s="6" t="s">
        <v>40</v>
      </c>
      <c r="L88" s="6" t="s">
        <v>22</v>
      </c>
      <c r="M88" s="5">
        <v>44965</v>
      </c>
      <c r="N88" s="7">
        <v>1499.95</v>
      </c>
    </row>
    <row r="89" spans="1:14" x14ac:dyDescent="0.3">
      <c r="A89" s="4" t="s">
        <v>216</v>
      </c>
      <c r="B89" s="5">
        <v>45517</v>
      </c>
      <c r="C89" s="6" t="s">
        <v>182</v>
      </c>
      <c r="D89" s="6" t="s">
        <v>183</v>
      </c>
      <c r="E89" s="6" t="s">
        <v>52</v>
      </c>
      <c r="F89" s="6" t="s">
        <v>53</v>
      </c>
      <c r="G89" s="6" t="s">
        <v>19</v>
      </c>
      <c r="H89" s="6">
        <v>4</v>
      </c>
      <c r="I89" s="6">
        <v>149.99</v>
      </c>
      <c r="J89" s="6" t="s">
        <v>57</v>
      </c>
      <c r="K89" s="6" t="s">
        <v>35</v>
      </c>
      <c r="L89" s="6" t="s">
        <v>27</v>
      </c>
      <c r="M89" s="5">
        <v>44820</v>
      </c>
      <c r="N89" s="7">
        <v>599.96</v>
      </c>
    </row>
    <row r="90" spans="1:14" x14ac:dyDescent="0.3">
      <c r="A90" s="4" t="s">
        <v>217</v>
      </c>
      <c r="B90" s="5">
        <v>45517</v>
      </c>
      <c r="C90" s="6" t="s">
        <v>185</v>
      </c>
      <c r="D90" s="6" t="s">
        <v>186</v>
      </c>
      <c r="E90" s="6" t="s">
        <v>17</v>
      </c>
      <c r="F90" s="6" t="s">
        <v>18</v>
      </c>
      <c r="G90" s="6" t="s">
        <v>19</v>
      </c>
      <c r="H90" s="6">
        <v>5</v>
      </c>
      <c r="I90" s="6">
        <v>249.99</v>
      </c>
      <c r="J90" s="6" t="s">
        <v>34</v>
      </c>
      <c r="K90" s="6" t="s">
        <v>63</v>
      </c>
      <c r="L90" s="6" t="s">
        <v>27</v>
      </c>
      <c r="M90" s="5">
        <v>44782</v>
      </c>
      <c r="N90" s="7">
        <v>1249.95</v>
      </c>
    </row>
    <row r="91" spans="1:14" x14ac:dyDescent="0.3">
      <c r="A91" s="4" t="s">
        <v>218</v>
      </c>
      <c r="B91" s="5">
        <v>45517</v>
      </c>
      <c r="C91" s="6" t="s">
        <v>65</v>
      </c>
      <c r="D91" s="6" t="s">
        <v>66</v>
      </c>
      <c r="E91" s="6" t="s">
        <v>17</v>
      </c>
      <c r="F91" s="6" t="s">
        <v>18</v>
      </c>
      <c r="G91" s="6" t="s">
        <v>19</v>
      </c>
      <c r="H91" s="6">
        <v>3</v>
      </c>
      <c r="I91" s="6">
        <v>249.99</v>
      </c>
      <c r="J91" s="6" t="s">
        <v>34</v>
      </c>
      <c r="K91" s="6" t="s">
        <v>40</v>
      </c>
      <c r="L91" s="6" t="s">
        <v>27</v>
      </c>
      <c r="M91" s="5">
        <v>44465</v>
      </c>
      <c r="N91" s="7">
        <v>749.97</v>
      </c>
    </row>
    <row r="92" spans="1:14" x14ac:dyDescent="0.3">
      <c r="A92" s="4" t="s">
        <v>219</v>
      </c>
      <c r="B92" s="5">
        <v>45517</v>
      </c>
      <c r="C92" s="6" t="s">
        <v>38</v>
      </c>
      <c r="D92" s="6" t="s">
        <v>39</v>
      </c>
      <c r="E92" s="6" t="s">
        <v>126</v>
      </c>
      <c r="F92" s="6" t="s">
        <v>127</v>
      </c>
      <c r="G92" s="6" t="s">
        <v>46</v>
      </c>
      <c r="H92" s="6">
        <v>4</v>
      </c>
      <c r="I92" s="6">
        <v>199.99</v>
      </c>
      <c r="J92" s="6" t="s">
        <v>20</v>
      </c>
      <c r="K92" s="6" t="s">
        <v>40</v>
      </c>
      <c r="L92" s="6" t="s">
        <v>36</v>
      </c>
      <c r="M92" s="5">
        <v>44458</v>
      </c>
      <c r="N92" s="7">
        <v>799.96</v>
      </c>
    </row>
    <row r="93" spans="1:14" x14ac:dyDescent="0.3">
      <c r="A93" s="4" t="s">
        <v>220</v>
      </c>
      <c r="B93" s="5">
        <v>45519</v>
      </c>
      <c r="C93" s="6" t="s">
        <v>158</v>
      </c>
      <c r="D93" s="6" t="s">
        <v>159</v>
      </c>
      <c r="E93" s="6" t="s">
        <v>126</v>
      </c>
      <c r="F93" s="6" t="s">
        <v>127</v>
      </c>
      <c r="G93" s="6" t="s">
        <v>46</v>
      </c>
      <c r="H93" s="6">
        <v>5</v>
      </c>
      <c r="I93" s="6">
        <v>199.99</v>
      </c>
      <c r="J93" s="6" t="s">
        <v>20</v>
      </c>
      <c r="K93" s="6" t="s">
        <v>40</v>
      </c>
      <c r="L93" s="6" t="s">
        <v>27</v>
      </c>
      <c r="M93" s="5">
        <v>44991</v>
      </c>
      <c r="N93" s="7">
        <v>999.95</v>
      </c>
    </row>
    <row r="94" spans="1:14" x14ac:dyDescent="0.3">
      <c r="A94" s="4" t="s">
        <v>221</v>
      </c>
      <c r="B94" s="5">
        <v>45522</v>
      </c>
      <c r="C94" s="6" t="s">
        <v>86</v>
      </c>
      <c r="D94" s="6" t="s">
        <v>87</v>
      </c>
      <c r="E94" s="6" t="s">
        <v>117</v>
      </c>
      <c r="F94" s="6" t="s">
        <v>118</v>
      </c>
      <c r="G94" s="6" t="s">
        <v>19</v>
      </c>
      <c r="H94" s="6">
        <v>2</v>
      </c>
      <c r="I94" s="6">
        <v>89.99</v>
      </c>
      <c r="J94" s="6" t="s">
        <v>20</v>
      </c>
      <c r="K94" s="6" t="s">
        <v>63</v>
      </c>
      <c r="L94" s="6" t="s">
        <v>27</v>
      </c>
      <c r="M94" s="5">
        <v>44972</v>
      </c>
      <c r="N94" s="7">
        <v>179.98</v>
      </c>
    </row>
    <row r="95" spans="1:14" x14ac:dyDescent="0.3">
      <c r="A95" s="4" t="s">
        <v>222</v>
      </c>
      <c r="B95" s="5">
        <v>45523</v>
      </c>
      <c r="C95" s="6" t="s">
        <v>196</v>
      </c>
      <c r="D95" s="6" t="s">
        <v>197</v>
      </c>
      <c r="E95" s="6" t="s">
        <v>61</v>
      </c>
      <c r="F95" s="6" t="s">
        <v>62</v>
      </c>
      <c r="G95" s="6" t="s">
        <v>19</v>
      </c>
      <c r="H95" s="6">
        <v>5</v>
      </c>
      <c r="I95" s="6">
        <v>899.99</v>
      </c>
      <c r="J95" s="6" t="s">
        <v>57</v>
      </c>
      <c r="K95" s="6" t="s">
        <v>63</v>
      </c>
      <c r="L95" s="6" t="s">
        <v>22</v>
      </c>
      <c r="M95" s="5">
        <v>44526</v>
      </c>
      <c r="N95" s="7">
        <v>4499.95</v>
      </c>
    </row>
    <row r="96" spans="1:14" x14ac:dyDescent="0.3">
      <c r="A96" s="4" t="s">
        <v>223</v>
      </c>
      <c r="B96" s="5">
        <v>45523</v>
      </c>
      <c r="C96" s="6" t="s">
        <v>108</v>
      </c>
      <c r="D96" s="6" t="s">
        <v>109</v>
      </c>
      <c r="E96" s="6" t="s">
        <v>52</v>
      </c>
      <c r="F96" s="6" t="s">
        <v>53</v>
      </c>
      <c r="G96" s="6" t="s">
        <v>19</v>
      </c>
      <c r="H96" s="6">
        <v>3</v>
      </c>
      <c r="I96" s="6">
        <v>149.99</v>
      </c>
      <c r="J96" s="6" t="s">
        <v>34</v>
      </c>
      <c r="K96" s="6" t="s">
        <v>63</v>
      </c>
      <c r="L96" s="6" t="s">
        <v>22</v>
      </c>
      <c r="M96" s="5">
        <v>44574</v>
      </c>
      <c r="N96" s="7">
        <v>449.97</v>
      </c>
    </row>
    <row r="97" spans="1:14" x14ac:dyDescent="0.3">
      <c r="A97" s="4" t="s">
        <v>224</v>
      </c>
      <c r="B97" s="5">
        <v>45526</v>
      </c>
      <c r="C97" s="6" t="s">
        <v>102</v>
      </c>
      <c r="D97" s="6" t="s">
        <v>103</v>
      </c>
      <c r="E97" s="6" t="s">
        <v>44</v>
      </c>
      <c r="F97" s="6" t="s">
        <v>45</v>
      </c>
      <c r="G97" s="6" t="s">
        <v>46</v>
      </c>
      <c r="H97" s="6">
        <v>5</v>
      </c>
      <c r="I97" s="6">
        <v>149.99</v>
      </c>
      <c r="J97" s="6" t="s">
        <v>26</v>
      </c>
      <c r="K97" s="6" t="s">
        <v>21</v>
      </c>
      <c r="L97" s="6" t="s">
        <v>22</v>
      </c>
      <c r="M97" s="5">
        <v>45310</v>
      </c>
      <c r="N97" s="7">
        <v>749.95</v>
      </c>
    </row>
    <row r="98" spans="1:14" x14ac:dyDescent="0.3">
      <c r="A98" s="4" t="s">
        <v>225</v>
      </c>
      <c r="B98" s="5">
        <v>45528</v>
      </c>
      <c r="C98" s="6" t="s">
        <v>226</v>
      </c>
      <c r="D98" s="6" t="s">
        <v>227</v>
      </c>
      <c r="E98" s="6" t="s">
        <v>114</v>
      </c>
      <c r="F98" s="6" t="s">
        <v>115</v>
      </c>
      <c r="G98" s="6" t="s">
        <v>33</v>
      </c>
      <c r="H98" s="6">
        <v>3</v>
      </c>
      <c r="I98" s="6">
        <v>79.989999999999995</v>
      </c>
      <c r="J98" s="6" t="s">
        <v>20</v>
      </c>
      <c r="K98" s="6" t="s">
        <v>21</v>
      </c>
      <c r="L98" s="6" t="s">
        <v>27</v>
      </c>
      <c r="M98" s="5">
        <v>44779</v>
      </c>
      <c r="N98" s="7">
        <v>239.97</v>
      </c>
    </row>
    <row r="99" spans="1:14" x14ac:dyDescent="0.3">
      <c r="A99" s="4" t="s">
        <v>228</v>
      </c>
      <c r="B99" s="5">
        <v>45528</v>
      </c>
      <c r="C99" s="6" t="s">
        <v>144</v>
      </c>
      <c r="D99" s="6" t="s">
        <v>145</v>
      </c>
      <c r="E99" s="6" t="s">
        <v>17</v>
      </c>
      <c r="F99" s="6" t="s">
        <v>18</v>
      </c>
      <c r="G99" s="6" t="s">
        <v>19</v>
      </c>
      <c r="H99" s="6">
        <v>2</v>
      </c>
      <c r="I99" s="6">
        <v>249.99</v>
      </c>
      <c r="J99" s="6" t="s">
        <v>20</v>
      </c>
      <c r="K99" s="6" t="s">
        <v>35</v>
      </c>
      <c r="L99" s="6" t="s">
        <v>36</v>
      </c>
      <c r="M99" s="5">
        <v>44572</v>
      </c>
      <c r="N99" s="7">
        <v>499.98</v>
      </c>
    </row>
    <row r="100" spans="1:14" x14ac:dyDescent="0.3">
      <c r="A100" s="4" t="s">
        <v>229</v>
      </c>
      <c r="B100" s="5">
        <v>45532</v>
      </c>
      <c r="C100" s="6" t="s">
        <v>196</v>
      </c>
      <c r="D100" s="6" t="s">
        <v>197</v>
      </c>
      <c r="E100" s="6" t="s">
        <v>80</v>
      </c>
      <c r="F100" s="6" t="s">
        <v>81</v>
      </c>
      <c r="G100" s="6" t="s">
        <v>19</v>
      </c>
      <c r="H100" s="6">
        <v>1</v>
      </c>
      <c r="I100" s="6">
        <v>699.99</v>
      </c>
      <c r="J100" s="6" t="s">
        <v>20</v>
      </c>
      <c r="K100" s="6" t="s">
        <v>21</v>
      </c>
      <c r="L100" s="6" t="s">
        <v>27</v>
      </c>
      <c r="M100" s="5">
        <v>44497</v>
      </c>
      <c r="N100" s="7">
        <v>699.99</v>
      </c>
    </row>
    <row r="101" spans="1:14" x14ac:dyDescent="0.3">
      <c r="A101" s="4" t="s">
        <v>230</v>
      </c>
      <c r="B101" s="5">
        <v>45532</v>
      </c>
      <c r="C101" s="6" t="s">
        <v>231</v>
      </c>
      <c r="D101" s="6" t="s">
        <v>232</v>
      </c>
      <c r="E101" s="6" t="s">
        <v>52</v>
      </c>
      <c r="F101" s="6" t="s">
        <v>53</v>
      </c>
      <c r="G101" s="6" t="s">
        <v>19</v>
      </c>
      <c r="H101" s="6">
        <v>3</v>
      </c>
      <c r="I101" s="6">
        <v>149.99</v>
      </c>
      <c r="J101" s="6" t="s">
        <v>20</v>
      </c>
      <c r="K101" s="6" t="s">
        <v>50</v>
      </c>
      <c r="L101" s="6" t="s">
        <v>27</v>
      </c>
      <c r="M101" s="5">
        <v>45212</v>
      </c>
      <c r="N101" s="7">
        <v>449.97</v>
      </c>
    </row>
    <row r="102" spans="1:14" x14ac:dyDescent="0.3">
      <c r="A102" s="4" t="s">
        <v>233</v>
      </c>
      <c r="B102" s="5">
        <v>45534</v>
      </c>
      <c r="C102" s="6" t="s">
        <v>234</v>
      </c>
      <c r="D102" s="6" t="s">
        <v>235</v>
      </c>
      <c r="E102" s="6" t="s">
        <v>80</v>
      </c>
      <c r="F102" s="6" t="s">
        <v>81</v>
      </c>
      <c r="G102" s="6" t="s">
        <v>19</v>
      </c>
      <c r="H102" s="6">
        <v>2</v>
      </c>
      <c r="I102" s="6">
        <v>699.99</v>
      </c>
      <c r="J102" s="6" t="s">
        <v>26</v>
      </c>
      <c r="K102" s="6" t="s">
        <v>40</v>
      </c>
      <c r="L102" s="6" t="s">
        <v>27</v>
      </c>
      <c r="M102" s="5">
        <v>44421</v>
      </c>
      <c r="N102" s="7">
        <v>1399.98</v>
      </c>
    </row>
    <row r="103" spans="1:14" x14ac:dyDescent="0.3">
      <c r="A103" s="4" t="s">
        <v>236</v>
      </c>
      <c r="B103" s="5">
        <v>45537</v>
      </c>
      <c r="C103" s="6" t="s">
        <v>231</v>
      </c>
      <c r="D103" s="6" t="s">
        <v>232</v>
      </c>
      <c r="E103" s="6" t="s">
        <v>17</v>
      </c>
      <c r="F103" s="6" t="s">
        <v>18</v>
      </c>
      <c r="G103" s="6" t="s">
        <v>19</v>
      </c>
      <c r="H103" s="6">
        <v>1</v>
      </c>
      <c r="I103" s="6">
        <v>249.99</v>
      </c>
      <c r="J103" s="6" t="s">
        <v>26</v>
      </c>
      <c r="K103" s="6" t="s">
        <v>50</v>
      </c>
      <c r="L103" s="6" t="s">
        <v>27</v>
      </c>
      <c r="M103" s="5">
        <v>44685</v>
      </c>
      <c r="N103" s="7">
        <v>249.99</v>
      </c>
    </row>
    <row r="104" spans="1:14" x14ac:dyDescent="0.3">
      <c r="A104" s="4" t="s">
        <v>237</v>
      </c>
      <c r="B104" s="5">
        <v>45537</v>
      </c>
      <c r="C104" s="6" t="s">
        <v>15</v>
      </c>
      <c r="D104" s="6" t="s">
        <v>16</v>
      </c>
      <c r="E104" s="6" t="s">
        <v>17</v>
      </c>
      <c r="F104" s="6" t="s">
        <v>18</v>
      </c>
      <c r="G104" s="6" t="s">
        <v>19</v>
      </c>
      <c r="H104" s="6">
        <v>1</v>
      </c>
      <c r="I104" s="6">
        <v>249.99</v>
      </c>
      <c r="J104" s="6" t="s">
        <v>57</v>
      </c>
      <c r="K104" s="6" t="s">
        <v>40</v>
      </c>
      <c r="L104" s="6" t="s">
        <v>27</v>
      </c>
      <c r="M104" s="5">
        <v>45332</v>
      </c>
      <c r="N104" s="7">
        <v>249.99</v>
      </c>
    </row>
    <row r="105" spans="1:14" x14ac:dyDescent="0.3">
      <c r="A105" s="4" t="s">
        <v>238</v>
      </c>
      <c r="B105" s="5">
        <v>45538</v>
      </c>
      <c r="C105" s="6" t="s">
        <v>226</v>
      </c>
      <c r="D105" s="6" t="s">
        <v>227</v>
      </c>
      <c r="E105" s="6" t="s">
        <v>80</v>
      </c>
      <c r="F105" s="6" t="s">
        <v>81</v>
      </c>
      <c r="G105" s="6" t="s">
        <v>19</v>
      </c>
      <c r="H105" s="6">
        <v>2</v>
      </c>
      <c r="I105" s="6">
        <v>699.99</v>
      </c>
      <c r="J105" s="6" t="s">
        <v>57</v>
      </c>
      <c r="K105" s="6" t="s">
        <v>21</v>
      </c>
      <c r="L105" s="6" t="s">
        <v>27</v>
      </c>
      <c r="M105" s="5">
        <v>44870</v>
      </c>
      <c r="N105" s="7">
        <v>1399.98</v>
      </c>
    </row>
    <row r="106" spans="1:14" x14ac:dyDescent="0.3">
      <c r="A106" s="4" t="s">
        <v>239</v>
      </c>
      <c r="B106" s="5">
        <v>45541</v>
      </c>
      <c r="C106" s="6" t="s">
        <v>138</v>
      </c>
      <c r="D106" s="6" t="s">
        <v>139</v>
      </c>
      <c r="E106" s="6" t="s">
        <v>31</v>
      </c>
      <c r="F106" s="6" t="s">
        <v>32</v>
      </c>
      <c r="G106" s="6" t="s">
        <v>33</v>
      </c>
      <c r="H106" s="6">
        <v>3</v>
      </c>
      <c r="I106" s="6">
        <v>59.99</v>
      </c>
      <c r="J106" s="6" t="s">
        <v>26</v>
      </c>
      <c r="K106" s="6" t="s">
        <v>21</v>
      </c>
      <c r="L106" s="6" t="s">
        <v>27</v>
      </c>
      <c r="M106" s="5">
        <v>44717</v>
      </c>
      <c r="N106" s="7">
        <v>179.97</v>
      </c>
    </row>
    <row r="107" spans="1:14" x14ac:dyDescent="0.3">
      <c r="A107" s="4" t="s">
        <v>240</v>
      </c>
      <c r="B107" s="5">
        <v>45544</v>
      </c>
      <c r="C107" s="6" t="s">
        <v>132</v>
      </c>
      <c r="D107" s="6" t="s">
        <v>133</v>
      </c>
      <c r="E107" s="6" t="s">
        <v>31</v>
      </c>
      <c r="F107" s="6" t="s">
        <v>32</v>
      </c>
      <c r="G107" s="6" t="s">
        <v>33</v>
      </c>
      <c r="H107" s="6">
        <v>3</v>
      </c>
      <c r="I107" s="6">
        <v>59.99</v>
      </c>
      <c r="J107" s="6" t="s">
        <v>34</v>
      </c>
      <c r="K107" s="6" t="s">
        <v>63</v>
      </c>
      <c r="L107" s="6" t="s">
        <v>36</v>
      </c>
      <c r="M107" s="5">
        <v>44748</v>
      </c>
      <c r="N107" s="7">
        <v>179.97</v>
      </c>
    </row>
    <row r="108" spans="1:14" x14ac:dyDescent="0.3">
      <c r="A108" s="4" t="s">
        <v>241</v>
      </c>
      <c r="B108" s="5">
        <v>45544</v>
      </c>
      <c r="C108" s="6" t="s">
        <v>141</v>
      </c>
      <c r="D108" s="6" t="s">
        <v>142</v>
      </c>
      <c r="E108" s="6" t="s">
        <v>114</v>
      </c>
      <c r="F108" s="6" t="s">
        <v>115</v>
      </c>
      <c r="G108" s="6" t="s">
        <v>33</v>
      </c>
      <c r="H108" s="6">
        <v>4</v>
      </c>
      <c r="I108" s="6">
        <v>79.989999999999995</v>
      </c>
      <c r="J108" s="6" t="s">
        <v>20</v>
      </c>
      <c r="K108" s="6" t="s">
        <v>40</v>
      </c>
      <c r="L108" s="6" t="s">
        <v>22</v>
      </c>
      <c r="M108" s="5">
        <v>44530</v>
      </c>
      <c r="N108" s="7">
        <v>319.95999999999998</v>
      </c>
    </row>
    <row r="109" spans="1:14" x14ac:dyDescent="0.3">
      <c r="A109" s="4" t="s">
        <v>242</v>
      </c>
      <c r="B109" s="5">
        <v>45545</v>
      </c>
      <c r="C109" s="6" t="s">
        <v>55</v>
      </c>
      <c r="D109" s="6" t="s">
        <v>56</v>
      </c>
      <c r="E109" s="6" t="s">
        <v>114</v>
      </c>
      <c r="F109" s="6" t="s">
        <v>115</v>
      </c>
      <c r="G109" s="6" t="s">
        <v>33</v>
      </c>
      <c r="H109" s="6">
        <v>1</v>
      </c>
      <c r="I109" s="6">
        <v>79.989999999999995</v>
      </c>
      <c r="J109" s="6" t="s">
        <v>20</v>
      </c>
      <c r="K109" s="6" t="s">
        <v>50</v>
      </c>
      <c r="L109" s="6" t="s">
        <v>22</v>
      </c>
      <c r="M109" s="5">
        <v>44693</v>
      </c>
      <c r="N109" s="7">
        <v>79.989999999999995</v>
      </c>
    </row>
    <row r="110" spans="1:14" x14ac:dyDescent="0.3">
      <c r="A110" s="4" t="s">
        <v>243</v>
      </c>
      <c r="B110" s="5">
        <v>45547</v>
      </c>
      <c r="C110" s="6" t="s">
        <v>48</v>
      </c>
      <c r="D110" s="6" t="s">
        <v>49</v>
      </c>
      <c r="E110" s="6" t="s">
        <v>105</v>
      </c>
      <c r="F110" s="6" t="s">
        <v>106</v>
      </c>
      <c r="G110" s="6" t="s">
        <v>46</v>
      </c>
      <c r="H110" s="6">
        <v>3</v>
      </c>
      <c r="I110" s="6">
        <v>299.99</v>
      </c>
      <c r="J110" s="6" t="s">
        <v>26</v>
      </c>
      <c r="K110" s="6" t="s">
        <v>21</v>
      </c>
      <c r="L110" s="6" t="s">
        <v>27</v>
      </c>
      <c r="M110" s="5">
        <v>44494</v>
      </c>
      <c r="N110" s="7">
        <v>899.97</v>
      </c>
    </row>
    <row r="111" spans="1:14" x14ac:dyDescent="0.3">
      <c r="A111" s="4" t="s">
        <v>244</v>
      </c>
      <c r="B111" s="5">
        <v>45548</v>
      </c>
      <c r="C111" s="6" t="s">
        <v>38</v>
      </c>
      <c r="D111" s="6" t="s">
        <v>39</v>
      </c>
      <c r="E111" s="6" t="s">
        <v>117</v>
      </c>
      <c r="F111" s="6" t="s">
        <v>118</v>
      </c>
      <c r="G111" s="6" t="s">
        <v>19</v>
      </c>
      <c r="H111" s="6">
        <v>2</v>
      </c>
      <c r="I111" s="6">
        <v>89.99</v>
      </c>
      <c r="J111" s="6" t="s">
        <v>26</v>
      </c>
      <c r="K111" s="6" t="s">
        <v>35</v>
      </c>
      <c r="L111" s="6" t="s">
        <v>27</v>
      </c>
      <c r="M111" s="5">
        <v>44641</v>
      </c>
      <c r="N111" s="7">
        <v>179.98</v>
      </c>
    </row>
    <row r="112" spans="1:14" x14ac:dyDescent="0.3">
      <c r="A112" s="4" t="s">
        <v>245</v>
      </c>
      <c r="B112" s="5">
        <v>45550</v>
      </c>
      <c r="C112" s="6" t="s">
        <v>246</v>
      </c>
      <c r="D112" s="6" t="s">
        <v>247</v>
      </c>
      <c r="E112" s="6" t="s">
        <v>52</v>
      </c>
      <c r="F112" s="6" t="s">
        <v>53</v>
      </c>
      <c r="G112" s="6" t="s">
        <v>19</v>
      </c>
      <c r="H112" s="6">
        <v>4</v>
      </c>
      <c r="I112" s="6">
        <v>149.99</v>
      </c>
      <c r="J112" s="6" t="s">
        <v>20</v>
      </c>
      <c r="K112" s="6" t="s">
        <v>40</v>
      </c>
      <c r="L112" s="6" t="s">
        <v>22</v>
      </c>
      <c r="M112" s="5">
        <v>44909</v>
      </c>
      <c r="N112" s="7">
        <v>599.96</v>
      </c>
    </row>
    <row r="113" spans="1:14" x14ac:dyDescent="0.3">
      <c r="A113" s="4" t="s">
        <v>248</v>
      </c>
      <c r="B113" s="5">
        <v>45551</v>
      </c>
      <c r="C113" s="6" t="s">
        <v>65</v>
      </c>
      <c r="D113" s="6" t="s">
        <v>66</v>
      </c>
      <c r="E113" s="6" t="s">
        <v>17</v>
      </c>
      <c r="F113" s="6" t="s">
        <v>18</v>
      </c>
      <c r="G113" s="6" t="s">
        <v>19</v>
      </c>
      <c r="H113" s="6">
        <v>2</v>
      </c>
      <c r="I113" s="6">
        <v>249.99</v>
      </c>
      <c r="J113" s="6" t="s">
        <v>34</v>
      </c>
      <c r="K113" s="6" t="s">
        <v>35</v>
      </c>
      <c r="L113" s="6" t="s">
        <v>22</v>
      </c>
      <c r="M113" s="5">
        <v>44993</v>
      </c>
      <c r="N113" s="7">
        <v>499.98</v>
      </c>
    </row>
    <row r="114" spans="1:14" x14ac:dyDescent="0.3">
      <c r="A114" s="4" t="s">
        <v>249</v>
      </c>
      <c r="B114" s="5">
        <v>45551</v>
      </c>
      <c r="C114" s="6" t="s">
        <v>154</v>
      </c>
      <c r="D114" s="6" t="s">
        <v>155</v>
      </c>
      <c r="E114" s="6" t="s">
        <v>126</v>
      </c>
      <c r="F114" s="6" t="s">
        <v>127</v>
      </c>
      <c r="G114" s="6" t="s">
        <v>46</v>
      </c>
      <c r="H114" s="6">
        <v>4</v>
      </c>
      <c r="I114" s="6">
        <v>199.99</v>
      </c>
      <c r="J114" s="6" t="s">
        <v>57</v>
      </c>
      <c r="K114" s="6" t="s">
        <v>63</v>
      </c>
      <c r="L114" s="6" t="s">
        <v>22</v>
      </c>
      <c r="M114" s="5">
        <v>44458</v>
      </c>
      <c r="N114" s="7">
        <v>799.96</v>
      </c>
    </row>
    <row r="115" spans="1:14" x14ac:dyDescent="0.3">
      <c r="A115" s="4" t="s">
        <v>250</v>
      </c>
      <c r="B115" s="5">
        <v>45554</v>
      </c>
      <c r="C115" s="6" t="s">
        <v>147</v>
      </c>
      <c r="D115" s="6" t="s">
        <v>148</v>
      </c>
      <c r="E115" s="6" t="s">
        <v>117</v>
      </c>
      <c r="F115" s="6" t="s">
        <v>118</v>
      </c>
      <c r="G115" s="6" t="s">
        <v>19</v>
      </c>
      <c r="H115" s="6">
        <v>5</v>
      </c>
      <c r="I115" s="6">
        <v>89.99</v>
      </c>
      <c r="J115" s="6" t="s">
        <v>26</v>
      </c>
      <c r="K115" s="6" t="s">
        <v>63</v>
      </c>
      <c r="L115" s="6" t="s">
        <v>27</v>
      </c>
      <c r="M115" s="5">
        <v>44446</v>
      </c>
      <c r="N115" s="7">
        <v>449.95</v>
      </c>
    </row>
    <row r="116" spans="1:14" x14ac:dyDescent="0.3">
      <c r="A116" s="4" t="s">
        <v>251</v>
      </c>
      <c r="B116" s="5">
        <v>45554</v>
      </c>
      <c r="C116" s="6" t="s">
        <v>252</v>
      </c>
      <c r="D116" s="6" t="s">
        <v>253</v>
      </c>
      <c r="E116" s="6" t="s">
        <v>52</v>
      </c>
      <c r="F116" s="6" t="s">
        <v>53</v>
      </c>
      <c r="G116" s="6" t="s">
        <v>19</v>
      </c>
      <c r="H116" s="6">
        <v>1</v>
      </c>
      <c r="I116" s="6">
        <v>149.99</v>
      </c>
      <c r="J116" s="6" t="s">
        <v>34</v>
      </c>
      <c r="K116" s="6" t="s">
        <v>63</v>
      </c>
      <c r="L116" s="6" t="s">
        <v>36</v>
      </c>
      <c r="M116" s="5">
        <v>44482</v>
      </c>
      <c r="N116" s="7">
        <v>149.99</v>
      </c>
    </row>
    <row r="117" spans="1:14" x14ac:dyDescent="0.3">
      <c r="A117" s="4" t="s">
        <v>254</v>
      </c>
      <c r="B117" s="5">
        <v>45554</v>
      </c>
      <c r="C117" s="6" t="s">
        <v>72</v>
      </c>
      <c r="D117" s="6" t="s">
        <v>73</v>
      </c>
      <c r="E117" s="6" t="s">
        <v>80</v>
      </c>
      <c r="F117" s="6" t="s">
        <v>81</v>
      </c>
      <c r="G117" s="6" t="s">
        <v>19</v>
      </c>
      <c r="H117" s="6">
        <v>4</v>
      </c>
      <c r="I117" s="6">
        <v>699.99</v>
      </c>
      <c r="J117" s="6" t="s">
        <v>34</v>
      </c>
      <c r="K117" s="6" t="s">
        <v>35</v>
      </c>
      <c r="L117" s="6" t="s">
        <v>22</v>
      </c>
      <c r="M117" s="5">
        <v>44618</v>
      </c>
      <c r="N117" s="7">
        <v>2799.96</v>
      </c>
    </row>
    <row r="118" spans="1:14" x14ac:dyDescent="0.3">
      <c r="A118" s="4" t="s">
        <v>255</v>
      </c>
      <c r="B118" s="5">
        <v>45559</v>
      </c>
      <c r="C118" s="6" t="s">
        <v>234</v>
      </c>
      <c r="D118" s="6" t="s">
        <v>235</v>
      </c>
      <c r="E118" s="6" t="s">
        <v>61</v>
      </c>
      <c r="F118" s="6" t="s">
        <v>62</v>
      </c>
      <c r="G118" s="6" t="s">
        <v>19</v>
      </c>
      <c r="H118" s="6">
        <v>3</v>
      </c>
      <c r="I118" s="6">
        <v>899.99</v>
      </c>
      <c r="J118" s="6" t="s">
        <v>26</v>
      </c>
      <c r="K118" s="6" t="s">
        <v>40</v>
      </c>
      <c r="L118" s="6" t="s">
        <v>36</v>
      </c>
      <c r="M118" s="5">
        <v>45157</v>
      </c>
      <c r="N118" s="7">
        <v>2699.97</v>
      </c>
    </row>
    <row r="119" spans="1:14" x14ac:dyDescent="0.3">
      <c r="A119" s="4" t="s">
        <v>256</v>
      </c>
      <c r="B119" s="5">
        <v>45560</v>
      </c>
      <c r="C119" s="6" t="s">
        <v>112</v>
      </c>
      <c r="D119" s="6" t="s">
        <v>113</v>
      </c>
      <c r="E119" s="6" t="s">
        <v>44</v>
      </c>
      <c r="F119" s="6" t="s">
        <v>45</v>
      </c>
      <c r="G119" s="6" t="s">
        <v>46</v>
      </c>
      <c r="H119" s="6">
        <v>3</v>
      </c>
      <c r="I119" s="6">
        <v>149.99</v>
      </c>
      <c r="J119" s="6" t="s">
        <v>34</v>
      </c>
      <c r="K119" s="6" t="s">
        <v>63</v>
      </c>
      <c r="L119" s="6" t="s">
        <v>22</v>
      </c>
      <c r="M119" s="5">
        <v>44886</v>
      </c>
      <c r="N119" s="7">
        <v>449.97</v>
      </c>
    </row>
    <row r="120" spans="1:14" x14ac:dyDescent="0.3">
      <c r="A120" s="4" t="s">
        <v>257</v>
      </c>
      <c r="B120" s="5">
        <v>45563</v>
      </c>
      <c r="C120" s="6" t="s">
        <v>99</v>
      </c>
      <c r="D120" s="6" t="s">
        <v>100</v>
      </c>
      <c r="E120" s="6" t="s">
        <v>105</v>
      </c>
      <c r="F120" s="6" t="s">
        <v>106</v>
      </c>
      <c r="G120" s="6" t="s">
        <v>46</v>
      </c>
      <c r="H120" s="6">
        <v>2</v>
      </c>
      <c r="I120" s="6">
        <v>299.99</v>
      </c>
      <c r="J120" s="6" t="s">
        <v>57</v>
      </c>
      <c r="K120" s="6" t="s">
        <v>21</v>
      </c>
      <c r="L120" s="6" t="s">
        <v>22</v>
      </c>
      <c r="M120" s="5">
        <v>44569</v>
      </c>
      <c r="N120" s="7">
        <v>599.98</v>
      </c>
    </row>
    <row r="121" spans="1:14" x14ac:dyDescent="0.3">
      <c r="A121" s="4" t="s">
        <v>258</v>
      </c>
      <c r="B121" s="5">
        <v>45564</v>
      </c>
      <c r="C121" s="6" t="s">
        <v>259</v>
      </c>
      <c r="D121" s="6" t="s">
        <v>260</v>
      </c>
      <c r="E121" s="6" t="s">
        <v>126</v>
      </c>
      <c r="F121" s="6" t="s">
        <v>127</v>
      </c>
      <c r="G121" s="6" t="s">
        <v>46</v>
      </c>
      <c r="H121" s="6">
        <v>1</v>
      </c>
      <c r="I121" s="6">
        <v>199.99</v>
      </c>
      <c r="J121" s="6" t="s">
        <v>57</v>
      </c>
      <c r="K121" s="6" t="s">
        <v>63</v>
      </c>
      <c r="L121" s="6" t="s">
        <v>36</v>
      </c>
      <c r="M121" s="5">
        <v>44953</v>
      </c>
      <c r="N121" s="7">
        <v>199.99</v>
      </c>
    </row>
    <row r="122" spans="1:14" x14ac:dyDescent="0.3">
      <c r="A122" s="4" t="s">
        <v>261</v>
      </c>
      <c r="B122" s="5">
        <v>45566</v>
      </c>
      <c r="C122" s="6" t="s">
        <v>42</v>
      </c>
      <c r="D122" s="6" t="s">
        <v>43</v>
      </c>
      <c r="E122" s="6" t="s">
        <v>105</v>
      </c>
      <c r="F122" s="6" t="s">
        <v>106</v>
      </c>
      <c r="G122" s="6" t="s">
        <v>46</v>
      </c>
      <c r="H122" s="6">
        <v>4</v>
      </c>
      <c r="I122" s="6">
        <v>299.99</v>
      </c>
      <c r="J122" s="6" t="s">
        <v>20</v>
      </c>
      <c r="K122" s="6" t="s">
        <v>21</v>
      </c>
      <c r="L122" s="6" t="s">
        <v>27</v>
      </c>
      <c r="M122" s="5">
        <v>44460</v>
      </c>
      <c r="N122" s="7">
        <v>1199.96</v>
      </c>
    </row>
    <row r="123" spans="1:14" x14ac:dyDescent="0.3">
      <c r="A123" s="4" t="s">
        <v>262</v>
      </c>
      <c r="B123" s="5">
        <v>45572</v>
      </c>
      <c r="C123" s="6" t="s">
        <v>89</v>
      </c>
      <c r="D123" s="6" t="s">
        <v>90</v>
      </c>
      <c r="E123" s="6" t="s">
        <v>31</v>
      </c>
      <c r="F123" s="6" t="s">
        <v>32</v>
      </c>
      <c r="G123" s="6" t="s">
        <v>33</v>
      </c>
      <c r="H123" s="6">
        <v>2</v>
      </c>
      <c r="I123" s="6">
        <v>59.99</v>
      </c>
      <c r="J123" s="6" t="s">
        <v>26</v>
      </c>
      <c r="K123" s="6" t="s">
        <v>21</v>
      </c>
      <c r="L123" s="6" t="s">
        <v>22</v>
      </c>
      <c r="M123" s="5">
        <v>44579</v>
      </c>
      <c r="N123" s="7">
        <v>119.98</v>
      </c>
    </row>
    <row r="124" spans="1:14" x14ac:dyDescent="0.3">
      <c r="A124" s="4" t="s">
        <v>263</v>
      </c>
      <c r="B124" s="5">
        <v>45572</v>
      </c>
      <c r="C124" s="6" t="s">
        <v>234</v>
      </c>
      <c r="D124" s="6" t="s">
        <v>235</v>
      </c>
      <c r="E124" s="6" t="s">
        <v>52</v>
      </c>
      <c r="F124" s="6" t="s">
        <v>53</v>
      </c>
      <c r="G124" s="6" t="s">
        <v>19</v>
      </c>
      <c r="H124" s="6">
        <v>4</v>
      </c>
      <c r="I124" s="6">
        <v>149.99</v>
      </c>
      <c r="J124" s="6" t="s">
        <v>26</v>
      </c>
      <c r="K124" s="6" t="s">
        <v>40</v>
      </c>
      <c r="L124" s="6" t="s">
        <v>27</v>
      </c>
      <c r="M124" s="5">
        <v>45076</v>
      </c>
      <c r="N124" s="7">
        <v>599.96</v>
      </c>
    </row>
    <row r="125" spans="1:14" x14ac:dyDescent="0.3">
      <c r="A125" s="4" t="s">
        <v>264</v>
      </c>
      <c r="B125" s="5">
        <v>45573</v>
      </c>
      <c r="C125" s="6" t="s">
        <v>211</v>
      </c>
      <c r="D125" s="6" t="s">
        <v>212</v>
      </c>
      <c r="E125" s="6" t="s">
        <v>80</v>
      </c>
      <c r="F125" s="6" t="s">
        <v>81</v>
      </c>
      <c r="G125" s="6" t="s">
        <v>19</v>
      </c>
      <c r="H125" s="6">
        <v>2</v>
      </c>
      <c r="I125" s="6">
        <v>699.99</v>
      </c>
      <c r="J125" s="6" t="s">
        <v>57</v>
      </c>
      <c r="K125" s="6" t="s">
        <v>63</v>
      </c>
      <c r="L125" s="6" t="s">
        <v>27</v>
      </c>
      <c r="M125" s="5">
        <v>45274</v>
      </c>
      <c r="N125" s="7">
        <v>1399.98</v>
      </c>
    </row>
    <row r="126" spans="1:14" x14ac:dyDescent="0.3">
      <c r="A126" s="4" t="s">
        <v>265</v>
      </c>
      <c r="B126" s="5">
        <v>45573</v>
      </c>
      <c r="C126" s="6" t="s">
        <v>231</v>
      </c>
      <c r="D126" s="6" t="s">
        <v>232</v>
      </c>
      <c r="E126" s="6" t="s">
        <v>44</v>
      </c>
      <c r="F126" s="6" t="s">
        <v>45</v>
      </c>
      <c r="G126" s="6" t="s">
        <v>46</v>
      </c>
      <c r="H126" s="6">
        <v>3</v>
      </c>
      <c r="I126" s="6">
        <v>149.99</v>
      </c>
      <c r="J126" s="6" t="s">
        <v>26</v>
      </c>
      <c r="K126" s="6" t="s">
        <v>35</v>
      </c>
      <c r="L126" s="6" t="s">
        <v>36</v>
      </c>
      <c r="M126" s="5">
        <v>44940</v>
      </c>
      <c r="N126" s="7">
        <v>449.97</v>
      </c>
    </row>
    <row r="127" spans="1:14" x14ac:dyDescent="0.3">
      <c r="A127" s="4" t="s">
        <v>266</v>
      </c>
      <c r="B127" s="5">
        <v>45576</v>
      </c>
      <c r="C127" s="6" t="s">
        <v>147</v>
      </c>
      <c r="D127" s="6" t="s">
        <v>148</v>
      </c>
      <c r="E127" s="6" t="s">
        <v>105</v>
      </c>
      <c r="F127" s="6" t="s">
        <v>106</v>
      </c>
      <c r="G127" s="6" t="s">
        <v>46</v>
      </c>
      <c r="H127" s="6">
        <v>3</v>
      </c>
      <c r="I127" s="6">
        <v>299.99</v>
      </c>
      <c r="J127" s="6" t="s">
        <v>26</v>
      </c>
      <c r="K127" s="6" t="s">
        <v>21</v>
      </c>
      <c r="L127" s="6" t="s">
        <v>36</v>
      </c>
      <c r="M127" s="5">
        <v>45174</v>
      </c>
      <c r="N127" s="7">
        <v>899.97</v>
      </c>
    </row>
    <row r="128" spans="1:14" x14ac:dyDescent="0.3">
      <c r="A128" s="4" t="s">
        <v>267</v>
      </c>
      <c r="B128" s="5">
        <v>45579</v>
      </c>
      <c r="C128" s="6" t="s">
        <v>83</v>
      </c>
      <c r="D128" s="6" t="s">
        <v>84</v>
      </c>
      <c r="E128" s="6" t="s">
        <v>61</v>
      </c>
      <c r="F128" s="6" t="s">
        <v>62</v>
      </c>
      <c r="G128" s="6" t="s">
        <v>19</v>
      </c>
      <c r="H128" s="6">
        <v>3</v>
      </c>
      <c r="I128" s="6">
        <v>899.99</v>
      </c>
      <c r="J128" s="6" t="s">
        <v>34</v>
      </c>
      <c r="K128" s="6" t="s">
        <v>50</v>
      </c>
      <c r="L128" s="6" t="s">
        <v>22</v>
      </c>
      <c r="M128" s="5">
        <v>45215</v>
      </c>
      <c r="N128" s="7">
        <v>2699.97</v>
      </c>
    </row>
    <row r="129" spans="1:14" x14ac:dyDescent="0.3">
      <c r="A129" s="4" t="s">
        <v>268</v>
      </c>
      <c r="B129" s="5">
        <v>45581</v>
      </c>
      <c r="C129" s="6" t="s">
        <v>96</v>
      </c>
      <c r="D129" s="6" t="s">
        <v>97</v>
      </c>
      <c r="E129" s="6" t="s">
        <v>80</v>
      </c>
      <c r="F129" s="6" t="s">
        <v>81</v>
      </c>
      <c r="G129" s="6" t="s">
        <v>19</v>
      </c>
      <c r="H129" s="6">
        <v>5</v>
      </c>
      <c r="I129" s="6">
        <v>699.99</v>
      </c>
      <c r="J129" s="6" t="s">
        <v>20</v>
      </c>
      <c r="K129" s="6" t="s">
        <v>63</v>
      </c>
      <c r="L129" s="6" t="s">
        <v>36</v>
      </c>
      <c r="M129" s="5">
        <v>45008</v>
      </c>
      <c r="N129" s="7">
        <v>3499.95</v>
      </c>
    </row>
    <row r="130" spans="1:14" x14ac:dyDescent="0.3">
      <c r="A130" s="4" t="s">
        <v>269</v>
      </c>
      <c r="B130" s="5">
        <v>45581</v>
      </c>
      <c r="C130" s="6" t="s">
        <v>171</v>
      </c>
      <c r="D130" s="6" t="s">
        <v>172</v>
      </c>
      <c r="E130" s="6" t="s">
        <v>80</v>
      </c>
      <c r="F130" s="6" t="s">
        <v>81</v>
      </c>
      <c r="G130" s="6" t="s">
        <v>19</v>
      </c>
      <c r="H130" s="6">
        <v>4</v>
      </c>
      <c r="I130" s="6">
        <v>699.99</v>
      </c>
      <c r="J130" s="6" t="s">
        <v>26</v>
      </c>
      <c r="K130" s="6" t="s">
        <v>21</v>
      </c>
      <c r="L130" s="6" t="s">
        <v>22</v>
      </c>
      <c r="M130" s="5">
        <v>45385</v>
      </c>
      <c r="N130" s="7">
        <v>2799.96</v>
      </c>
    </row>
    <row r="131" spans="1:14" x14ac:dyDescent="0.3">
      <c r="A131" s="4" t="s">
        <v>270</v>
      </c>
      <c r="B131" s="5">
        <v>45581</v>
      </c>
      <c r="C131" s="6" t="s">
        <v>150</v>
      </c>
      <c r="D131" s="6" t="s">
        <v>151</v>
      </c>
      <c r="E131" s="6" t="s">
        <v>61</v>
      </c>
      <c r="F131" s="6" t="s">
        <v>62</v>
      </c>
      <c r="G131" s="6" t="s">
        <v>19</v>
      </c>
      <c r="H131" s="6">
        <v>1</v>
      </c>
      <c r="I131" s="6">
        <v>899.99</v>
      </c>
      <c r="J131" s="6" t="s">
        <v>26</v>
      </c>
      <c r="K131" s="6" t="s">
        <v>63</v>
      </c>
      <c r="L131" s="6" t="s">
        <v>36</v>
      </c>
      <c r="M131" s="5">
        <v>45369</v>
      </c>
      <c r="N131" s="7">
        <v>899.99</v>
      </c>
    </row>
    <row r="132" spans="1:14" x14ac:dyDescent="0.3">
      <c r="A132" s="4" t="s">
        <v>271</v>
      </c>
      <c r="B132" s="5">
        <v>45583</v>
      </c>
      <c r="C132" s="6" t="s">
        <v>226</v>
      </c>
      <c r="D132" s="6" t="s">
        <v>227</v>
      </c>
      <c r="E132" s="6" t="s">
        <v>52</v>
      </c>
      <c r="F132" s="6" t="s">
        <v>53</v>
      </c>
      <c r="G132" s="6" t="s">
        <v>19</v>
      </c>
      <c r="H132" s="6">
        <v>2</v>
      </c>
      <c r="I132" s="6">
        <v>149.99</v>
      </c>
      <c r="J132" s="6" t="s">
        <v>26</v>
      </c>
      <c r="K132" s="6" t="s">
        <v>50</v>
      </c>
      <c r="L132" s="6" t="s">
        <v>22</v>
      </c>
      <c r="M132" s="5">
        <v>44916</v>
      </c>
      <c r="N132" s="7">
        <v>299.98</v>
      </c>
    </row>
    <row r="133" spans="1:14" x14ac:dyDescent="0.3">
      <c r="A133" s="4" t="s">
        <v>272</v>
      </c>
      <c r="B133" s="5">
        <v>45586</v>
      </c>
      <c r="C133" s="6" t="s">
        <v>226</v>
      </c>
      <c r="D133" s="6" t="s">
        <v>227</v>
      </c>
      <c r="E133" s="6" t="s">
        <v>117</v>
      </c>
      <c r="F133" s="6" t="s">
        <v>118</v>
      </c>
      <c r="G133" s="6" t="s">
        <v>19</v>
      </c>
      <c r="H133" s="6">
        <v>3</v>
      </c>
      <c r="I133" s="6">
        <v>89.99</v>
      </c>
      <c r="J133" s="6" t="s">
        <v>34</v>
      </c>
      <c r="K133" s="6" t="s">
        <v>21</v>
      </c>
      <c r="L133" s="6" t="s">
        <v>22</v>
      </c>
      <c r="M133" s="5">
        <v>44551</v>
      </c>
      <c r="N133" s="7">
        <v>269.97000000000003</v>
      </c>
    </row>
    <row r="134" spans="1:14" x14ac:dyDescent="0.3">
      <c r="A134" s="4" t="s">
        <v>273</v>
      </c>
      <c r="B134" s="5">
        <v>45588</v>
      </c>
      <c r="C134" s="6" t="s">
        <v>38</v>
      </c>
      <c r="D134" s="6" t="s">
        <v>39</v>
      </c>
      <c r="E134" s="6" t="s">
        <v>52</v>
      </c>
      <c r="F134" s="6" t="s">
        <v>53</v>
      </c>
      <c r="G134" s="6" t="s">
        <v>19</v>
      </c>
      <c r="H134" s="6">
        <v>2</v>
      </c>
      <c r="I134" s="6">
        <v>149.99</v>
      </c>
      <c r="J134" s="6" t="s">
        <v>34</v>
      </c>
      <c r="K134" s="6" t="s">
        <v>21</v>
      </c>
      <c r="L134" s="6" t="s">
        <v>22</v>
      </c>
      <c r="M134" s="5">
        <v>44473</v>
      </c>
      <c r="N134" s="7">
        <v>299.98</v>
      </c>
    </row>
    <row r="135" spans="1:14" x14ac:dyDescent="0.3">
      <c r="A135" s="4" t="s">
        <v>274</v>
      </c>
      <c r="B135" s="5">
        <v>45588</v>
      </c>
      <c r="C135" s="6" t="s">
        <v>154</v>
      </c>
      <c r="D135" s="6" t="s">
        <v>155</v>
      </c>
      <c r="E135" s="6" t="s">
        <v>80</v>
      </c>
      <c r="F135" s="6" t="s">
        <v>81</v>
      </c>
      <c r="G135" s="6" t="s">
        <v>19</v>
      </c>
      <c r="H135" s="6">
        <v>2</v>
      </c>
      <c r="I135" s="6">
        <v>699.99</v>
      </c>
      <c r="J135" s="6" t="s">
        <v>20</v>
      </c>
      <c r="K135" s="6" t="s">
        <v>21</v>
      </c>
      <c r="L135" s="6" t="s">
        <v>22</v>
      </c>
      <c r="M135" s="5">
        <v>44992</v>
      </c>
      <c r="N135" s="7">
        <v>1399.98</v>
      </c>
    </row>
    <row r="136" spans="1:14" x14ac:dyDescent="0.3">
      <c r="A136" s="4" t="s">
        <v>275</v>
      </c>
      <c r="B136" s="5">
        <v>45589</v>
      </c>
      <c r="C136" s="6" t="s">
        <v>158</v>
      </c>
      <c r="D136" s="6" t="s">
        <v>159</v>
      </c>
      <c r="E136" s="6" t="s">
        <v>80</v>
      </c>
      <c r="F136" s="6" t="s">
        <v>81</v>
      </c>
      <c r="G136" s="6" t="s">
        <v>19</v>
      </c>
      <c r="H136" s="6">
        <v>5</v>
      </c>
      <c r="I136" s="6">
        <v>699.99</v>
      </c>
      <c r="J136" s="6" t="s">
        <v>20</v>
      </c>
      <c r="K136" s="6" t="s">
        <v>40</v>
      </c>
      <c r="L136" s="6" t="s">
        <v>27</v>
      </c>
      <c r="M136" s="5">
        <v>44635</v>
      </c>
      <c r="N136" s="7">
        <v>3499.95</v>
      </c>
    </row>
    <row r="137" spans="1:14" x14ac:dyDescent="0.3">
      <c r="A137" s="4" t="s">
        <v>276</v>
      </c>
      <c r="B137" s="5">
        <v>45592</v>
      </c>
      <c r="C137" s="6" t="s">
        <v>171</v>
      </c>
      <c r="D137" s="6" t="s">
        <v>172</v>
      </c>
      <c r="E137" s="6" t="s">
        <v>117</v>
      </c>
      <c r="F137" s="6" t="s">
        <v>118</v>
      </c>
      <c r="G137" s="6" t="s">
        <v>19</v>
      </c>
      <c r="H137" s="6">
        <v>3</v>
      </c>
      <c r="I137" s="6">
        <v>89.99</v>
      </c>
      <c r="J137" s="6" t="s">
        <v>26</v>
      </c>
      <c r="K137" s="6" t="s">
        <v>40</v>
      </c>
      <c r="L137" s="6" t="s">
        <v>36</v>
      </c>
      <c r="M137" s="5">
        <v>44615</v>
      </c>
      <c r="N137" s="7">
        <v>269.97000000000003</v>
      </c>
    </row>
    <row r="138" spans="1:14" x14ac:dyDescent="0.3">
      <c r="A138" s="4" t="s">
        <v>277</v>
      </c>
      <c r="B138" s="5">
        <v>45597</v>
      </c>
      <c r="C138" s="6" t="s">
        <v>15</v>
      </c>
      <c r="D138" s="6" t="s">
        <v>16</v>
      </c>
      <c r="E138" s="6" t="s">
        <v>17</v>
      </c>
      <c r="F138" s="6" t="s">
        <v>18</v>
      </c>
      <c r="G138" s="6" t="s">
        <v>19</v>
      </c>
      <c r="H138" s="6">
        <v>5</v>
      </c>
      <c r="I138" s="6">
        <v>249.99</v>
      </c>
      <c r="J138" s="6" t="s">
        <v>26</v>
      </c>
      <c r="K138" s="6" t="s">
        <v>35</v>
      </c>
      <c r="L138" s="6" t="s">
        <v>36</v>
      </c>
      <c r="M138" s="5">
        <v>44881</v>
      </c>
      <c r="N138" s="7">
        <v>1249.95</v>
      </c>
    </row>
    <row r="139" spans="1:14" x14ac:dyDescent="0.3">
      <c r="A139" s="4" t="s">
        <v>278</v>
      </c>
      <c r="B139" s="5">
        <v>45600</v>
      </c>
      <c r="C139" s="6" t="s">
        <v>65</v>
      </c>
      <c r="D139" s="6" t="s">
        <v>66</v>
      </c>
      <c r="E139" s="6" t="s">
        <v>105</v>
      </c>
      <c r="F139" s="6" t="s">
        <v>106</v>
      </c>
      <c r="G139" s="6" t="s">
        <v>46</v>
      </c>
      <c r="H139" s="6">
        <v>3</v>
      </c>
      <c r="I139" s="6">
        <v>299.99</v>
      </c>
      <c r="J139" s="6" t="s">
        <v>26</v>
      </c>
      <c r="K139" s="6" t="s">
        <v>35</v>
      </c>
      <c r="L139" s="6" t="s">
        <v>36</v>
      </c>
      <c r="M139" s="5">
        <v>44502</v>
      </c>
      <c r="N139" s="7">
        <v>899.97</v>
      </c>
    </row>
    <row r="140" spans="1:14" x14ac:dyDescent="0.3">
      <c r="A140" s="4" t="s">
        <v>279</v>
      </c>
      <c r="B140" s="5">
        <v>45603</v>
      </c>
      <c r="C140" s="6" t="s">
        <v>99</v>
      </c>
      <c r="D140" s="6" t="s">
        <v>100</v>
      </c>
      <c r="E140" s="6" t="s">
        <v>117</v>
      </c>
      <c r="F140" s="6" t="s">
        <v>118</v>
      </c>
      <c r="G140" s="6" t="s">
        <v>19</v>
      </c>
      <c r="H140" s="6">
        <v>3</v>
      </c>
      <c r="I140" s="6">
        <v>89.99</v>
      </c>
      <c r="J140" s="6" t="s">
        <v>26</v>
      </c>
      <c r="K140" s="6" t="s">
        <v>40</v>
      </c>
      <c r="L140" s="6" t="s">
        <v>27</v>
      </c>
      <c r="M140" s="5">
        <v>44420</v>
      </c>
      <c r="N140" s="7">
        <v>269.97000000000003</v>
      </c>
    </row>
    <row r="141" spans="1:14" x14ac:dyDescent="0.3">
      <c r="A141" s="4" t="s">
        <v>280</v>
      </c>
      <c r="B141" s="5">
        <v>45604</v>
      </c>
      <c r="C141" s="6" t="s">
        <v>89</v>
      </c>
      <c r="D141" s="6" t="s">
        <v>90</v>
      </c>
      <c r="E141" s="6" t="s">
        <v>44</v>
      </c>
      <c r="F141" s="6" t="s">
        <v>45</v>
      </c>
      <c r="G141" s="6" t="s">
        <v>46</v>
      </c>
      <c r="H141" s="6">
        <v>2</v>
      </c>
      <c r="I141" s="6">
        <v>149.99</v>
      </c>
      <c r="J141" s="6" t="s">
        <v>26</v>
      </c>
      <c r="K141" s="6" t="s">
        <v>50</v>
      </c>
      <c r="L141" s="6" t="s">
        <v>27</v>
      </c>
      <c r="M141" s="5">
        <v>44848</v>
      </c>
      <c r="N141" s="7">
        <v>299.98</v>
      </c>
    </row>
    <row r="142" spans="1:14" x14ac:dyDescent="0.3">
      <c r="A142" s="4" t="s">
        <v>281</v>
      </c>
      <c r="B142" s="5">
        <v>45605</v>
      </c>
      <c r="C142" s="6" t="s">
        <v>185</v>
      </c>
      <c r="D142" s="6" t="s">
        <v>186</v>
      </c>
      <c r="E142" s="6" t="s">
        <v>17</v>
      </c>
      <c r="F142" s="6" t="s">
        <v>18</v>
      </c>
      <c r="G142" s="6" t="s">
        <v>19</v>
      </c>
      <c r="H142" s="6">
        <v>1</v>
      </c>
      <c r="I142" s="6">
        <v>249.99</v>
      </c>
      <c r="J142" s="6" t="s">
        <v>26</v>
      </c>
      <c r="K142" s="6" t="s">
        <v>40</v>
      </c>
      <c r="L142" s="6" t="s">
        <v>27</v>
      </c>
      <c r="M142" s="5">
        <v>44828</v>
      </c>
      <c r="N142" s="7">
        <v>249.99</v>
      </c>
    </row>
    <row r="143" spans="1:14" x14ac:dyDescent="0.3">
      <c r="A143" s="4" t="s">
        <v>282</v>
      </c>
      <c r="B143" s="5">
        <v>45607</v>
      </c>
      <c r="C143" s="6" t="s">
        <v>72</v>
      </c>
      <c r="D143" s="6" t="s">
        <v>73</v>
      </c>
      <c r="E143" s="6" t="s">
        <v>52</v>
      </c>
      <c r="F143" s="6" t="s">
        <v>53</v>
      </c>
      <c r="G143" s="6" t="s">
        <v>19</v>
      </c>
      <c r="H143" s="6">
        <v>3</v>
      </c>
      <c r="I143" s="6">
        <v>149.99</v>
      </c>
      <c r="J143" s="6" t="s">
        <v>20</v>
      </c>
      <c r="K143" s="6" t="s">
        <v>40</v>
      </c>
      <c r="L143" s="6" t="s">
        <v>22</v>
      </c>
      <c r="M143" s="5">
        <v>44769</v>
      </c>
      <c r="N143" s="7">
        <v>449.97</v>
      </c>
    </row>
    <row r="144" spans="1:14" x14ac:dyDescent="0.3">
      <c r="A144" s="4" t="s">
        <v>283</v>
      </c>
      <c r="B144" s="5">
        <v>45607</v>
      </c>
      <c r="C144" s="6" t="s">
        <v>15</v>
      </c>
      <c r="D144" s="6" t="s">
        <v>16</v>
      </c>
      <c r="E144" s="6" t="s">
        <v>31</v>
      </c>
      <c r="F144" s="6" t="s">
        <v>32</v>
      </c>
      <c r="G144" s="6" t="s">
        <v>33</v>
      </c>
      <c r="H144" s="6">
        <v>5</v>
      </c>
      <c r="I144" s="6">
        <v>59.99</v>
      </c>
      <c r="J144" s="6" t="s">
        <v>34</v>
      </c>
      <c r="K144" s="6" t="s">
        <v>50</v>
      </c>
      <c r="L144" s="6" t="s">
        <v>27</v>
      </c>
      <c r="M144" s="5">
        <v>44694</v>
      </c>
      <c r="N144" s="7">
        <v>299.95</v>
      </c>
    </row>
    <row r="145" spans="1:14" x14ac:dyDescent="0.3">
      <c r="A145" s="4" t="s">
        <v>284</v>
      </c>
      <c r="B145" s="5">
        <v>45607</v>
      </c>
      <c r="C145" s="6" t="s">
        <v>99</v>
      </c>
      <c r="D145" s="6" t="s">
        <v>100</v>
      </c>
      <c r="E145" s="6" t="s">
        <v>17</v>
      </c>
      <c r="F145" s="6" t="s">
        <v>18</v>
      </c>
      <c r="G145" s="6" t="s">
        <v>19</v>
      </c>
      <c r="H145" s="6">
        <v>4</v>
      </c>
      <c r="I145" s="6">
        <v>249.99</v>
      </c>
      <c r="J145" s="6" t="s">
        <v>26</v>
      </c>
      <c r="K145" s="6" t="s">
        <v>50</v>
      </c>
      <c r="L145" s="6" t="s">
        <v>36</v>
      </c>
      <c r="M145" s="5">
        <v>44659</v>
      </c>
      <c r="N145" s="7">
        <v>999.96</v>
      </c>
    </row>
    <row r="146" spans="1:14" x14ac:dyDescent="0.3">
      <c r="A146" s="4" t="s">
        <v>285</v>
      </c>
      <c r="B146" s="5">
        <v>45608</v>
      </c>
      <c r="C146" s="6" t="s">
        <v>154</v>
      </c>
      <c r="D146" s="6" t="s">
        <v>155</v>
      </c>
      <c r="E146" s="6" t="s">
        <v>44</v>
      </c>
      <c r="F146" s="6" t="s">
        <v>45</v>
      </c>
      <c r="G146" s="6" t="s">
        <v>46</v>
      </c>
      <c r="H146" s="6">
        <v>5</v>
      </c>
      <c r="I146" s="6">
        <v>149.99</v>
      </c>
      <c r="J146" s="6" t="s">
        <v>34</v>
      </c>
      <c r="K146" s="6" t="s">
        <v>21</v>
      </c>
      <c r="L146" s="6" t="s">
        <v>22</v>
      </c>
      <c r="M146" s="5">
        <v>44901</v>
      </c>
      <c r="N146" s="7">
        <v>749.95</v>
      </c>
    </row>
    <row r="147" spans="1:14" x14ac:dyDescent="0.3">
      <c r="A147" s="4" t="s">
        <v>286</v>
      </c>
      <c r="B147" s="5">
        <v>45608</v>
      </c>
      <c r="C147" s="6" t="s">
        <v>83</v>
      </c>
      <c r="D147" s="6" t="s">
        <v>84</v>
      </c>
      <c r="E147" s="6" t="s">
        <v>31</v>
      </c>
      <c r="F147" s="6" t="s">
        <v>32</v>
      </c>
      <c r="G147" s="6" t="s">
        <v>33</v>
      </c>
      <c r="H147" s="6">
        <v>3</v>
      </c>
      <c r="I147" s="6">
        <v>59.99</v>
      </c>
      <c r="J147" s="6" t="s">
        <v>57</v>
      </c>
      <c r="K147" s="6" t="s">
        <v>35</v>
      </c>
      <c r="L147" s="6" t="s">
        <v>36</v>
      </c>
      <c r="M147" s="5">
        <v>45260</v>
      </c>
      <c r="N147" s="7">
        <v>179.97</v>
      </c>
    </row>
    <row r="148" spans="1:14" x14ac:dyDescent="0.3">
      <c r="A148" s="4" t="s">
        <v>287</v>
      </c>
      <c r="B148" s="5">
        <v>45613</v>
      </c>
      <c r="C148" s="6" t="s">
        <v>234</v>
      </c>
      <c r="D148" s="6" t="s">
        <v>235</v>
      </c>
      <c r="E148" s="6" t="s">
        <v>44</v>
      </c>
      <c r="F148" s="6" t="s">
        <v>45</v>
      </c>
      <c r="G148" s="6" t="s">
        <v>46</v>
      </c>
      <c r="H148" s="6">
        <v>5</v>
      </c>
      <c r="I148" s="6">
        <v>149.99</v>
      </c>
      <c r="J148" s="6" t="s">
        <v>20</v>
      </c>
      <c r="K148" s="6" t="s">
        <v>40</v>
      </c>
      <c r="L148" s="6" t="s">
        <v>22</v>
      </c>
      <c r="M148" s="5">
        <v>44869</v>
      </c>
      <c r="N148" s="7">
        <v>749.95</v>
      </c>
    </row>
    <row r="149" spans="1:14" x14ac:dyDescent="0.3">
      <c r="A149" s="4" t="s">
        <v>288</v>
      </c>
      <c r="B149" s="5">
        <v>45613</v>
      </c>
      <c r="C149" s="6" t="s">
        <v>86</v>
      </c>
      <c r="D149" s="6" t="s">
        <v>87</v>
      </c>
      <c r="E149" s="6" t="s">
        <v>80</v>
      </c>
      <c r="F149" s="6" t="s">
        <v>81</v>
      </c>
      <c r="G149" s="6" t="s">
        <v>19</v>
      </c>
      <c r="H149" s="6">
        <v>2</v>
      </c>
      <c r="I149" s="6">
        <v>699.99</v>
      </c>
      <c r="J149" s="6" t="s">
        <v>34</v>
      </c>
      <c r="K149" s="6" t="s">
        <v>50</v>
      </c>
      <c r="L149" s="6" t="s">
        <v>36</v>
      </c>
      <c r="M149" s="5">
        <v>44770</v>
      </c>
      <c r="N149" s="7">
        <v>1399.98</v>
      </c>
    </row>
    <row r="150" spans="1:14" x14ac:dyDescent="0.3">
      <c r="A150" s="4" t="s">
        <v>289</v>
      </c>
      <c r="B150" s="5">
        <v>45617</v>
      </c>
      <c r="C150" s="6" t="s">
        <v>123</v>
      </c>
      <c r="D150" s="6" t="s">
        <v>124</v>
      </c>
      <c r="E150" s="6" t="s">
        <v>126</v>
      </c>
      <c r="F150" s="6" t="s">
        <v>127</v>
      </c>
      <c r="G150" s="6" t="s">
        <v>46</v>
      </c>
      <c r="H150" s="6">
        <v>4</v>
      </c>
      <c r="I150" s="6">
        <v>199.99</v>
      </c>
      <c r="J150" s="6" t="s">
        <v>57</v>
      </c>
      <c r="K150" s="6" t="s">
        <v>21</v>
      </c>
      <c r="L150" s="6" t="s">
        <v>27</v>
      </c>
      <c r="M150" s="5">
        <v>44427</v>
      </c>
      <c r="N150" s="7">
        <v>799.96</v>
      </c>
    </row>
    <row r="151" spans="1:14" x14ac:dyDescent="0.3">
      <c r="A151" s="4" t="s">
        <v>290</v>
      </c>
      <c r="B151" s="5">
        <v>45619</v>
      </c>
      <c r="C151" s="6" t="s">
        <v>192</v>
      </c>
      <c r="D151" s="6" t="s">
        <v>193</v>
      </c>
      <c r="E151" s="6" t="s">
        <v>31</v>
      </c>
      <c r="F151" s="6" t="s">
        <v>32</v>
      </c>
      <c r="G151" s="6" t="s">
        <v>33</v>
      </c>
      <c r="H151" s="6">
        <v>1</v>
      </c>
      <c r="I151" s="6">
        <v>59.99</v>
      </c>
      <c r="J151" s="6" t="s">
        <v>57</v>
      </c>
      <c r="K151" s="6" t="s">
        <v>50</v>
      </c>
      <c r="L151" s="6" t="s">
        <v>36</v>
      </c>
      <c r="M151" s="5">
        <v>44560</v>
      </c>
      <c r="N151" s="7">
        <v>59.99</v>
      </c>
    </row>
    <row r="152" spans="1:14" x14ac:dyDescent="0.3">
      <c r="A152" s="4" t="s">
        <v>291</v>
      </c>
      <c r="B152" s="5">
        <v>45619</v>
      </c>
      <c r="C152" s="6" t="s">
        <v>154</v>
      </c>
      <c r="D152" s="6" t="s">
        <v>155</v>
      </c>
      <c r="E152" s="6" t="s">
        <v>80</v>
      </c>
      <c r="F152" s="6" t="s">
        <v>81</v>
      </c>
      <c r="G152" s="6" t="s">
        <v>19</v>
      </c>
      <c r="H152" s="6">
        <v>3</v>
      </c>
      <c r="I152" s="6">
        <v>699.99</v>
      </c>
      <c r="J152" s="6" t="s">
        <v>34</v>
      </c>
      <c r="K152" s="6" t="s">
        <v>50</v>
      </c>
      <c r="L152" s="6" t="s">
        <v>36</v>
      </c>
      <c r="M152" s="5">
        <v>44583</v>
      </c>
      <c r="N152" s="7">
        <v>2099.9699999999998</v>
      </c>
    </row>
    <row r="153" spans="1:14" x14ac:dyDescent="0.3">
      <c r="A153" s="4" t="s">
        <v>292</v>
      </c>
      <c r="B153" s="5">
        <v>45622</v>
      </c>
      <c r="C153" s="6" t="s">
        <v>293</v>
      </c>
      <c r="D153" s="6" t="s">
        <v>294</v>
      </c>
      <c r="E153" s="6" t="s">
        <v>17</v>
      </c>
      <c r="F153" s="6" t="s">
        <v>18</v>
      </c>
      <c r="G153" s="6" t="s">
        <v>19</v>
      </c>
      <c r="H153" s="6">
        <v>5</v>
      </c>
      <c r="I153" s="6">
        <v>249.99</v>
      </c>
      <c r="J153" s="6" t="s">
        <v>26</v>
      </c>
      <c r="K153" s="6" t="s">
        <v>40</v>
      </c>
      <c r="L153" s="6" t="s">
        <v>22</v>
      </c>
      <c r="M153" s="5">
        <v>44873</v>
      </c>
      <c r="N153" s="7">
        <v>1249.95</v>
      </c>
    </row>
    <row r="154" spans="1:14" x14ac:dyDescent="0.3">
      <c r="A154" s="4" t="s">
        <v>295</v>
      </c>
      <c r="B154" s="5">
        <v>45623</v>
      </c>
      <c r="C154" s="6" t="s">
        <v>112</v>
      </c>
      <c r="D154" s="6" t="s">
        <v>113</v>
      </c>
      <c r="E154" s="6" t="s">
        <v>44</v>
      </c>
      <c r="F154" s="6" t="s">
        <v>45</v>
      </c>
      <c r="G154" s="6" t="s">
        <v>46</v>
      </c>
      <c r="H154" s="6">
        <v>2</v>
      </c>
      <c r="I154" s="6">
        <v>149.99</v>
      </c>
      <c r="J154" s="6" t="s">
        <v>20</v>
      </c>
      <c r="K154" s="6" t="s">
        <v>35</v>
      </c>
      <c r="L154" s="6" t="s">
        <v>36</v>
      </c>
      <c r="M154" s="5">
        <v>45101</v>
      </c>
      <c r="N154" s="7">
        <v>299.98</v>
      </c>
    </row>
    <row r="155" spans="1:14" x14ac:dyDescent="0.3">
      <c r="A155" s="4" t="s">
        <v>296</v>
      </c>
      <c r="B155" s="5">
        <v>45627</v>
      </c>
      <c r="C155" s="6" t="s">
        <v>29</v>
      </c>
      <c r="D155" s="6" t="s">
        <v>30</v>
      </c>
      <c r="E155" s="6" t="s">
        <v>105</v>
      </c>
      <c r="F155" s="6" t="s">
        <v>106</v>
      </c>
      <c r="G155" s="6" t="s">
        <v>46</v>
      </c>
      <c r="H155" s="6">
        <v>3</v>
      </c>
      <c r="I155" s="6">
        <v>299.99</v>
      </c>
      <c r="J155" s="6" t="s">
        <v>20</v>
      </c>
      <c r="K155" s="6" t="s">
        <v>35</v>
      </c>
      <c r="L155" s="6" t="s">
        <v>27</v>
      </c>
      <c r="M155" s="5">
        <v>44659</v>
      </c>
      <c r="N155" s="7">
        <v>899.97</v>
      </c>
    </row>
    <row r="156" spans="1:14" x14ac:dyDescent="0.3">
      <c r="A156" s="4" t="s">
        <v>297</v>
      </c>
      <c r="B156" s="5">
        <v>45627</v>
      </c>
      <c r="C156" s="6" t="s">
        <v>55</v>
      </c>
      <c r="D156" s="6" t="s">
        <v>56</v>
      </c>
      <c r="E156" s="6" t="s">
        <v>17</v>
      </c>
      <c r="F156" s="6" t="s">
        <v>18</v>
      </c>
      <c r="G156" s="6" t="s">
        <v>19</v>
      </c>
      <c r="H156" s="6">
        <v>5</v>
      </c>
      <c r="I156" s="6">
        <v>249.99</v>
      </c>
      <c r="J156" s="6" t="s">
        <v>20</v>
      </c>
      <c r="K156" s="6" t="s">
        <v>21</v>
      </c>
      <c r="L156" s="6" t="s">
        <v>27</v>
      </c>
      <c r="M156" s="5">
        <v>44485</v>
      </c>
      <c r="N156" s="7">
        <v>1249.95</v>
      </c>
    </row>
    <row r="157" spans="1:14" x14ac:dyDescent="0.3">
      <c r="A157" s="4" t="s">
        <v>298</v>
      </c>
      <c r="B157" s="5">
        <v>45627</v>
      </c>
      <c r="C157" s="6" t="s">
        <v>24</v>
      </c>
      <c r="D157" s="6" t="s">
        <v>25</v>
      </c>
      <c r="E157" s="6" t="s">
        <v>52</v>
      </c>
      <c r="F157" s="6" t="s">
        <v>53</v>
      </c>
      <c r="G157" s="6" t="s">
        <v>19</v>
      </c>
      <c r="H157" s="6">
        <v>2</v>
      </c>
      <c r="I157" s="6">
        <v>149.99</v>
      </c>
      <c r="J157" s="6" t="s">
        <v>20</v>
      </c>
      <c r="K157" s="6" t="s">
        <v>35</v>
      </c>
      <c r="L157" s="6" t="s">
        <v>27</v>
      </c>
      <c r="M157" s="5">
        <v>44475</v>
      </c>
      <c r="N157" s="7">
        <v>299.98</v>
      </c>
    </row>
    <row r="158" spans="1:14" x14ac:dyDescent="0.3">
      <c r="A158" s="4" t="s">
        <v>299</v>
      </c>
      <c r="B158" s="5">
        <v>45627</v>
      </c>
      <c r="C158" s="6" t="s">
        <v>86</v>
      </c>
      <c r="D158" s="6" t="s">
        <v>87</v>
      </c>
      <c r="E158" s="6" t="s">
        <v>80</v>
      </c>
      <c r="F158" s="6" t="s">
        <v>81</v>
      </c>
      <c r="G158" s="6" t="s">
        <v>19</v>
      </c>
      <c r="H158" s="6">
        <v>5</v>
      </c>
      <c r="I158" s="6">
        <v>699.99</v>
      </c>
      <c r="J158" s="6" t="s">
        <v>57</v>
      </c>
      <c r="K158" s="6" t="s">
        <v>50</v>
      </c>
      <c r="L158" s="6" t="s">
        <v>36</v>
      </c>
      <c r="M158" s="5">
        <v>44944</v>
      </c>
      <c r="N158" s="7">
        <v>3499.95</v>
      </c>
    </row>
    <row r="159" spans="1:14" x14ac:dyDescent="0.3">
      <c r="A159" s="4" t="s">
        <v>300</v>
      </c>
      <c r="B159" s="5">
        <v>45629</v>
      </c>
      <c r="C159" s="6" t="s">
        <v>252</v>
      </c>
      <c r="D159" s="6" t="s">
        <v>253</v>
      </c>
      <c r="E159" s="6" t="s">
        <v>17</v>
      </c>
      <c r="F159" s="6" t="s">
        <v>18</v>
      </c>
      <c r="G159" s="6" t="s">
        <v>19</v>
      </c>
      <c r="H159" s="6">
        <v>4</v>
      </c>
      <c r="I159" s="6">
        <v>249.99</v>
      </c>
      <c r="J159" s="6" t="s">
        <v>34</v>
      </c>
      <c r="K159" s="6" t="s">
        <v>63</v>
      </c>
      <c r="L159" s="6" t="s">
        <v>27</v>
      </c>
      <c r="M159" s="5">
        <v>45098</v>
      </c>
      <c r="N159" s="7">
        <v>999.96</v>
      </c>
    </row>
    <row r="160" spans="1:14" x14ac:dyDescent="0.3">
      <c r="A160" s="4" t="s">
        <v>301</v>
      </c>
      <c r="B160" s="5">
        <v>45630</v>
      </c>
      <c r="C160" s="6" t="s">
        <v>48</v>
      </c>
      <c r="D160" s="6" t="s">
        <v>49</v>
      </c>
      <c r="E160" s="6" t="s">
        <v>80</v>
      </c>
      <c r="F160" s="6" t="s">
        <v>81</v>
      </c>
      <c r="G160" s="6" t="s">
        <v>19</v>
      </c>
      <c r="H160" s="6">
        <v>4</v>
      </c>
      <c r="I160" s="6">
        <v>699.99</v>
      </c>
      <c r="J160" s="6" t="s">
        <v>26</v>
      </c>
      <c r="K160" s="6" t="s">
        <v>40</v>
      </c>
      <c r="L160" s="6" t="s">
        <v>27</v>
      </c>
      <c r="M160" s="5">
        <v>44703</v>
      </c>
      <c r="N160" s="7">
        <v>2799.96</v>
      </c>
    </row>
    <row r="161" spans="1:14" x14ac:dyDescent="0.3">
      <c r="A161" s="4" t="s">
        <v>302</v>
      </c>
      <c r="B161" s="5">
        <v>45635</v>
      </c>
      <c r="C161" s="6" t="s">
        <v>108</v>
      </c>
      <c r="D161" s="6" t="s">
        <v>109</v>
      </c>
      <c r="E161" s="6" t="s">
        <v>17</v>
      </c>
      <c r="F161" s="6" t="s">
        <v>18</v>
      </c>
      <c r="G161" s="6" t="s">
        <v>19</v>
      </c>
      <c r="H161" s="6">
        <v>2</v>
      </c>
      <c r="I161" s="6">
        <v>249.99</v>
      </c>
      <c r="J161" s="6" t="s">
        <v>26</v>
      </c>
      <c r="K161" s="6" t="s">
        <v>21</v>
      </c>
      <c r="L161" s="6" t="s">
        <v>27</v>
      </c>
      <c r="M161" s="5">
        <v>44396</v>
      </c>
      <c r="N161" s="7">
        <v>499.98</v>
      </c>
    </row>
    <row r="162" spans="1:14" x14ac:dyDescent="0.3">
      <c r="A162" s="4" t="s">
        <v>303</v>
      </c>
      <c r="B162" s="5">
        <v>45635</v>
      </c>
      <c r="C162" s="6" t="s">
        <v>304</v>
      </c>
      <c r="D162" s="6" t="s">
        <v>305</v>
      </c>
      <c r="E162" s="6" t="s">
        <v>31</v>
      </c>
      <c r="F162" s="6" t="s">
        <v>32</v>
      </c>
      <c r="G162" s="6" t="s">
        <v>33</v>
      </c>
      <c r="H162" s="6">
        <v>3</v>
      </c>
      <c r="I162" s="6">
        <v>59.99</v>
      </c>
      <c r="J162" s="6" t="s">
        <v>20</v>
      </c>
      <c r="K162" s="6" t="s">
        <v>21</v>
      </c>
      <c r="L162" s="6" t="s">
        <v>27</v>
      </c>
      <c r="M162" s="5">
        <v>45052</v>
      </c>
      <c r="N162" s="7">
        <v>179.97</v>
      </c>
    </row>
    <row r="163" spans="1:14" x14ac:dyDescent="0.3">
      <c r="A163" s="4" t="s">
        <v>306</v>
      </c>
      <c r="B163" s="5">
        <v>45635</v>
      </c>
      <c r="C163" s="6" t="s">
        <v>141</v>
      </c>
      <c r="D163" s="6" t="s">
        <v>142</v>
      </c>
      <c r="E163" s="6" t="s">
        <v>114</v>
      </c>
      <c r="F163" s="6" t="s">
        <v>115</v>
      </c>
      <c r="G163" s="6" t="s">
        <v>33</v>
      </c>
      <c r="H163" s="6">
        <v>4</v>
      </c>
      <c r="I163" s="6">
        <v>79.989999999999995</v>
      </c>
      <c r="J163" s="6" t="s">
        <v>57</v>
      </c>
      <c r="K163" s="6" t="s">
        <v>63</v>
      </c>
      <c r="L163" s="6" t="s">
        <v>36</v>
      </c>
      <c r="M163" s="5">
        <v>44921</v>
      </c>
      <c r="N163" s="7">
        <v>319.95999999999998</v>
      </c>
    </row>
    <row r="164" spans="1:14" x14ac:dyDescent="0.3">
      <c r="A164" s="4" t="s">
        <v>307</v>
      </c>
      <c r="B164" s="5">
        <v>45636</v>
      </c>
      <c r="C164" s="6" t="s">
        <v>120</v>
      </c>
      <c r="D164" s="6" t="s">
        <v>121</v>
      </c>
      <c r="E164" s="6" t="s">
        <v>114</v>
      </c>
      <c r="F164" s="6" t="s">
        <v>115</v>
      </c>
      <c r="G164" s="6" t="s">
        <v>33</v>
      </c>
      <c r="H164" s="6">
        <v>3</v>
      </c>
      <c r="I164" s="6">
        <v>79.989999999999995</v>
      </c>
      <c r="J164" s="6" t="s">
        <v>57</v>
      </c>
      <c r="K164" s="6" t="s">
        <v>63</v>
      </c>
      <c r="L164" s="6" t="s">
        <v>36</v>
      </c>
      <c r="M164" s="5">
        <v>44779</v>
      </c>
      <c r="N164" s="7">
        <v>239.97</v>
      </c>
    </row>
    <row r="165" spans="1:14" x14ac:dyDescent="0.3">
      <c r="A165" s="4" t="s">
        <v>308</v>
      </c>
      <c r="B165" s="5">
        <v>45638</v>
      </c>
      <c r="C165" s="6" t="s">
        <v>72</v>
      </c>
      <c r="D165" s="6" t="s">
        <v>73</v>
      </c>
      <c r="E165" s="6" t="s">
        <v>61</v>
      </c>
      <c r="F165" s="6" t="s">
        <v>62</v>
      </c>
      <c r="G165" s="6" t="s">
        <v>19</v>
      </c>
      <c r="H165" s="6">
        <v>2</v>
      </c>
      <c r="I165" s="6">
        <v>899.99</v>
      </c>
      <c r="J165" s="6" t="s">
        <v>20</v>
      </c>
      <c r="K165" s="6" t="s">
        <v>40</v>
      </c>
      <c r="L165" s="6" t="s">
        <v>22</v>
      </c>
      <c r="M165" s="5">
        <v>44406</v>
      </c>
      <c r="N165" s="7">
        <v>1799.98</v>
      </c>
    </row>
    <row r="166" spans="1:14" x14ac:dyDescent="0.3">
      <c r="A166" s="4" t="s">
        <v>309</v>
      </c>
      <c r="B166" s="5">
        <v>45641</v>
      </c>
      <c r="C166" s="6" t="s">
        <v>182</v>
      </c>
      <c r="D166" s="6" t="s">
        <v>183</v>
      </c>
      <c r="E166" s="6" t="s">
        <v>44</v>
      </c>
      <c r="F166" s="6" t="s">
        <v>45</v>
      </c>
      <c r="G166" s="6" t="s">
        <v>46</v>
      </c>
      <c r="H166" s="6">
        <v>1</v>
      </c>
      <c r="I166" s="6">
        <v>149.99</v>
      </c>
      <c r="J166" s="6" t="s">
        <v>57</v>
      </c>
      <c r="K166" s="6" t="s">
        <v>63</v>
      </c>
      <c r="L166" s="6" t="s">
        <v>36</v>
      </c>
      <c r="M166" s="5">
        <v>45200</v>
      </c>
      <c r="N166" s="7">
        <v>149.99</v>
      </c>
    </row>
    <row r="167" spans="1:14" x14ac:dyDescent="0.3">
      <c r="A167" s="4" t="s">
        <v>310</v>
      </c>
      <c r="B167" s="5">
        <v>45641</v>
      </c>
      <c r="C167" s="6" t="s">
        <v>138</v>
      </c>
      <c r="D167" s="6" t="s">
        <v>139</v>
      </c>
      <c r="E167" s="6" t="s">
        <v>105</v>
      </c>
      <c r="F167" s="6" t="s">
        <v>106</v>
      </c>
      <c r="G167" s="6" t="s">
        <v>46</v>
      </c>
      <c r="H167" s="6">
        <v>2</v>
      </c>
      <c r="I167" s="6">
        <v>299.99</v>
      </c>
      <c r="J167" s="6" t="s">
        <v>20</v>
      </c>
      <c r="K167" s="6" t="s">
        <v>63</v>
      </c>
      <c r="L167" s="6" t="s">
        <v>27</v>
      </c>
      <c r="M167" s="5">
        <v>44724</v>
      </c>
      <c r="N167" s="7">
        <v>599.98</v>
      </c>
    </row>
    <row r="168" spans="1:14" x14ac:dyDescent="0.3">
      <c r="A168" s="4" t="s">
        <v>311</v>
      </c>
      <c r="B168" s="5">
        <v>45644</v>
      </c>
      <c r="C168" s="6" t="s">
        <v>132</v>
      </c>
      <c r="D168" s="6" t="s">
        <v>133</v>
      </c>
      <c r="E168" s="6" t="s">
        <v>31</v>
      </c>
      <c r="F168" s="6" t="s">
        <v>32</v>
      </c>
      <c r="G168" s="6" t="s">
        <v>33</v>
      </c>
      <c r="H168" s="6">
        <v>2</v>
      </c>
      <c r="I168" s="6">
        <v>59.99</v>
      </c>
      <c r="J168" s="6" t="s">
        <v>20</v>
      </c>
      <c r="K168" s="6" t="s">
        <v>50</v>
      </c>
      <c r="L168" s="6" t="s">
        <v>22</v>
      </c>
      <c r="M168" s="5">
        <v>45191</v>
      </c>
      <c r="N168" s="7">
        <v>119.98</v>
      </c>
    </row>
    <row r="169" spans="1:14" x14ac:dyDescent="0.3">
      <c r="A169" s="4" t="s">
        <v>312</v>
      </c>
      <c r="B169" s="5">
        <v>45645</v>
      </c>
      <c r="C169" s="6" t="s">
        <v>182</v>
      </c>
      <c r="D169" s="6" t="s">
        <v>183</v>
      </c>
      <c r="E169" s="6" t="s">
        <v>117</v>
      </c>
      <c r="F169" s="6" t="s">
        <v>118</v>
      </c>
      <c r="G169" s="6" t="s">
        <v>19</v>
      </c>
      <c r="H169" s="6">
        <v>1</v>
      </c>
      <c r="I169" s="6">
        <v>89.99</v>
      </c>
      <c r="J169" s="6" t="s">
        <v>57</v>
      </c>
      <c r="K169" s="6" t="s">
        <v>21</v>
      </c>
      <c r="L169" s="6" t="s">
        <v>36</v>
      </c>
      <c r="M169" s="5">
        <v>44760</v>
      </c>
      <c r="N169" s="7">
        <v>89.99</v>
      </c>
    </row>
    <row r="170" spans="1:14" x14ac:dyDescent="0.3">
      <c r="A170" s="4" t="s">
        <v>313</v>
      </c>
      <c r="B170" s="5">
        <v>45645</v>
      </c>
      <c r="C170" s="6" t="s">
        <v>147</v>
      </c>
      <c r="D170" s="6" t="s">
        <v>148</v>
      </c>
      <c r="E170" s="6" t="s">
        <v>61</v>
      </c>
      <c r="F170" s="6" t="s">
        <v>62</v>
      </c>
      <c r="G170" s="6" t="s">
        <v>19</v>
      </c>
      <c r="H170" s="6">
        <v>5</v>
      </c>
      <c r="I170" s="6">
        <v>899.99</v>
      </c>
      <c r="J170" s="6" t="s">
        <v>57</v>
      </c>
      <c r="K170" s="6" t="s">
        <v>63</v>
      </c>
      <c r="L170" s="6" t="s">
        <v>36</v>
      </c>
      <c r="M170" s="5">
        <v>44625</v>
      </c>
      <c r="N170" s="7">
        <v>4499.95</v>
      </c>
    </row>
    <row r="171" spans="1:14" x14ac:dyDescent="0.3">
      <c r="A171" s="4" t="s">
        <v>314</v>
      </c>
      <c r="B171" s="5">
        <v>45646</v>
      </c>
      <c r="C171" s="6" t="s">
        <v>42</v>
      </c>
      <c r="D171" s="6" t="s">
        <v>43</v>
      </c>
      <c r="E171" s="6" t="s">
        <v>44</v>
      </c>
      <c r="F171" s="6" t="s">
        <v>45</v>
      </c>
      <c r="G171" s="6" t="s">
        <v>46</v>
      </c>
      <c r="H171" s="6">
        <v>2</v>
      </c>
      <c r="I171" s="6">
        <v>149.99</v>
      </c>
      <c r="J171" s="6" t="s">
        <v>20</v>
      </c>
      <c r="K171" s="6" t="s">
        <v>35</v>
      </c>
      <c r="L171" s="6" t="s">
        <v>22</v>
      </c>
      <c r="M171" s="5">
        <v>45239</v>
      </c>
      <c r="N171" s="7">
        <v>299.98</v>
      </c>
    </row>
    <row r="172" spans="1:14" x14ac:dyDescent="0.3">
      <c r="A172" s="4" t="s">
        <v>315</v>
      </c>
      <c r="B172" s="5">
        <v>45648</v>
      </c>
      <c r="C172" s="6" t="s">
        <v>112</v>
      </c>
      <c r="D172" s="6" t="s">
        <v>113</v>
      </c>
      <c r="E172" s="6" t="s">
        <v>52</v>
      </c>
      <c r="F172" s="6" t="s">
        <v>53</v>
      </c>
      <c r="G172" s="6" t="s">
        <v>19</v>
      </c>
      <c r="H172" s="6">
        <v>2</v>
      </c>
      <c r="I172" s="6">
        <v>149.99</v>
      </c>
      <c r="J172" s="6" t="s">
        <v>57</v>
      </c>
      <c r="K172" s="6" t="s">
        <v>50</v>
      </c>
      <c r="L172" s="6" t="s">
        <v>27</v>
      </c>
      <c r="M172" s="5">
        <v>45280</v>
      </c>
      <c r="N172" s="7">
        <v>299.98</v>
      </c>
    </row>
    <row r="173" spans="1:14" x14ac:dyDescent="0.3">
      <c r="A173" s="4" t="s">
        <v>316</v>
      </c>
      <c r="B173" s="5">
        <v>45648</v>
      </c>
      <c r="C173" s="6" t="s">
        <v>182</v>
      </c>
      <c r="D173" s="6" t="s">
        <v>183</v>
      </c>
      <c r="E173" s="6" t="s">
        <v>44</v>
      </c>
      <c r="F173" s="6" t="s">
        <v>45</v>
      </c>
      <c r="G173" s="6" t="s">
        <v>46</v>
      </c>
      <c r="H173" s="6">
        <v>3</v>
      </c>
      <c r="I173" s="6">
        <v>149.99</v>
      </c>
      <c r="J173" s="6" t="s">
        <v>57</v>
      </c>
      <c r="K173" s="6" t="s">
        <v>40</v>
      </c>
      <c r="L173" s="6" t="s">
        <v>36</v>
      </c>
      <c r="M173" s="5">
        <v>44522</v>
      </c>
      <c r="N173" s="7">
        <v>449.97</v>
      </c>
    </row>
    <row r="174" spans="1:14" x14ac:dyDescent="0.3">
      <c r="A174" s="4" t="s">
        <v>317</v>
      </c>
      <c r="B174" s="5">
        <v>45649</v>
      </c>
      <c r="C174" s="6" t="s">
        <v>29</v>
      </c>
      <c r="D174" s="6" t="s">
        <v>30</v>
      </c>
      <c r="E174" s="6" t="s">
        <v>105</v>
      </c>
      <c r="F174" s="6" t="s">
        <v>106</v>
      </c>
      <c r="G174" s="6" t="s">
        <v>46</v>
      </c>
      <c r="H174" s="6">
        <v>2</v>
      </c>
      <c r="I174" s="6">
        <v>299.99</v>
      </c>
      <c r="J174" s="6" t="s">
        <v>34</v>
      </c>
      <c r="K174" s="6" t="s">
        <v>35</v>
      </c>
      <c r="L174" s="6" t="s">
        <v>22</v>
      </c>
      <c r="M174" s="5">
        <v>44721</v>
      </c>
      <c r="N174" s="7">
        <v>599.98</v>
      </c>
    </row>
    <row r="175" spans="1:14" x14ac:dyDescent="0.3">
      <c r="A175" s="4" t="s">
        <v>318</v>
      </c>
      <c r="B175" s="5">
        <v>45654</v>
      </c>
      <c r="C175" s="6" t="s">
        <v>42</v>
      </c>
      <c r="D175" s="6" t="s">
        <v>43</v>
      </c>
      <c r="E175" s="6" t="s">
        <v>105</v>
      </c>
      <c r="F175" s="6" t="s">
        <v>106</v>
      </c>
      <c r="G175" s="6" t="s">
        <v>46</v>
      </c>
      <c r="H175" s="6">
        <v>2</v>
      </c>
      <c r="I175" s="6">
        <v>299.99</v>
      </c>
      <c r="J175" s="6" t="s">
        <v>20</v>
      </c>
      <c r="K175" s="6" t="s">
        <v>50</v>
      </c>
      <c r="L175" s="6" t="s">
        <v>22</v>
      </c>
      <c r="M175" s="5">
        <v>44771</v>
      </c>
      <c r="N175" s="7">
        <v>599.98</v>
      </c>
    </row>
    <row r="176" spans="1:14" x14ac:dyDescent="0.3">
      <c r="A176" s="4" t="s">
        <v>319</v>
      </c>
      <c r="B176" s="5">
        <v>45654</v>
      </c>
      <c r="C176" s="6" t="s">
        <v>120</v>
      </c>
      <c r="D176" s="6" t="s">
        <v>121</v>
      </c>
      <c r="E176" s="6" t="s">
        <v>126</v>
      </c>
      <c r="F176" s="6" t="s">
        <v>127</v>
      </c>
      <c r="G176" s="6" t="s">
        <v>46</v>
      </c>
      <c r="H176" s="6">
        <v>4</v>
      </c>
      <c r="I176" s="6">
        <v>199.99</v>
      </c>
      <c r="J176" s="6" t="s">
        <v>26</v>
      </c>
      <c r="K176" s="6" t="s">
        <v>21</v>
      </c>
      <c r="L176" s="6" t="s">
        <v>22</v>
      </c>
      <c r="M176" s="5">
        <v>44523</v>
      </c>
      <c r="N176" s="7">
        <v>799.96</v>
      </c>
    </row>
    <row r="177" spans="1:14" x14ac:dyDescent="0.3">
      <c r="A177" s="4" t="s">
        <v>320</v>
      </c>
      <c r="B177" s="5">
        <v>45655</v>
      </c>
      <c r="C177" s="6" t="s">
        <v>59</v>
      </c>
      <c r="D177" s="6" t="s">
        <v>60</v>
      </c>
      <c r="E177" s="6" t="s">
        <v>117</v>
      </c>
      <c r="F177" s="6" t="s">
        <v>118</v>
      </c>
      <c r="G177" s="6" t="s">
        <v>19</v>
      </c>
      <c r="H177" s="6">
        <v>1</v>
      </c>
      <c r="I177" s="6">
        <v>89.99</v>
      </c>
      <c r="J177" s="6" t="s">
        <v>26</v>
      </c>
      <c r="K177" s="6" t="s">
        <v>35</v>
      </c>
      <c r="L177" s="6" t="s">
        <v>27</v>
      </c>
      <c r="M177" s="5">
        <v>44591</v>
      </c>
      <c r="N177" s="7">
        <v>89.99</v>
      </c>
    </row>
    <row r="178" spans="1:14" x14ac:dyDescent="0.3">
      <c r="A178" s="4" t="s">
        <v>321</v>
      </c>
      <c r="B178" s="5">
        <v>45655</v>
      </c>
      <c r="C178" s="6" t="s">
        <v>108</v>
      </c>
      <c r="D178" s="6" t="s">
        <v>109</v>
      </c>
      <c r="E178" s="6" t="s">
        <v>44</v>
      </c>
      <c r="F178" s="6" t="s">
        <v>45</v>
      </c>
      <c r="G178" s="6" t="s">
        <v>46</v>
      </c>
      <c r="H178" s="6">
        <v>5</v>
      </c>
      <c r="I178" s="6">
        <v>149.99</v>
      </c>
      <c r="J178" s="6" t="s">
        <v>20</v>
      </c>
      <c r="K178" s="6" t="s">
        <v>21</v>
      </c>
      <c r="L178" s="6" t="s">
        <v>27</v>
      </c>
      <c r="M178" s="5">
        <v>45347</v>
      </c>
      <c r="N178" s="7">
        <v>749.95</v>
      </c>
    </row>
    <row r="179" spans="1:14" x14ac:dyDescent="0.3">
      <c r="A179" s="4" t="s">
        <v>322</v>
      </c>
      <c r="B179" s="5">
        <v>45657</v>
      </c>
      <c r="C179" s="6" t="s">
        <v>86</v>
      </c>
      <c r="D179" s="6" t="s">
        <v>87</v>
      </c>
      <c r="E179" s="6" t="s">
        <v>61</v>
      </c>
      <c r="F179" s="6" t="s">
        <v>62</v>
      </c>
      <c r="G179" s="6" t="s">
        <v>19</v>
      </c>
      <c r="H179" s="6">
        <v>1</v>
      </c>
      <c r="I179" s="6">
        <v>899.99</v>
      </c>
      <c r="J179" s="6" t="s">
        <v>34</v>
      </c>
      <c r="K179" s="6" t="s">
        <v>40</v>
      </c>
      <c r="L179" s="6" t="s">
        <v>27</v>
      </c>
      <c r="M179" s="5">
        <v>45050</v>
      </c>
      <c r="N179" s="7">
        <v>899.99</v>
      </c>
    </row>
    <row r="180" spans="1:14" x14ac:dyDescent="0.3">
      <c r="A180" s="4" t="s">
        <v>323</v>
      </c>
      <c r="B180" s="5">
        <v>45660</v>
      </c>
      <c r="C180" s="6" t="s">
        <v>147</v>
      </c>
      <c r="D180" s="6" t="s">
        <v>148</v>
      </c>
      <c r="E180" s="6" t="s">
        <v>117</v>
      </c>
      <c r="F180" s="6" t="s">
        <v>118</v>
      </c>
      <c r="G180" s="6" t="s">
        <v>19</v>
      </c>
      <c r="H180" s="6">
        <v>2</v>
      </c>
      <c r="I180" s="6">
        <v>89.99</v>
      </c>
      <c r="J180" s="6" t="s">
        <v>26</v>
      </c>
      <c r="K180" s="6" t="s">
        <v>35</v>
      </c>
      <c r="L180" s="6" t="s">
        <v>27</v>
      </c>
      <c r="M180" s="5">
        <v>44564</v>
      </c>
      <c r="N180" s="7">
        <v>179.98</v>
      </c>
    </row>
    <row r="181" spans="1:14" x14ac:dyDescent="0.3">
      <c r="A181" s="4" t="s">
        <v>324</v>
      </c>
      <c r="B181" s="5">
        <v>45661</v>
      </c>
      <c r="C181" s="6" t="s">
        <v>325</v>
      </c>
      <c r="D181" s="6" t="s">
        <v>326</v>
      </c>
      <c r="E181" s="6" t="s">
        <v>61</v>
      </c>
      <c r="F181" s="6" t="s">
        <v>62</v>
      </c>
      <c r="G181" s="6" t="s">
        <v>19</v>
      </c>
      <c r="H181" s="6">
        <v>1</v>
      </c>
      <c r="I181" s="6">
        <v>899.99</v>
      </c>
      <c r="J181" s="6" t="s">
        <v>34</v>
      </c>
      <c r="K181" s="6" t="s">
        <v>40</v>
      </c>
      <c r="L181" s="6" t="s">
        <v>36</v>
      </c>
      <c r="M181" s="5">
        <v>44752</v>
      </c>
      <c r="N181" s="7">
        <v>899.99</v>
      </c>
    </row>
    <row r="182" spans="1:14" x14ac:dyDescent="0.3">
      <c r="A182" s="4" t="s">
        <v>327</v>
      </c>
      <c r="B182" s="5">
        <v>45663</v>
      </c>
      <c r="C182" s="6" t="s">
        <v>129</v>
      </c>
      <c r="D182" s="6" t="s">
        <v>130</v>
      </c>
      <c r="E182" s="6" t="s">
        <v>52</v>
      </c>
      <c r="F182" s="6" t="s">
        <v>53</v>
      </c>
      <c r="G182" s="6" t="s">
        <v>19</v>
      </c>
      <c r="H182" s="6">
        <v>5</v>
      </c>
      <c r="I182" s="6">
        <v>149.99</v>
      </c>
      <c r="J182" s="6" t="s">
        <v>34</v>
      </c>
      <c r="K182" s="6" t="s">
        <v>63</v>
      </c>
      <c r="L182" s="6" t="s">
        <v>27</v>
      </c>
      <c r="M182" s="5">
        <v>44824</v>
      </c>
      <c r="N182" s="7">
        <v>749.95</v>
      </c>
    </row>
    <row r="183" spans="1:14" x14ac:dyDescent="0.3">
      <c r="A183" s="4" t="s">
        <v>328</v>
      </c>
      <c r="B183" s="5">
        <v>45663</v>
      </c>
      <c r="C183" s="6" t="s">
        <v>42</v>
      </c>
      <c r="D183" s="6" t="s">
        <v>43</v>
      </c>
      <c r="E183" s="6" t="s">
        <v>105</v>
      </c>
      <c r="F183" s="6" t="s">
        <v>106</v>
      </c>
      <c r="G183" s="6" t="s">
        <v>46</v>
      </c>
      <c r="H183" s="6">
        <v>3</v>
      </c>
      <c r="I183" s="6">
        <v>299.99</v>
      </c>
      <c r="J183" s="6" t="s">
        <v>20</v>
      </c>
      <c r="K183" s="6" t="s">
        <v>35</v>
      </c>
      <c r="L183" s="6" t="s">
        <v>36</v>
      </c>
      <c r="M183" s="5">
        <v>44422</v>
      </c>
      <c r="N183" s="7">
        <v>899.97</v>
      </c>
    </row>
    <row r="184" spans="1:14" x14ac:dyDescent="0.3">
      <c r="A184" s="4" t="s">
        <v>329</v>
      </c>
      <c r="B184" s="5">
        <v>45666</v>
      </c>
      <c r="C184" s="6" t="s">
        <v>65</v>
      </c>
      <c r="D184" s="6" t="s">
        <v>66</v>
      </c>
      <c r="E184" s="6" t="s">
        <v>80</v>
      </c>
      <c r="F184" s="6" t="s">
        <v>81</v>
      </c>
      <c r="G184" s="6" t="s">
        <v>19</v>
      </c>
      <c r="H184" s="6">
        <v>3</v>
      </c>
      <c r="I184" s="6">
        <v>699.99</v>
      </c>
      <c r="J184" s="6" t="s">
        <v>26</v>
      </c>
      <c r="K184" s="6" t="s">
        <v>21</v>
      </c>
      <c r="L184" s="6" t="s">
        <v>27</v>
      </c>
      <c r="M184" s="5">
        <v>45105</v>
      </c>
      <c r="N184" s="7">
        <v>2099.9699999999998</v>
      </c>
    </row>
    <row r="185" spans="1:14" x14ac:dyDescent="0.3">
      <c r="A185" s="4" t="s">
        <v>330</v>
      </c>
      <c r="B185" s="5">
        <v>45667</v>
      </c>
      <c r="C185" s="6" t="s">
        <v>108</v>
      </c>
      <c r="D185" s="6" t="s">
        <v>109</v>
      </c>
      <c r="E185" s="6" t="s">
        <v>126</v>
      </c>
      <c r="F185" s="6" t="s">
        <v>127</v>
      </c>
      <c r="G185" s="6" t="s">
        <v>46</v>
      </c>
      <c r="H185" s="6">
        <v>5</v>
      </c>
      <c r="I185" s="6">
        <v>199.99</v>
      </c>
      <c r="J185" s="6" t="s">
        <v>34</v>
      </c>
      <c r="K185" s="6" t="s">
        <v>21</v>
      </c>
      <c r="L185" s="6" t="s">
        <v>36</v>
      </c>
      <c r="M185" s="5">
        <v>44633</v>
      </c>
      <c r="N185" s="7">
        <v>999.95</v>
      </c>
    </row>
    <row r="186" spans="1:14" x14ac:dyDescent="0.3">
      <c r="A186" s="4" t="s">
        <v>331</v>
      </c>
      <c r="B186" s="5">
        <v>45667</v>
      </c>
      <c r="C186" s="6" t="s">
        <v>93</v>
      </c>
      <c r="D186" s="6" t="s">
        <v>94</v>
      </c>
      <c r="E186" s="6" t="s">
        <v>17</v>
      </c>
      <c r="F186" s="6" t="s">
        <v>18</v>
      </c>
      <c r="G186" s="6" t="s">
        <v>19</v>
      </c>
      <c r="H186" s="6">
        <v>5</v>
      </c>
      <c r="I186" s="6">
        <v>249.99</v>
      </c>
      <c r="J186" s="6" t="s">
        <v>26</v>
      </c>
      <c r="K186" s="6" t="s">
        <v>35</v>
      </c>
      <c r="L186" s="6" t="s">
        <v>22</v>
      </c>
      <c r="M186" s="5">
        <v>45330</v>
      </c>
      <c r="N186" s="7">
        <v>1249.95</v>
      </c>
    </row>
    <row r="187" spans="1:14" x14ac:dyDescent="0.3">
      <c r="A187" s="4" t="s">
        <v>332</v>
      </c>
      <c r="B187" s="5">
        <v>45668</v>
      </c>
      <c r="C187" s="6" t="s">
        <v>138</v>
      </c>
      <c r="D187" s="6" t="s">
        <v>139</v>
      </c>
      <c r="E187" s="6" t="s">
        <v>52</v>
      </c>
      <c r="F187" s="6" t="s">
        <v>53</v>
      </c>
      <c r="G187" s="6" t="s">
        <v>19</v>
      </c>
      <c r="H187" s="6">
        <v>4</v>
      </c>
      <c r="I187" s="6">
        <v>149.99</v>
      </c>
      <c r="J187" s="6" t="s">
        <v>57</v>
      </c>
      <c r="K187" s="6" t="s">
        <v>63</v>
      </c>
      <c r="L187" s="6" t="s">
        <v>36</v>
      </c>
      <c r="M187" s="5">
        <v>44536</v>
      </c>
      <c r="N187" s="7">
        <v>599.96</v>
      </c>
    </row>
    <row r="188" spans="1:14" x14ac:dyDescent="0.3">
      <c r="A188" s="4" t="s">
        <v>333</v>
      </c>
      <c r="B188" s="5">
        <v>45668</v>
      </c>
      <c r="C188" s="6" t="s">
        <v>78</v>
      </c>
      <c r="D188" s="6" t="s">
        <v>79</v>
      </c>
      <c r="E188" s="6" t="s">
        <v>80</v>
      </c>
      <c r="F188" s="6" t="s">
        <v>81</v>
      </c>
      <c r="G188" s="6" t="s">
        <v>19</v>
      </c>
      <c r="H188" s="6">
        <v>3</v>
      </c>
      <c r="I188" s="6">
        <v>699.99</v>
      </c>
      <c r="J188" s="6" t="s">
        <v>20</v>
      </c>
      <c r="K188" s="6" t="s">
        <v>40</v>
      </c>
      <c r="L188" s="6" t="s">
        <v>27</v>
      </c>
      <c r="M188" s="5">
        <v>44602</v>
      </c>
      <c r="N188" s="7">
        <v>2099.9699999999998</v>
      </c>
    </row>
    <row r="189" spans="1:14" x14ac:dyDescent="0.3">
      <c r="A189" s="4" t="s">
        <v>334</v>
      </c>
      <c r="B189" s="5">
        <v>45670</v>
      </c>
      <c r="C189" s="6" t="s">
        <v>293</v>
      </c>
      <c r="D189" s="6" t="s">
        <v>294</v>
      </c>
      <c r="E189" s="6" t="s">
        <v>114</v>
      </c>
      <c r="F189" s="6" t="s">
        <v>115</v>
      </c>
      <c r="G189" s="6" t="s">
        <v>33</v>
      </c>
      <c r="H189" s="6">
        <v>1</v>
      </c>
      <c r="I189" s="6">
        <v>79.989999999999995</v>
      </c>
      <c r="J189" s="6" t="s">
        <v>26</v>
      </c>
      <c r="K189" s="6" t="s">
        <v>35</v>
      </c>
      <c r="L189" s="6" t="s">
        <v>22</v>
      </c>
      <c r="M189" s="5">
        <v>45322</v>
      </c>
      <c r="N189" s="7">
        <v>79.989999999999995</v>
      </c>
    </row>
    <row r="190" spans="1:14" x14ac:dyDescent="0.3">
      <c r="A190" s="4" t="s">
        <v>335</v>
      </c>
      <c r="B190" s="5">
        <v>45670</v>
      </c>
      <c r="C190" s="6" t="s">
        <v>86</v>
      </c>
      <c r="D190" s="6" t="s">
        <v>87</v>
      </c>
      <c r="E190" s="6" t="s">
        <v>105</v>
      </c>
      <c r="F190" s="6" t="s">
        <v>106</v>
      </c>
      <c r="G190" s="6" t="s">
        <v>46</v>
      </c>
      <c r="H190" s="6">
        <v>1</v>
      </c>
      <c r="I190" s="6">
        <v>299.99</v>
      </c>
      <c r="J190" s="6" t="s">
        <v>26</v>
      </c>
      <c r="K190" s="6" t="s">
        <v>40</v>
      </c>
      <c r="L190" s="6" t="s">
        <v>22</v>
      </c>
      <c r="M190" s="5">
        <v>44436</v>
      </c>
      <c r="N190" s="7">
        <v>299.99</v>
      </c>
    </row>
    <row r="191" spans="1:14" x14ac:dyDescent="0.3">
      <c r="A191" s="4" t="s">
        <v>336</v>
      </c>
      <c r="B191" s="5">
        <v>45671</v>
      </c>
      <c r="C191" s="6" t="s">
        <v>158</v>
      </c>
      <c r="D191" s="6" t="s">
        <v>159</v>
      </c>
      <c r="E191" s="6" t="s">
        <v>17</v>
      </c>
      <c r="F191" s="6" t="s">
        <v>18</v>
      </c>
      <c r="G191" s="6" t="s">
        <v>19</v>
      </c>
      <c r="H191" s="6">
        <v>4</v>
      </c>
      <c r="I191" s="6">
        <v>249.99</v>
      </c>
      <c r="J191" s="6" t="s">
        <v>26</v>
      </c>
      <c r="K191" s="6" t="s">
        <v>40</v>
      </c>
      <c r="L191" s="6" t="s">
        <v>27</v>
      </c>
      <c r="M191" s="5">
        <v>44460</v>
      </c>
      <c r="N191" s="7">
        <v>999.96</v>
      </c>
    </row>
    <row r="192" spans="1:14" x14ac:dyDescent="0.3">
      <c r="A192" s="4" t="s">
        <v>337</v>
      </c>
      <c r="B192" s="5">
        <v>45671</v>
      </c>
      <c r="C192" s="6" t="s">
        <v>120</v>
      </c>
      <c r="D192" s="6" t="s">
        <v>121</v>
      </c>
      <c r="E192" s="6" t="s">
        <v>52</v>
      </c>
      <c r="F192" s="6" t="s">
        <v>53</v>
      </c>
      <c r="G192" s="6" t="s">
        <v>19</v>
      </c>
      <c r="H192" s="6">
        <v>2</v>
      </c>
      <c r="I192" s="6">
        <v>149.99</v>
      </c>
      <c r="J192" s="6" t="s">
        <v>20</v>
      </c>
      <c r="K192" s="6" t="s">
        <v>40</v>
      </c>
      <c r="L192" s="6" t="s">
        <v>36</v>
      </c>
      <c r="M192" s="5">
        <v>44913</v>
      </c>
      <c r="N192" s="7">
        <v>299.98</v>
      </c>
    </row>
    <row r="193" spans="1:14" x14ac:dyDescent="0.3">
      <c r="A193" s="4" t="s">
        <v>338</v>
      </c>
      <c r="B193" s="5">
        <v>45671</v>
      </c>
      <c r="C193" s="6" t="s">
        <v>234</v>
      </c>
      <c r="D193" s="6" t="s">
        <v>235</v>
      </c>
      <c r="E193" s="6" t="s">
        <v>105</v>
      </c>
      <c r="F193" s="6" t="s">
        <v>106</v>
      </c>
      <c r="G193" s="6" t="s">
        <v>46</v>
      </c>
      <c r="H193" s="6">
        <v>3</v>
      </c>
      <c r="I193" s="6">
        <v>299.99</v>
      </c>
      <c r="J193" s="6" t="s">
        <v>26</v>
      </c>
      <c r="K193" s="6" t="s">
        <v>35</v>
      </c>
      <c r="L193" s="6" t="s">
        <v>22</v>
      </c>
      <c r="M193" s="5">
        <v>45204</v>
      </c>
      <c r="N193" s="7">
        <v>899.97</v>
      </c>
    </row>
    <row r="194" spans="1:14" x14ac:dyDescent="0.3">
      <c r="A194" s="4" t="s">
        <v>339</v>
      </c>
      <c r="B194" s="5">
        <v>45673</v>
      </c>
      <c r="C194" s="6" t="s">
        <v>226</v>
      </c>
      <c r="D194" s="6" t="s">
        <v>227</v>
      </c>
      <c r="E194" s="6" t="s">
        <v>126</v>
      </c>
      <c r="F194" s="6" t="s">
        <v>127</v>
      </c>
      <c r="G194" s="6" t="s">
        <v>46</v>
      </c>
      <c r="H194" s="6">
        <v>4</v>
      </c>
      <c r="I194" s="6">
        <v>199.99</v>
      </c>
      <c r="J194" s="6" t="s">
        <v>57</v>
      </c>
      <c r="K194" s="6" t="s">
        <v>35</v>
      </c>
      <c r="L194" s="6" t="s">
        <v>36</v>
      </c>
      <c r="M194" s="5">
        <v>44544</v>
      </c>
      <c r="N194" s="7">
        <v>799.96</v>
      </c>
    </row>
    <row r="195" spans="1:14" x14ac:dyDescent="0.3">
      <c r="A195" s="4" t="s">
        <v>340</v>
      </c>
      <c r="B195" s="5">
        <v>45673</v>
      </c>
      <c r="C195" s="6" t="s">
        <v>211</v>
      </c>
      <c r="D195" s="6" t="s">
        <v>212</v>
      </c>
      <c r="E195" s="6" t="s">
        <v>105</v>
      </c>
      <c r="F195" s="6" t="s">
        <v>106</v>
      </c>
      <c r="G195" s="6" t="s">
        <v>46</v>
      </c>
      <c r="H195" s="6">
        <v>5</v>
      </c>
      <c r="I195" s="6">
        <v>299.99</v>
      </c>
      <c r="J195" s="6" t="s">
        <v>57</v>
      </c>
      <c r="K195" s="6" t="s">
        <v>21</v>
      </c>
      <c r="L195" s="6" t="s">
        <v>22</v>
      </c>
      <c r="M195" s="5">
        <v>44431</v>
      </c>
      <c r="N195" s="7">
        <v>1499.95</v>
      </c>
    </row>
    <row r="196" spans="1:14" x14ac:dyDescent="0.3">
      <c r="A196" s="4" t="s">
        <v>341</v>
      </c>
      <c r="B196" s="5">
        <v>45673</v>
      </c>
      <c r="C196" s="6" t="s">
        <v>59</v>
      </c>
      <c r="D196" s="6" t="s">
        <v>60</v>
      </c>
      <c r="E196" s="6" t="s">
        <v>44</v>
      </c>
      <c r="F196" s="6" t="s">
        <v>45</v>
      </c>
      <c r="G196" s="6" t="s">
        <v>46</v>
      </c>
      <c r="H196" s="6">
        <v>3</v>
      </c>
      <c r="I196" s="6">
        <v>149.99</v>
      </c>
      <c r="J196" s="6" t="s">
        <v>26</v>
      </c>
      <c r="K196" s="6" t="s">
        <v>63</v>
      </c>
      <c r="L196" s="6" t="s">
        <v>36</v>
      </c>
      <c r="M196" s="5">
        <v>44395</v>
      </c>
      <c r="N196" s="7">
        <v>449.97</v>
      </c>
    </row>
    <row r="197" spans="1:14" x14ac:dyDescent="0.3">
      <c r="A197" s="4" t="s">
        <v>342</v>
      </c>
      <c r="B197" s="5">
        <v>45676</v>
      </c>
      <c r="C197" s="6" t="s">
        <v>129</v>
      </c>
      <c r="D197" s="6" t="s">
        <v>130</v>
      </c>
      <c r="E197" s="6" t="s">
        <v>31</v>
      </c>
      <c r="F197" s="6" t="s">
        <v>32</v>
      </c>
      <c r="G197" s="6" t="s">
        <v>33</v>
      </c>
      <c r="H197" s="6">
        <v>5</v>
      </c>
      <c r="I197" s="6">
        <v>59.99</v>
      </c>
      <c r="J197" s="6" t="s">
        <v>57</v>
      </c>
      <c r="K197" s="6" t="s">
        <v>63</v>
      </c>
      <c r="L197" s="6" t="s">
        <v>22</v>
      </c>
      <c r="M197" s="5">
        <v>44642</v>
      </c>
      <c r="N197" s="7">
        <v>299.95</v>
      </c>
    </row>
    <row r="198" spans="1:14" x14ac:dyDescent="0.3">
      <c r="A198" s="4" t="s">
        <v>343</v>
      </c>
      <c r="B198" s="5">
        <v>45682</v>
      </c>
      <c r="C198" s="6" t="s">
        <v>68</v>
      </c>
      <c r="D198" s="6" t="s">
        <v>69</v>
      </c>
      <c r="E198" s="6" t="s">
        <v>31</v>
      </c>
      <c r="F198" s="6" t="s">
        <v>32</v>
      </c>
      <c r="G198" s="6" t="s">
        <v>33</v>
      </c>
      <c r="H198" s="6">
        <v>4</v>
      </c>
      <c r="I198" s="6">
        <v>59.99</v>
      </c>
      <c r="J198" s="6" t="s">
        <v>57</v>
      </c>
      <c r="K198" s="6" t="s">
        <v>63</v>
      </c>
      <c r="L198" s="6" t="s">
        <v>36</v>
      </c>
      <c r="M198" s="5">
        <v>44564</v>
      </c>
      <c r="N198" s="7">
        <v>239.96</v>
      </c>
    </row>
    <row r="199" spans="1:14" x14ac:dyDescent="0.3">
      <c r="A199" s="4" t="s">
        <v>344</v>
      </c>
      <c r="B199" s="5">
        <v>45683</v>
      </c>
      <c r="C199" s="6" t="s">
        <v>48</v>
      </c>
      <c r="D199" s="6" t="s">
        <v>49</v>
      </c>
      <c r="E199" s="6" t="s">
        <v>17</v>
      </c>
      <c r="F199" s="6" t="s">
        <v>18</v>
      </c>
      <c r="G199" s="6" t="s">
        <v>19</v>
      </c>
      <c r="H199" s="6">
        <v>4</v>
      </c>
      <c r="I199" s="6">
        <v>249.99</v>
      </c>
      <c r="J199" s="6" t="s">
        <v>57</v>
      </c>
      <c r="K199" s="6" t="s">
        <v>21</v>
      </c>
      <c r="L199" s="6" t="s">
        <v>27</v>
      </c>
      <c r="M199" s="5">
        <v>45217</v>
      </c>
      <c r="N199" s="7">
        <v>999.96</v>
      </c>
    </row>
    <row r="200" spans="1:14" x14ac:dyDescent="0.3">
      <c r="A200" s="4" t="s">
        <v>345</v>
      </c>
      <c r="B200" s="5">
        <v>45686</v>
      </c>
      <c r="C200" s="6" t="s">
        <v>252</v>
      </c>
      <c r="D200" s="6" t="s">
        <v>253</v>
      </c>
      <c r="E200" s="6" t="s">
        <v>61</v>
      </c>
      <c r="F200" s="6" t="s">
        <v>62</v>
      </c>
      <c r="G200" s="6" t="s">
        <v>19</v>
      </c>
      <c r="H200" s="6">
        <v>4</v>
      </c>
      <c r="I200" s="6">
        <v>899.99</v>
      </c>
      <c r="J200" s="6" t="s">
        <v>34</v>
      </c>
      <c r="K200" s="6" t="s">
        <v>21</v>
      </c>
      <c r="L200" s="6" t="s">
        <v>22</v>
      </c>
      <c r="M200" s="5">
        <v>44734</v>
      </c>
      <c r="N200" s="7">
        <v>3599.96</v>
      </c>
    </row>
    <row r="201" spans="1:14" x14ac:dyDescent="0.3">
      <c r="A201" s="4" t="s">
        <v>346</v>
      </c>
      <c r="B201" s="5">
        <v>45686</v>
      </c>
      <c r="C201" s="6" t="s">
        <v>86</v>
      </c>
      <c r="D201" s="6" t="s">
        <v>87</v>
      </c>
      <c r="E201" s="6" t="s">
        <v>105</v>
      </c>
      <c r="F201" s="6" t="s">
        <v>106</v>
      </c>
      <c r="G201" s="6" t="s">
        <v>46</v>
      </c>
      <c r="H201" s="6">
        <v>3</v>
      </c>
      <c r="I201" s="6">
        <v>299.99</v>
      </c>
      <c r="J201" s="6" t="s">
        <v>57</v>
      </c>
      <c r="K201" s="6" t="s">
        <v>50</v>
      </c>
      <c r="L201" s="6" t="s">
        <v>36</v>
      </c>
      <c r="M201" s="5">
        <v>44952</v>
      </c>
      <c r="N201" s="7">
        <v>899.97</v>
      </c>
    </row>
    <row r="202" spans="1:14" x14ac:dyDescent="0.3">
      <c r="A202" s="4" t="s">
        <v>347</v>
      </c>
      <c r="B202" s="5">
        <v>45686</v>
      </c>
      <c r="C202" s="6" t="s">
        <v>293</v>
      </c>
      <c r="D202" s="6" t="s">
        <v>294</v>
      </c>
      <c r="E202" s="6" t="s">
        <v>80</v>
      </c>
      <c r="F202" s="6" t="s">
        <v>81</v>
      </c>
      <c r="G202" s="6" t="s">
        <v>19</v>
      </c>
      <c r="H202" s="6">
        <v>2</v>
      </c>
      <c r="I202" s="6">
        <v>699.99</v>
      </c>
      <c r="J202" s="6" t="s">
        <v>57</v>
      </c>
      <c r="K202" s="6" t="s">
        <v>21</v>
      </c>
      <c r="L202" s="6" t="s">
        <v>27</v>
      </c>
      <c r="M202" s="5">
        <v>44681</v>
      </c>
      <c r="N202" s="7">
        <v>1399.98</v>
      </c>
    </row>
    <row r="203" spans="1:14" x14ac:dyDescent="0.3">
      <c r="A203" s="4" t="s">
        <v>348</v>
      </c>
      <c r="B203" s="5">
        <v>45688</v>
      </c>
      <c r="C203" s="6" t="s">
        <v>65</v>
      </c>
      <c r="D203" s="6" t="s">
        <v>66</v>
      </c>
      <c r="E203" s="6" t="s">
        <v>80</v>
      </c>
      <c r="F203" s="6" t="s">
        <v>81</v>
      </c>
      <c r="G203" s="6" t="s">
        <v>19</v>
      </c>
      <c r="H203" s="6">
        <v>4</v>
      </c>
      <c r="I203" s="6">
        <v>699.99</v>
      </c>
      <c r="J203" s="6" t="s">
        <v>57</v>
      </c>
      <c r="K203" s="6" t="s">
        <v>50</v>
      </c>
      <c r="L203" s="6" t="s">
        <v>27</v>
      </c>
      <c r="M203" s="5">
        <v>44692</v>
      </c>
      <c r="N203" s="7">
        <v>2799.96</v>
      </c>
    </row>
    <row r="204" spans="1:14" x14ac:dyDescent="0.3">
      <c r="A204" s="4" t="s">
        <v>349</v>
      </c>
      <c r="B204" s="5">
        <v>45688</v>
      </c>
      <c r="C204" s="6" t="s">
        <v>123</v>
      </c>
      <c r="D204" s="6" t="s">
        <v>124</v>
      </c>
      <c r="E204" s="6" t="s">
        <v>117</v>
      </c>
      <c r="F204" s="6" t="s">
        <v>118</v>
      </c>
      <c r="G204" s="6" t="s">
        <v>19</v>
      </c>
      <c r="H204" s="6">
        <v>2</v>
      </c>
      <c r="I204" s="6">
        <v>89.99</v>
      </c>
      <c r="J204" s="6" t="s">
        <v>57</v>
      </c>
      <c r="K204" s="6" t="s">
        <v>35</v>
      </c>
      <c r="L204" s="6" t="s">
        <v>22</v>
      </c>
      <c r="M204" s="5">
        <v>44777</v>
      </c>
      <c r="N204" s="7">
        <v>179.98</v>
      </c>
    </row>
    <row r="205" spans="1:14" x14ac:dyDescent="0.3">
      <c r="A205" s="4" t="s">
        <v>350</v>
      </c>
      <c r="B205" s="5">
        <v>45688</v>
      </c>
      <c r="C205" s="6" t="s">
        <v>42</v>
      </c>
      <c r="D205" s="6" t="s">
        <v>43</v>
      </c>
      <c r="E205" s="6" t="s">
        <v>117</v>
      </c>
      <c r="F205" s="6" t="s">
        <v>118</v>
      </c>
      <c r="G205" s="6" t="s">
        <v>19</v>
      </c>
      <c r="H205" s="6">
        <v>3</v>
      </c>
      <c r="I205" s="6">
        <v>89.99</v>
      </c>
      <c r="J205" s="6" t="s">
        <v>57</v>
      </c>
      <c r="K205" s="6" t="s">
        <v>35</v>
      </c>
      <c r="L205" s="6" t="s">
        <v>27</v>
      </c>
      <c r="M205" s="5">
        <v>45307</v>
      </c>
      <c r="N205" s="7">
        <v>269.97000000000003</v>
      </c>
    </row>
    <row r="206" spans="1:14" x14ac:dyDescent="0.3">
      <c r="A206" s="4" t="s">
        <v>351</v>
      </c>
      <c r="B206" s="5">
        <v>45692</v>
      </c>
      <c r="C206" s="6" t="s">
        <v>325</v>
      </c>
      <c r="D206" s="6" t="s">
        <v>326</v>
      </c>
      <c r="E206" s="6" t="s">
        <v>31</v>
      </c>
      <c r="F206" s="6" t="s">
        <v>32</v>
      </c>
      <c r="G206" s="6" t="s">
        <v>33</v>
      </c>
      <c r="H206" s="6">
        <v>1</v>
      </c>
      <c r="I206" s="6">
        <v>59.99</v>
      </c>
      <c r="J206" s="6" t="s">
        <v>57</v>
      </c>
      <c r="K206" s="6" t="s">
        <v>21</v>
      </c>
      <c r="L206" s="6" t="s">
        <v>36</v>
      </c>
      <c r="M206" s="5">
        <v>45045</v>
      </c>
      <c r="N206" s="7">
        <v>59.99</v>
      </c>
    </row>
    <row r="207" spans="1:14" x14ac:dyDescent="0.3">
      <c r="A207" s="4" t="s">
        <v>352</v>
      </c>
      <c r="B207" s="5">
        <v>45695</v>
      </c>
      <c r="C207" s="6" t="s">
        <v>246</v>
      </c>
      <c r="D207" s="6" t="s">
        <v>247</v>
      </c>
      <c r="E207" s="6" t="s">
        <v>44</v>
      </c>
      <c r="F207" s="6" t="s">
        <v>45</v>
      </c>
      <c r="G207" s="6" t="s">
        <v>46</v>
      </c>
      <c r="H207" s="6">
        <v>3</v>
      </c>
      <c r="I207" s="6">
        <v>149.99</v>
      </c>
      <c r="J207" s="6" t="s">
        <v>57</v>
      </c>
      <c r="K207" s="6" t="s">
        <v>40</v>
      </c>
      <c r="L207" s="6" t="s">
        <v>27</v>
      </c>
      <c r="M207" s="5">
        <v>44564</v>
      </c>
      <c r="N207" s="7">
        <v>449.97</v>
      </c>
    </row>
    <row r="208" spans="1:14" x14ac:dyDescent="0.3">
      <c r="A208" s="4" t="s">
        <v>353</v>
      </c>
      <c r="B208" s="5">
        <v>45695</v>
      </c>
      <c r="C208" s="6" t="s">
        <v>93</v>
      </c>
      <c r="D208" s="6" t="s">
        <v>94</v>
      </c>
      <c r="E208" s="6" t="s">
        <v>105</v>
      </c>
      <c r="F208" s="6" t="s">
        <v>106</v>
      </c>
      <c r="G208" s="6" t="s">
        <v>46</v>
      </c>
      <c r="H208" s="6">
        <v>5</v>
      </c>
      <c r="I208" s="6">
        <v>299.99</v>
      </c>
      <c r="J208" s="6" t="s">
        <v>26</v>
      </c>
      <c r="K208" s="6" t="s">
        <v>35</v>
      </c>
      <c r="L208" s="6" t="s">
        <v>22</v>
      </c>
      <c r="M208" s="5">
        <v>44959</v>
      </c>
      <c r="N208" s="7">
        <v>1499.95</v>
      </c>
    </row>
    <row r="209" spans="1:14" x14ac:dyDescent="0.3">
      <c r="A209" s="4" t="s">
        <v>354</v>
      </c>
      <c r="B209" s="5">
        <v>45696</v>
      </c>
      <c r="C209" s="6" t="s">
        <v>150</v>
      </c>
      <c r="D209" s="6" t="s">
        <v>151</v>
      </c>
      <c r="E209" s="6" t="s">
        <v>31</v>
      </c>
      <c r="F209" s="6" t="s">
        <v>32</v>
      </c>
      <c r="G209" s="6" t="s">
        <v>33</v>
      </c>
      <c r="H209" s="6">
        <v>5</v>
      </c>
      <c r="I209" s="6">
        <v>59.99</v>
      </c>
      <c r="J209" s="6" t="s">
        <v>57</v>
      </c>
      <c r="K209" s="6" t="s">
        <v>21</v>
      </c>
      <c r="L209" s="6" t="s">
        <v>36</v>
      </c>
      <c r="M209" s="5">
        <v>45177</v>
      </c>
      <c r="N209" s="7">
        <v>299.95</v>
      </c>
    </row>
    <row r="210" spans="1:14" x14ac:dyDescent="0.3">
      <c r="A210" s="4" t="s">
        <v>355</v>
      </c>
      <c r="B210" s="5">
        <v>45701</v>
      </c>
      <c r="C210" s="6" t="s">
        <v>108</v>
      </c>
      <c r="D210" s="6" t="s">
        <v>109</v>
      </c>
      <c r="E210" s="6" t="s">
        <v>114</v>
      </c>
      <c r="F210" s="6" t="s">
        <v>115</v>
      </c>
      <c r="G210" s="6" t="s">
        <v>33</v>
      </c>
      <c r="H210" s="6">
        <v>3</v>
      </c>
      <c r="I210" s="6">
        <v>79.989999999999995</v>
      </c>
      <c r="J210" s="6" t="s">
        <v>20</v>
      </c>
      <c r="K210" s="6" t="s">
        <v>63</v>
      </c>
      <c r="L210" s="6" t="s">
        <v>27</v>
      </c>
      <c r="M210" s="5">
        <v>44436</v>
      </c>
      <c r="N210" s="7">
        <v>239.97</v>
      </c>
    </row>
    <row r="211" spans="1:14" x14ac:dyDescent="0.3">
      <c r="A211" s="4" t="s">
        <v>356</v>
      </c>
      <c r="B211" s="5">
        <v>45704</v>
      </c>
      <c r="C211" s="6" t="s">
        <v>29</v>
      </c>
      <c r="D211" s="6" t="s">
        <v>30</v>
      </c>
      <c r="E211" s="6" t="s">
        <v>126</v>
      </c>
      <c r="F211" s="6" t="s">
        <v>127</v>
      </c>
      <c r="G211" s="6" t="s">
        <v>46</v>
      </c>
      <c r="H211" s="6">
        <v>3</v>
      </c>
      <c r="I211" s="6">
        <v>199.99</v>
      </c>
      <c r="J211" s="6" t="s">
        <v>20</v>
      </c>
      <c r="K211" s="6" t="s">
        <v>21</v>
      </c>
      <c r="L211" s="6" t="s">
        <v>22</v>
      </c>
      <c r="M211" s="5">
        <v>44735</v>
      </c>
      <c r="N211" s="7">
        <v>599.97</v>
      </c>
    </row>
    <row r="212" spans="1:14" x14ac:dyDescent="0.3">
      <c r="A212" s="4" t="s">
        <v>357</v>
      </c>
      <c r="B212" s="5">
        <v>45704</v>
      </c>
      <c r="C212" s="6" t="s">
        <v>15</v>
      </c>
      <c r="D212" s="6" t="s">
        <v>16</v>
      </c>
      <c r="E212" s="6" t="s">
        <v>117</v>
      </c>
      <c r="F212" s="6" t="s">
        <v>118</v>
      </c>
      <c r="G212" s="6" t="s">
        <v>19</v>
      </c>
      <c r="H212" s="6">
        <v>2</v>
      </c>
      <c r="I212" s="6">
        <v>89.99</v>
      </c>
      <c r="J212" s="6" t="s">
        <v>34</v>
      </c>
      <c r="K212" s="6" t="s">
        <v>21</v>
      </c>
      <c r="L212" s="6" t="s">
        <v>22</v>
      </c>
      <c r="M212" s="5">
        <v>45257</v>
      </c>
      <c r="N212" s="7">
        <v>179.98</v>
      </c>
    </row>
    <row r="213" spans="1:14" x14ac:dyDescent="0.3">
      <c r="A213" s="4" t="s">
        <v>358</v>
      </c>
      <c r="B213" s="5">
        <v>45705</v>
      </c>
      <c r="C213" s="6" t="s">
        <v>259</v>
      </c>
      <c r="D213" s="6" t="s">
        <v>260</v>
      </c>
      <c r="E213" s="6" t="s">
        <v>44</v>
      </c>
      <c r="F213" s="6" t="s">
        <v>45</v>
      </c>
      <c r="G213" s="6" t="s">
        <v>46</v>
      </c>
      <c r="H213" s="6">
        <v>2</v>
      </c>
      <c r="I213" s="6">
        <v>149.99</v>
      </c>
      <c r="J213" s="6" t="s">
        <v>20</v>
      </c>
      <c r="K213" s="6" t="s">
        <v>35</v>
      </c>
      <c r="L213" s="6" t="s">
        <v>27</v>
      </c>
      <c r="M213" s="5">
        <v>44728</v>
      </c>
      <c r="N213" s="7">
        <v>299.98</v>
      </c>
    </row>
    <row r="214" spans="1:14" x14ac:dyDescent="0.3">
      <c r="A214" s="4" t="s">
        <v>359</v>
      </c>
      <c r="B214" s="5">
        <v>45707</v>
      </c>
      <c r="C214" s="6" t="s">
        <v>123</v>
      </c>
      <c r="D214" s="6" t="s">
        <v>124</v>
      </c>
      <c r="E214" s="6" t="s">
        <v>80</v>
      </c>
      <c r="F214" s="6" t="s">
        <v>81</v>
      </c>
      <c r="G214" s="6" t="s">
        <v>19</v>
      </c>
      <c r="H214" s="6">
        <v>5</v>
      </c>
      <c r="I214" s="6">
        <v>699.99</v>
      </c>
      <c r="J214" s="6" t="s">
        <v>34</v>
      </c>
      <c r="K214" s="6" t="s">
        <v>35</v>
      </c>
      <c r="L214" s="6" t="s">
        <v>27</v>
      </c>
      <c r="M214" s="5">
        <v>45352</v>
      </c>
      <c r="N214" s="7">
        <v>3499.95</v>
      </c>
    </row>
    <row r="215" spans="1:14" x14ac:dyDescent="0.3">
      <c r="A215" s="4" t="s">
        <v>360</v>
      </c>
      <c r="B215" s="5">
        <v>45707</v>
      </c>
      <c r="C215" s="6" t="s">
        <v>42</v>
      </c>
      <c r="D215" s="6" t="s">
        <v>43</v>
      </c>
      <c r="E215" s="6" t="s">
        <v>44</v>
      </c>
      <c r="F215" s="6" t="s">
        <v>45</v>
      </c>
      <c r="G215" s="6" t="s">
        <v>46</v>
      </c>
      <c r="H215" s="6">
        <v>3</v>
      </c>
      <c r="I215" s="6">
        <v>149.99</v>
      </c>
      <c r="J215" s="6" t="s">
        <v>34</v>
      </c>
      <c r="K215" s="6" t="s">
        <v>21</v>
      </c>
      <c r="L215" s="6" t="s">
        <v>36</v>
      </c>
      <c r="M215" s="5">
        <v>44633</v>
      </c>
      <c r="N215" s="7">
        <v>449.97</v>
      </c>
    </row>
    <row r="216" spans="1:14" x14ac:dyDescent="0.3">
      <c r="A216" s="4" t="s">
        <v>361</v>
      </c>
      <c r="B216" s="5">
        <v>45708</v>
      </c>
      <c r="C216" s="6" t="s">
        <v>96</v>
      </c>
      <c r="D216" s="6" t="s">
        <v>97</v>
      </c>
      <c r="E216" s="6" t="s">
        <v>61</v>
      </c>
      <c r="F216" s="6" t="s">
        <v>62</v>
      </c>
      <c r="G216" s="6" t="s">
        <v>19</v>
      </c>
      <c r="H216" s="6">
        <v>3</v>
      </c>
      <c r="I216" s="6">
        <v>899.99</v>
      </c>
      <c r="J216" s="6" t="s">
        <v>20</v>
      </c>
      <c r="K216" s="6" t="s">
        <v>63</v>
      </c>
      <c r="L216" s="6" t="s">
        <v>36</v>
      </c>
      <c r="M216" s="5">
        <v>44613</v>
      </c>
      <c r="N216" s="7">
        <v>2699.97</v>
      </c>
    </row>
    <row r="217" spans="1:14" x14ac:dyDescent="0.3">
      <c r="A217" s="4" t="s">
        <v>362</v>
      </c>
      <c r="B217" s="5">
        <v>45708</v>
      </c>
      <c r="C217" s="6" t="s">
        <v>192</v>
      </c>
      <c r="D217" s="6" t="s">
        <v>193</v>
      </c>
      <c r="E217" s="6" t="s">
        <v>126</v>
      </c>
      <c r="F217" s="6" t="s">
        <v>127</v>
      </c>
      <c r="G217" s="6" t="s">
        <v>46</v>
      </c>
      <c r="H217" s="6">
        <v>3</v>
      </c>
      <c r="I217" s="6">
        <v>199.99</v>
      </c>
      <c r="J217" s="6" t="s">
        <v>20</v>
      </c>
      <c r="K217" s="6" t="s">
        <v>50</v>
      </c>
      <c r="L217" s="6" t="s">
        <v>27</v>
      </c>
      <c r="M217" s="5">
        <v>44823</v>
      </c>
      <c r="N217" s="7">
        <v>599.97</v>
      </c>
    </row>
    <row r="218" spans="1:14" x14ac:dyDescent="0.3">
      <c r="A218" s="4" t="s">
        <v>363</v>
      </c>
      <c r="B218" s="5">
        <v>45710</v>
      </c>
      <c r="C218" s="6" t="s">
        <v>55</v>
      </c>
      <c r="D218" s="6" t="s">
        <v>56</v>
      </c>
      <c r="E218" s="6" t="s">
        <v>105</v>
      </c>
      <c r="F218" s="6" t="s">
        <v>106</v>
      </c>
      <c r="G218" s="6" t="s">
        <v>46</v>
      </c>
      <c r="H218" s="6">
        <v>5</v>
      </c>
      <c r="I218" s="6">
        <v>299.99</v>
      </c>
      <c r="J218" s="6" t="s">
        <v>20</v>
      </c>
      <c r="K218" s="6" t="s">
        <v>50</v>
      </c>
      <c r="L218" s="6" t="s">
        <v>36</v>
      </c>
      <c r="M218" s="5">
        <v>45142</v>
      </c>
      <c r="N218" s="7">
        <v>1499.95</v>
      </c>
    </row>
    <row r="219" spans="1:14" x14ac:dyDescent="0.3">
      <c r="A219" s="4" t="s">
        <v>364</v>
      </c>
      <c r="B219" s="5">
        <v>45710</v>
      </c>
      <c r="C219" s="6" t="s">
        <v>150</v>
      </c>
      <c r="D219" s="6" t="s">
        <v>151</v>
      </c>
      <c r="E219" s="6" t="s">
        <v>80</v>
      </c>
      <c r="F219" s="6" t="s">
        <v>81</v>
      </c>
      <c r="G219" s="6" t="s">
        <v>19</v>
      </c>
      <c r="H219" s="6">
        <v>1</v>
      </c>
      <c r="I219" s="6">
        <v>699.99</v>
      </c>
      <c r="J219" s="6" t="s">
        <v>34</v>
      </c>
      <c r="K219" s="6" t="s">
        <v>50</v>
      </c>
      <c r="L219" s="6" t="s">
        <v>22</v>
      </c>
      <c r="M219" s="5">
        <v>44934</v>
      </c>
      <c r="N219" s="7">
        <v>699.99</v>
      </c>
    </row>
    <row r="220" spans="1:14" x14ac:dyDescent="0.3">
      <c r="A220" s="4" t="s">
        <v>365</v>
      </c>
      <c r="B220" s="5">
        <v>45711</v>
      </c>
      <c r="C220" s="6" t="s">
        <v>246</v>
      </c>
      <c r="D220" s="6" t="s">
        <v>247</v>
      </c>
      <c r="E220" s="6" t="s">
        <v>80</v>
      </c>
      <c r="F220" s="6" t="s">
        <v>81</v>
      </c>
      <c r="G220" s="6" t="s">
        <v>19</v>
      </c>
      <c r="H220" s="6">
        <v>1</v>
      </c>
      <c r="I220" s="6">
        <v>699.99</v>
      </c>
      <c r="J220" s="6" t="s">
        <v>20</v>
      </c>
      <c r="K220" s="6" t="s">
        <v>40</v>
      </c>
      <c r="L220" s="6" t="s">
        <v>27</v>
      </c>
      <c r="M220" s="5">
        <v>44583</v>
      </c>
      <c r="N220" s="7">
        <v>699.99</v>
      </c>
    </row>
    <row r="221" spans="1:14" x14ac:dyDescent="0.3">
      <c r="A221" s="4" t="s">
        <v>366</v>
      </c>
      <c r="B221" s="5">
        <v>45711</v>
      </c>
      <c r="C221" s="6" t="s">
        <v>325</v>
      </c>
      <c r="D221" s="6" t="s">
        <v>326</v>
      </c>
      <c r="E221" s="6" t="s">
        <v>44</v>
      </c>
      <c r="F221" s="6" t="s">
        <v>45</v>
      </c>
      <c r="G221" s="6" t="s">
        <v>46</v>
      </c>
      <c r="H221" s="6">
        <v>4</v>
      </c>
      <c r="I221" s="6">
        <v>149.99</v>
      </c>
      <c r="J221" s="6" t="s">
        <v>34</v>
      </c>
      <c r="K221" s="6" t="s">
        <v>40</v>
      </c>
      <c r="L221" s="6" t="s">
        <v>27</v>
      </c>
      <c r="M221" s="5">
        <v>44412</v>
      </c>
      <c r="N221" s="7">
        <v>599.96</v>
      </c>
    </row>
    <row r="222" spans="1:14" x14ac:dyDescent="0.3">
      <c r="A222" s="4" t="s">
        <v>367</v>
      </c>
      <c r="B222" s="5">
        <v>45711</v>
      </c>
      <c r="C222" s="6" t="s">
        <v>211</v>
      </c>
      <c r="D222" s="6" t="s">
        <v>212</v>
      </c>
      <c r="E222" s="6" t="s">
        <v>117</v>
      </c>
      <c r="F222" s="6" t="s">
        <v>118</v>
      </c>
      <c r="G222" s="6" t="s">
        <v>19</v>
      </c>
      <c r="H222" s="6">
        <v>5</v>
      </c>
      <c r="I222" s="6">
        <v>89.99</v>
      </c>
      <c r="J222" s="6" t="s">
        <v>34</v>
      </c>
      <c r="K222" s="6" t="s">
        <v>50</v>
      </c>
      <c r="L222" s="6" t="s">
        <v>27</v>
      </c>
      <c r="M222" s="5">
        <v>45140</v>
      </c>
      <c r="N222" s="7">
        <v>449.95</v>
      </c>
    </row>
    <row r="223" spans="1:14" x14ac:dyDescent="0.3">
      <c r="A223" s="4" t="s">
        <v>368</v>
      </c>
      <c r="B223" s="5">
        <v>45712</v>
      </c>
      <c r="C223" s="6" t="s">
        <v>138</v>
      </c>
      <c r="D223" s="6" t="s">
        <v>139</v>
      </c>
      <c r="E223" s="6" t="s">
        <v>126</v>
      </c>
      <c r="F223" s="6" t="s">
        <v>127</v>
      </c>
      <c r="G223" s="6" t="s">
        <v>46</v>
      </c>
      <c r="H223" s="6">
        <v>2</v>
      </c>
      <c r="I223" s="6">
        <v>199.99</v>
      </c>
      <c r="J223" s="6" t="s">
        <v>20</v>
      </c>
      <c r="K223" s="6" t="s">
        <v>21</v>
      </c>
      <c r="L223" s="6" t="s">
        <v>27</v>
      </c>
      <c r="M223" s="5">
        <v>44573</v>
      </c>
      <c r="N223" s="7">
        <v>399.98</v>
      </c>
    </row>
    <row r="224" spans="1:14" x14ac:dyDescent="0.3">
      <c r="A224" s="4" t="s">
        <v>369</v>
      </c>
      <c r="B224" s="5">
        <v>45715</v>
      </c>
      <c r="C224" s="6" t="s">
        <v>259</v>
      </c>
      <c r="D224" s="6" t="s">
        <v>260</v>
      </c>
      <c r="E224" s="6" t="s">
        <v>31</v>
      </c>
      <c r="F224" s="6" t="s">
        <v>32</v>
      </c>
      <c r="G224" s="6" t="s">
        <v>33</v>
      </c>
      <c r="H224" s="6">
        <v>4</v>
      </c>
      <c r="I224" s="6">
        <v>59.99</v>
      </c>
      <c r="J224" s="6" t="s">
        <v>20</v>
      </c>
      <c r="K224" s="6" t="s">
        <v>50</v>
      </c>
      <c r="L224" s="6" t="s">
        <v>36</v>
      </c>
      <c r="M224" s="5">
        <v>45070</v>
      </c>
      <c r="N224" s="7">
        <v>239.96</v>
      </c>
    </row>
    <row r="225" spans="1:14" x14ac:dyDescent="0.3">
      <c r="A225" s="4" t="s">
        <v>370</v>
      </c>
      <c r="B225" s="5">
        <v>45715</v>
      </c>
      <c r="C225" s="6" t="s">
        <v>93</v>
      </c>
      <c r="D225" s="6" t="s">
        <v>94</v>
      </c>
      <c r="E225" s="6" t="s">
        <v>105</v>
      </c>
      <c r="F225" s="6" t="s">
        <v>106</v>
      </c>
      <c r="G225" s="6" t="s">
        <v>46</v>
      </c>
      <c r="H225" s="6">
        <v>2</v>
      </c>
      <c r="I225" s="6">
        <v>299.99</v>
      </c>
      <c r="J225" s="6" t="s">
        <v>34</v>
      </c>
      <c r="K225" s="6" t="s">
        <v>35</v>
      </c>
      <c r="L225" s="6" t="s">
        <v>22</v>
      </c>
      <c r="M225" s="5">
        <v>44576</v>
      </c>
      <c r="N225" s="7">
        <v>599.98</v>
      </c>
    </row>
    <row r="226" spans="1:14" x14ac:dyDescent="0.3">
      <c r="A226" s="4" t="s">
        <v>371</v>
      </c>
      <c r="B226" s="5">
        <v>45718</v>
      </c>
      <c r="C226" s="6" t="s">
        <v>55</v>
      </c>
      <c r="D226" s="6" t="s">
        <v>56</v>
      </c>
      <c r="E226" s="6" t="s">
        <v>44</v>
      </c>
      <c r="F226" s="6" t="s">
        <v>45</v>
      </c>
      <c r="G226" s="6" t="s">
        <v>46</v>
      </c>
      <c r="H226" s="6">
        <v>2</v>
      </c>
      <c r="I226" s="6">
        <v>149.99</v>
      </c>
      <c r="J226" s="6" t="s">
        <v>20</v>
      </c>
      <c r="K226" s="6" t="s">
        <v>21</v>
      </c>
      <c r="L226" s="6" t="s">
        <v>22</v>
      </c>
      <c r="M226" s="5">
        <v>45068</v>
      </c>
      <c r="N226" s="7">
        <v>299.98</v>
      </c>
    </row>
    <row r="227" spans="1:14" x14ac:dyDescent="0.3">
      <c r="A227" s="4" t="s">
        <v>372</v>
      </c>
      <c r="B227" s="5">
        <v>45720</v>
      </c>
      <c r="C227" s="6" t="s">
        <v>226</v>
      </c>
      <c r="D227" s="6" t="s">
        <v>227</v>
      </c>
      <c r="E227" s="6" t="s">
        <v>80</v>
      </c>
      <c r="F227" s="6" t="s">
        <v>81</v>
      </c>
      <c r="G227" s="6" t="s">
        <v>19</v>
      </c>
      <c r="H227" s="6">
        <v>5</v>
      </c>
      <c r="I227" s="6">
        <v>699.99</v>
      </c>
      <c r="J227" s="6" t="s">
        <v>57</v>
      </c>
      <c r="K227" s="6" t="s">
        <v>63</v>
      </c>
      <c r="L227" s="6" t="s">
        <v>27</v>
      </c>
      <c r="M227" s="5">
        <v>45161</v>
      </c>
      <c r="N227" s="7">
        <v>3499.95</v>
      </c>
    </row>
    <row r="228" spans="1:14" x14ac:dyDescent="0.3">
      <c r="A228" s="4" t="s">
        <v>373</v>
      </c>
      <c r="B228" s="5">
        <v>45721</v>
      </c>
      <c r="C228" s="6" t="s">
        <v>75</v>
      </c>
      <c r="D228" s="6" t="s">
        <v>76</v>
      </c>
      <c r="E228" s="6" t="s">
        <v>31</v>
      </c>
      <c r="F228" s="6" t="s">
        <v>32</v>
      </c>
      <c r="G228" s="6" t="s">
        <v>33</v>
      </c>
      <c r="H228" s="6">
        <v>5</v>
      </c>
      <c r="I228" s="6">
        <v>59.99</v>
      </c>
      <c r="J228" s="6" t="s">
        <v>20</v>
      </c>
      <c r="K228" s="6" t="s">
        <v>50</v>
      </c>
      <c r="L228" s="6" t="s">
        <v>27</v>
      </c>
      <c r="M228" s="5">
        <v>45291</v>
      </c>
      <c r="N228" s="7">
        <v>299.95</v>
      </c>
    </row>
    <row r="229" spans="1:14" x14ac:dyDescent="0.3">
      <c r="A229" s="4" t="s">
        <v>374</v>
      </c>
      <c r="B229" s="5">
        <v>45723</v>
      </c>
      <c r="C229" s="6" t="s">
        <v>15</v>
      </c>
      <c r="D229" s="6" t="s">
        <v>16</v>
      </c>
      <c r="E229" s="6" t="s">
        <v>117</v>
      </c>
      <c r="F229" s="6" t="s">
        <v>118</v>
      </c>
      <c r="G229" s="6" t="s">
        <v>19</v>
      </c>
      <c r="H229" s="6">
        <v>2</v>
      </c>
      <c r="I229" s="6">
        <v>89.99</v>
      </c>
      <c r="J229" s="6" t="s">
        <v>26</v>
      </c>
      <c r="K229" s="6" t="s">
        <v>50</v>
      </c>
      <c r="L229" s="6" t="s">
        <v>27</v>
      </c>
      <c r="M229" s="5">
        <v>45295</v>
      </c>
      <c r="N229" s="7">
        <v>179.98</v>
      </c>
    </row>
    <row r="230" spans="1:14" x14ac:dyDescent="0.3">
      <c r="A230" s="4" t="s">
        <v>375</v>
      </c>
      <c r="B230" s="5">
        <v>45723</v>
      </c>
      <c r="C230" s="6" t="s">
        <v>120</v>
      </c>
      <c r="D230" s="6" t="s">
        <v>121</v>
      </c>
      <c r="E230" s="6" t="s">
        <v>17</v>
      </c>
      <c r="F230" s="6" t="s">
        <v>18</v>
      </c>
      <c r="G230" s="6" t="s">
        <v>19</v>
      </c>
      <c r="H230" s="6">
        <v>5</v>
      </c>
      <c r="I230" s="6">
        <v>249.99</v>
      </c>
      <c r="J230" s="6" t="s">
        <v>20</v>
      </c>
      <c r="K230" s="6" t="s">
        <v>63</v>
      </c>
      <c r="L230" s="6" t="s">
        <v>36</v>
      </c>
      <c r="M230" s="5">
        <v>44540</v>
      </c>
      <c r="N230" s="7">
        <v>1249.95</v>
      </c>
    </row>
    <row r="231" spans="1:14" x14ac:dyDescent="0.3">
      <c r="A231" s="4" t="s">
        <v>376</v>
      </c>
      <c r="B231" s="5">
        <v>45724</v>
      </c>
      <c r="C231" s="6" t="s">
        <v>226</v>
      </c>
      <c r="D231" s="6" t="s">
        <v>227</v>
      </c>
      <c r="E231" s="6" t="s">
        <v>44</v>
      </c>
      <c r="F231" s="6" t="s">
        <v>45</v>
      </c>
      <c r="G231" s="6" t="s">
        <v>46</v>
      </c>
      <c r="H231" s="6">
        <v>2</v>
      </c>
      <c r="I231" s="6">
        <v>149.99</v>
      </c>
      <c r="J231" s="6" t="s">
        <v>34</v>
      </c>
      <c r="K231" s="6" t="s">
        <v>21</v>
      </c>
      <c r="L231" s="6" t="s">
        <v>27</v>
      </c>
      <c r="M231" s="5">
        <v>44632</v>
      </c>
      <c r="N231" s="7">
        <v>299.98</v>
      </c>
    </row>
    <row r="232" spans="1:14" x14ac:dyDescent="0.3">
      <c r="A232" s="4" t="s">
        <v>377</v>
      </c>
      <c r="B232" s="5">
        <v>45724</v>
      </c>
      <c r="C232" s="6" t="s">
        <v>144</v>
      </c>
      <c r="D232" s="6" t="s">
        <v>145</v>
      </c>
      <c r="E232" s="6" t="s">
        <v>61</v>
      </c>
      <c r="F232" s="6" t="s">
        <v>62</v>
      </c>
      <c r="G232" s="6" t="s">
        <v>19</v>
      </c>
      <c r="H232" s="6">
        <v>5</v>
      </c>
      <c r="I232" s="6">
        <v>899.99</v>
      </c>
      <c r="J232" s="6" t="s">
        <v>34</v>
      </c>
      <c r="K232" s="6" t="s">
        <v>63</v>
      </c>
      <c r="L232" s="6" t="s">
        <v>27</v>
      </c>
      <c r="M232" s="5">
        <v>45389</v>
      </c>
      <c r="N232" s="7">
        <v>4499.95</v>
      </c>
    </row>
    <row r="233" spans="1:14" x14ac:dyDescent="0.3">
      <c r="A233" s="4" t="s">
        <v>378</v>
      </c>
      <c r="B233" s="5">
        <v>45724</v>
      </c>
      <c r="C233" s="6" t="s">
        <v>55</v>
      </c>
      <c r="D233" s="6" t="s">
        <v>56</v>
      </c>
      <c r="E233" s="6" t="s">
        <v>44</v>
      </c>
      <c r="F233" s="6" t="s">
        <v>45</v>
      </c>
      <c r="G233" s="6" t="s">
        <v>46</v>
      </c>
      <c r="H233" s="6">
        <v>4</v>
      </c>
      <c r="I233" s="6">
        <v>149.99</v>
      </c>
      <c r="J233" s="6" t="s">
        <v>20</v>
      </c>
      <c r="K233" s="6" t="s">
        <v>21</v>
      </c>
      <c r="L233" s="6" t="s">
        <v>36</v>
      </c>
      <c r="M233" s="5">
        <v>45263</v>
      </c>
      <c r="N233" s="7">
        <v>599.96</v>
      </c>
    </row>
    <row r="234" spans="1:14" x14ac:dyDescent="0.3">
      <c r="A234" s="4" t="s">
        <v>379</v>
      </c>
      <c r="B234" s="5">
        <v>45726</v>
      </c>
      <c r="C234" s="6" t="s">
        <v>144</v>
      </c>
      <c r="D234" s="6" t="s">
        <v>145</v>
      </c>
      <c r="E234" s="6" t="s">
        <v>17</v>
      </c>
      <c r="F234" s="6" t="s">
        <v>18</v>
      </c>
      <c r="G234" s="6" t="s">
        <v>19</v>
      </c>
      <c r="H234" s="6">
        <v>1</v>
      </c>
      <c r="I234" s="6">
        <v>249.99</v>
      </c>
      <c r="J234" s="6" t="s">
        <v>20</v>
      </c>
      <c r="K234" s="6" t="s">
        <v>40</v>
      </c>
      <c r="L234" s="6" t="s">
        <v>36</v>
      </c>
      <c r="M234" s="5">
        <v>45117</v>
      </c>
      <c r="N234" s="7">
        <v>249.99</v>
      </c>
    </row>
    <row r="235" spans="1:14" x14ac:dyDescent="0.3">
      <c r="A235" s="4" t="s">
        <v>380</v>
      </c>
      <c r="B235" s="5">
        <v>45734</v>
      </c>
      <c r="C235" s="6" t="s">
        <v>192</v>
      </c>
      <c r="D235" s="6" t="s">
        <v>193</v>
      </c>
      <c r="E235" s="6" t="s">
        <v>31</v>
      </c>
      <c r="F235" s="6" t="s">
        <v>32</v>
      </c>
      <c r="G235" s="6" t="s">
        <v>33</v>
      </c>
      <c r="H235" s="6">
        <v>2</v>
      </c>
      <c r="I235" s="6">
        <v>59.99</v>
      </c>
      <c r="J235" s="6" t="s">
        <v>26</v>
      </c>
      <c r="K235" s="6" t="s">
        <v>50</v>
      </c>
      <c r="L235" s="6" t="s">
        <v>22</v>
      </c>
      <c r="M235" s="5">
        <v>45193</v>
      </c>
      <c r="N235" s="7">
        <v>119.98</v>
      </c>
    </row>
    <row r="236" spans="1:14" x14ac:dyDescent="0.3">
      <c r="A236" s="4" t="s">
        <v>381</v>
      </c>
      <c r="B236" s="5">
        <v>45737</v>
      </c>
      <c r="C236" s="6" t="s">
        <v>132</v>
      </c>
      <c r="D236" s="6" t="s">
        <v>133</v>
      </c>
      <c r="E236" s="6" t="s">
        <v>44</v>
      </c>
      <c r="F236" s="6" t="s">
        <v>45</v>
      </c>
      <c r="G236" s="6" t="s">
        <v>46</v>
      </c>
      <c r="H236" s="6">
        <v>2</v>
      </c>
      <c r="I236" s="6">
        <v>149.99</v>
      </c>
      <c r="J236" s="6" t="s">
        <v>20</v>
      </c>
      <c r="K236" s="6" t="s">
        <v>50</v>
      </c>
      <c r="L236" s="6" t="s">
        <v>27</v>
      </c>
      <c r="M236" s="5">
        <v>45233</v>
      </c>
      <c r="N236" s="7">
        <v>299.98</v>
      </c>
    </row>
    <row r="237" spans="1:14" x14ac:dyDescent="0.3">
      <c r="A237" s="4" t="s">
        <v>382</v>
      </c>
      <c r="B237" s="5">
        <v>45737</v>
      </c>
      <c r="C237" s="6" t="s">
        <v>150</v>
      </c>
      <c r="D237" s="6" t="s">
        <v>151</v>
      </c>
      <c r="E237" s="6" t="s">
        <v>61</v>
      </c>
      <c r="F237" s="6" t="s">
        <v>62</v>
      </c>
      <c r="G237" s="6" t="s">
        <v>19</v>
      </c>
      <c r="H237" s="6">
        <v>3</v>
      </c>
      <c r="I237" s="6">
        <v>899.99</v>
      </c>
      <c r="J237" s="6" t="s">
        <v>57</v>
      </c>
      <c r="K237" s="6" t="s">
        <v>40</v>
      </c>
      <c r="L237" s="6" t="s">
        <v>27</v>
      </c>
      <c r="M237" s="5">
        <v>44876</v>
      </c>
      <c r="N237" s="7">
        <v>2699.97</v>
      </c>
    </row>
    <row r="238" spans="1:14" x14ac:dyDescent="0.3">
      <c r="A238" s="4" t="s">
        <v>383</v>
      </c>
      <c r="B238" s="5">
        <v>45737</v>
      </c>
      <c r="C238" s="6" t="s">
        <v>48</v>
      </c>
      <c r="D238" s="6" t="s">
        <v>49</v>
      </c>
      <c r="E238" s="6" t="s">
        <v>61</v>
      </c>
      <c r="F238" s="6" t="s">
        <v>62</v>
      </c>
      <c r="G238" s="6" t="s">
        <v>19</v>
      </c>
      <c r="H238" s="6">
        <v>3</v>
      </c>
      <c r="I238" s="6">
        <v>899.99</v>
      </c>
      <c r="J238" s="6" t="s">
        <v>34</v>
      </c>
      <c r="K238" s="6" t="s">
        <v>40</v>
      </c>
      <c r="L238" s="6" t="s">
        <v>22</v>
      </c>
      <c r="M238" s="5">
        <v>44975</v>
      </c>
      <c r="N238" s="7">
        <v>2699.97</v>
      </c>
    </row>
    <row r="239" spans="1:14" x14ac:dyDescent="0.3">
      <c r="A239" s="4" t="s">
        <v>384</v>
      </c>
      <c r="B239" s="5">
        <v>45739</v>
      </c>
      <c r="C239" s="6" t="s">
        <v>15</v>
      </c>
      <c r="D239" s="6" t="s">
        <v>16</v>
      </c>
      <c r="E239" s="6" t="s">
        <v>105</v>
      </c>
      <c r="F239" s="6" t="s">
        <v>106</v>
      </c>
      <c r="G239" s="6" t="s">
        <v>46</v>
      </c>
      <c r="H239" s="6">
        <v>3</v>
      </c>
      <c r="I239" s="6">
        <v>299.99</v>
      </c>
      <c r="J239" s="6" t="s">
        <v>26</v>
      </c>
      <c r="K239" s="6" t="s">
        <v>50</v>
      </c>
      <c r="L239" s="6" t="s">
        <v>27</v>
      </c>
      <c r="M239" s="5">
        <v>45234</v>
      </c>
      <c r="N239" s="7">
        <v>899.97</v>
      </c>
    </row>
    <row r="240" spans="1:14" x14ac:dyDescent="0.3">
      <c r="A240" s="4" t="s">
        <v>385</v>
      </c>
      <c r="B240" s="5">
        <v>45740</v>
      </c>
      <c r="C240" s="6" t="s">
        <v>386</v>
      </c>
      <c r="D240" s="6" t="s">
        <v>387</v>
      </c>
      <c r="E240" s="6" t="s">
        <v>44</v>
      </c>
      <c r="F240" s="6" t="s">
        <v>45</v>
      </c>
      <c r="G240" s="6" t="s">
        <v>46</v>
      </c>
      <c r="H240" s="6">
        <v>4</v>
      </c>
      <c r="I240" s="6">
        <v>149.99</v>
      </c>
      <c r="J240" s="6" t="s">
        <v>34</v>
      </c>
      <c r="K240" s="6" t="s">
        <v>50</v>
      </c>
      <c r="L240" s="6" t="s">
        <v>36</v>
      </c>
      <c r="M240" s="5">
        <v>44560</v>
      </c>
      <c r="N240" s="7">
        <v>599.96</v>
      </c>
    </row>
    <row r="241" spans="1:14" x14ac:dyDescent="0.3">
      <c r="A241" s="4" t="s">
        <v>388</v>
      </c>
      <c r="B241" s="5">
        <v>45743</v>
      </c>
      <c r="C241" s="6" t="s">
        <v>102</v>
      </c>
      <c r="D241" s="6" t="s">
        <v>103</v>
      </c>
      <c r="E241" s="6" t="s">
        <v>114</v>
      </c>
      <c r="F241" s="6" t="s">
        <v>115</v>
      </c>
      <c r="G241" s="6" t="s">
        <v>33</v>
      </c>
      <c r="H241" s="6">
        <v>4</v>
      </c>
      <c r="I241" s="6">
        <v>79.989999999999995</v>
      </c>
      <c r="J241" s="6" t="s">
        <v>26</v>
      </c>
      <c r="K241" s="6" t="s">
        <v>21</v>
      </c>
      <c r="L241" s="6" t="s">
        <v>22</v>
      </c>
      <c r="M241" s="5">
        <v>45288</v>
      </c>
      <c r="N241" s="7">
        <v>319.95999999999998</v>
      </c>
    </row>
    <row r="242" spans="1:14" x14ac:dyDescent="0.3">
      <c r="A242" s="4" t="s">
        <v>389</v>
      </c>
      <c r="B242" s="5">
        <v>45745</v>
      </c>
      <c r="C242" s="6" t="s">
        <v>185</v>
      </c>
      <c r="D242" s="6" t="s">
        <v>186</v>
      </c>
      <c r="E242" s="6" t="s">
        <v>117</v>
      </c>
      <c r="F242" s="6" t="s">
        <v>118</v>
      </c>
      <c r="G242" s="6" t="s">
        <v>19</v>
      </c>
      <c r="H242" s="6">
        <v>5</v>
      </c>
      <c r="I242" s="6">
        <v>89.99</v>
      </c>
      <c r="J242" s="6" t="s">
        <v>34</v>
      </c>
      <c r="K242" s="6" t="s">
        <v>35</v>
      </c>
      <c r="L242" s="6" t="s">
        <v>22</v>
      </c>
      <c r="M242" s="5">
        <v>44704</v>
      </c>
      <c r="N242" s="7">
        <v>449.95</v>
      </c>
    </row>
    <row r="243" spans="1:14" x14ac:dyDescent="0.3">
      <c r="A243" s="4" t="s">
        <v>390</v>
      </c>
      <c r="B243" s="5">
        <v>45746</v>
      </c>
      <c r="C243" s="6" t="s">
        <v>93</v>
      </c>
      <c r="D243" s="6" t="s">
        <v>94</v>
      </c>
      <c r="E243" s="6" t="s">
        <v>44</v>
      </c>
      <c r="F243" s="6" t="s">
        <v>45</v>
      </c>
      <c r="G243" s="6" t="s">
        <v>46</v>
      </c>
      <c r="H243" s="6">
        <v>3</v>
      </c>
      <c r="I243" s="6">
        <v>149.99</v>
      </c>
      <c r="J243" s="6" t="s">
        <v>34</v>
      </c>
      <c r="K243" s="6" t="s">
        <v>21</v>
      </c>
      <c r="L243" s="6" t="s">
        <v>36</v>
      </c>
      <c r="M243" s="5">
        <v>45171</v>
      </c>
      <c r="N243" s="7">
        <v>449.97</v>
      </c>
    </row>
    <row r="244" spans="1:14" x14ac:dyDescent="0.3">
      <c r="A244" s="4" t="s">
        <v>391</v>
      </c>
      <c r="B244" s="5">
        <v>45746</v>
      </c>
      <c r="C244" s="6" t="s">
        <v>65</v>
      </c>
      <c r="D244" s="6" t="s">
        <v>66</v>
      </c>
      <c r="E244" s="6" t="s">
        <v>117</v>
      </c>
      <c r="F244" s="6" t="s">
        <v>118</v>
      </c>
      <c r="G244" s="6" t="s">
        <v>19</v>
      </c>
      <c r="H244" s="6">
        <v>2</v>
      </c>
      <c r="I244" s="6">
        <v>89.99</v>
      </c>
      <c r="J244" s="6" t="s">
        <v>57</v>
      </c>
      <c r="K244" s="6" t="s">
        <v>50</v>
      </c>
      <c r="L244" s="6" t="s">
        <v>27</v>
      </c>
      <c r="M244" s="5">
        <v>44522</v>
      </c>
      <c r="N244" s="7">
        <v>179.98</v>
      </c>
    </row>
    <row r="245" spans="1:14" x14ac:dyDescent="0.3">
      <c r="A245" s="4" t="s">
        <v>392</v>
      </c>
      <c r="B245" s="5">
        <v>45748</v>
      </c>
      <c r="C245" s="6" t="s">
        <v>102</v>
      </c>
      <c r="D245" s="6" t="s">
        <v>103</v>
      </c>
      <c r="E245" s="6" t="s">
        <v>80</v>
      </c>
      <c r="F245" s="6" t="s">
        <v>81</v>
      </c>
      <c r="G245" s="6" t="s">
        <v>19</v>
      </c>
      <c r="H245" s="6">
        <v>2</v>
      </c>
      <c r="I245" s="6">
        <v>699.99</v>
      </c>
      <c r="J245" s="6" t="s">
        <v>34</v>
      </c>
      <c r="K245" s="6" t="s">
        <v>40</v>
      </c>
      <c r="L245" s="6" t="s">
        <v>36</v>
      </c>
      <c r="M245" s="5">
        <v>44618</v>
      </c>
      <c r="N245" s="7">
        <v>1399.98</v>
      </c>
    </row>
    <row r="246" spans="1:14" x14ac:dyDescent="0.3">
      <c r="A246" s="4" t="s">
        <v>393</v>
      </c>
      <c r="B246" s="5">
        <v>45749</v>
      </c>
      <c r="C246" s="6" t="s">
        <v>123</v>
      </c>
      <c r="D246" s="6" t="s">
        <v>124</v>
      </c>
      <c r="E246" s="6" t="s">
        <v>61</v>
      </c>
      <c r="F246" s="6" t="s">
        <v>62</v>
      </c>
      <c r="G246" s="6" t="s">
        <v>19</v>
      </c>
      <c r="H246" s="6">
        <v>3</v>
      </c>
      <c r="I246" s="6">
        <v>899.99</v>
      </c>
      <c r="J246" s="6" t="s">
        <v>20</v>
      </c>
      <c r="K246" s="6" t="s">
        <v>21</v>
      </c>
      <c r="L246" s="6" t="s">
        <v>36</v>
      </c>
      <c r="M246" s="5">
        <v>44953</v>
      </c>
      <c r="N246" s="7">
        <v>2699.97</v>
      </c>
    </row>
    <row r="247" spans="1:14" x14ac:dyDescent="0.3">
      <c r="A247" s="4" t="s">
        <v>394</v>
      </c>
      <c r="B247" s="5">
        <v>45755</v>
      </c>
      <c r="C247" s="6" t="s">
        <v>93</v>
      </c>
      <c r="D247" s="6" t="s">
        <v>94</v>
      </c>
      <c r="E247" s="6" t="s">
        <v>114</v>
      </c>
      <c r="F247" s="6" t="s">
        <v>115</v>
      </c>
      <c r="G247" s="6" t="s">
        <v>33</v>
      </c>
      <c r="H247" s="6">
        <v>3</v>
      </c>
      <c r="I247" s="6">
        <v>79.989999999999995</v>
      </c>
      <c r="J247" s="6" t="s">
        <v>26</v>
      </c>
      <c r="K247" s="6" t="s">
        <v>40</v>
      </c>
      <c r="L247" s="6" t="s">
        <v>22</v>
      </c>
      <c r="M247" s="5">
        <v>44511</v>
      </c>
      <c r="N247" s="7">
        <v>239.97</v>
      </c>
    </row>
    <row r="248" spans="1:14" x14ac:dyDescent="0.3">
      <c r="A248" s="4" t="s">
        <v>395</v>
      </c>
      <c r="B248" s="5">
        <v>45756</v>
      </c>
      <c r="C248" s="6" t="s">
        <v>59</v>
      </c>
      <c r="D248" s="6" t="s">
        <v>60</v>
      </c>
      <c r="E248" s="6" t="s">
        <v>117</v>
      </c>
      <c r="F248" s="6" t="s">
        <v>118</v>
      </c>
      <c r="G248" s="6" t="s">
        <v>19</v>
      </c>
      <c r="H248" s="6">
        <v>1</v>
      </c>
      <c r="I248" s="6">
        <v>89.99</v>
      </c>
      <c r="J248" s="6" t="s">
        <v>57</v>
      </c>
      <c r="K248" s="6" t="s">
        <v>63</v>
      </c>
      <c r="L248" s="6" t="s">
        <v>22</v>
      </c>
      <c r="M248" s="5">
        <v>45346</v>
      </c>
      <c r="N248" s="7">
        <v>89.99</v>
      </c>
    </row>
    <row r="249" spans="1:14" x14ac:dyDescent="0.3">
      <c r="A249" s="4" t="s">
        <v>396</v>
      </c>
      <c r="B249" s="5">
        <v>45758</v>
      </c>
      <c r="C249" s="6" t="s">
        <v>293</v>
      </c>
      <c r="D249" s="6" t="s">
        <v>294</v>
      </c>
      <c r="E249" s="6" t="s">
        <v>80</v>
      </c>
      <c r="F249" s="6" t="s">
        <v>81</v>
      </c>
      <c r="G249" s="6" t="s">
        <v>19</v>
      </c>
      <c r="H249" s="6">
        <v>3</v>
      </c>
      <c r="I249" s="6">
        <v>699.99</v>
      </c>
      <c r="J249" s="6" t="s">
        <v>34</v>
      </c>
      <c r="K249" s="6" t="s">
        <v>40</v>
      </c>
      <c r="L249" s="6" t="s">
        <v>22</v>
      </c>
      <c r="M249" s="5">
        <v>44909</v>
      </c>
      <c r="N249" s="7">
        <v>2099.9699999999998</v>
      </c>
    </row>
    <row r="250" spans="1:14" x14ac:dyDescent="0.3">
      <c r="A250" s="4" t="s">
        <v>397</v>
      </c>
      <c r="B250" s="5">
        <v>45758</v>
      </c>
      <c r="C250" s="6" t="s">
        <v>226</v>
      </c>
      <c r="D250" s="6" t="s">
        <v>227</v>
      </c>
      <c r="E250" s="6" t="s">
        <v>117</v>
      </c>
      <c r="F250" s="6" t="s">
        <v>118</v>
      </c>
      <c r="G250" s="6" t="s">
        <v>19</v>
      </c>
      <c r="H250" s="6">
        <v>2</v>
      </c>
      <c r="I250" s="6">
        <v>89.99</v>
      </c>
      <c r="J250" s="6" t="s">
        <v>57</v>
      </c>
      <c r="K250" s="6" t="s">
        <v>63</v>
      </c>
      <c r="L250" s="6" t="s">
        <v>22</v>
      </c>
      <c r="M250" s="5">
        <v>45088</v>
      </c>
      <c r="N250" s="7">
        <v>179.98</v>
      </c>
    </row>
    <row r="251" spans="1:14" x14ac:dyDescent="0.3">
      <c r="A251" s="8" t="s">
        <v>398</v>
      </c>
      <c r="B251" s="9">
        <v>45758</v>
      </c>
      <c r="C251" s="10" t="s">
        <v>138</v>
      </c>
      <c r="D251" s="10" t="s">
        <v>139</v>
      </c>
      <c r="E251" s="10" t="s">
        <v>117</v>
      </c>
      <c r="F251" s="10" t="s">
        <v>118</v>
      </c>
      <c r="G251" s="10" t="s">
        <v>19</v>
      </c>
      <c r="H251" s="10">
        <v>3</v>
      </c>
      <c r="I251" s="10">
        <v>89.99</v>
      </c>
      <c r="J251" s="10" t="s">
        <v>57</v>
      </c>
      <c r="K251" s="10" t="s">
        <v>40</v>
      </c>
      <c r="L251" s="10" t="s">
        <v>27</v>
      </c>
      <c r="M251" s="9">
        <v>44878</v>
      </c>
      <c r="N251" s="11">
        <v>269.97000000000003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A1A0B-C403-4F64-93AB-A188A4844B45}">
  <sheetPr>
    <outlinePr summaryBelow="0"/>
  </sheetPr>
  <dimension ref="B2:G12"/>
  <sheetViews>
    <sheetView showGridLines="0" workbookViewId="0">
      <selection activeCell="E16" sqref="E16"/>
    </sheetView>
  </sheetViews>
  <sheetFormatPr defaultRowHeight="14.4" outlineLevelRow="1" outlineLevelCol="1" x14ac:dyDescent="0.3"/>
  <cols>
    <col min="3" max="3" width="7.109375" bestFit="1" customWidth="1"/>
    <col min="4" max="7" width="12.6640625" bestFit="1" customWidth="1" outlineLevel="1"/>
  </cols>
  <sheetData>
    <row r="2" spans="2:7" ht="15.6" x14ac:dyDescent="0.3">
      <c r="B2" s="35" t="s">
        <v>422</v>
      </c>
      <c r="C2" s="35"/>
      <c r="D2" s="36"/>
      <c r="E2" s="36"/>
      <c r="F2" s="36"/>
      <c r="G2" s="36"/>
    </row>
    <row r="3" spans="2:7" ht="15.6" collapsed="1" x14ac:dyDescent="0.3">
      <c r="B3" s="35"/>
      <c r="C3" s="35"/>
      <c r="D3" s="36" t="s">
        <v>424</v>
      </c>
      <c r="E3" s="36" t="s">
        <v>418</v>
      </c>
      <c r="F3" s="36" t="s">
        <v>420</v>
      </c>
      <c r="G3" s="36" t="s">
        <v>421</v>
      </c>
    </row>
    <row r="4" spans="2:7" ht="21.6" hidden="1" outlineLevel="1" x14ac:dyDescent="0.3">
      <c r="B4" s="31"/>
      <c r="C4" s="31"/>
      <c r="D4" s="32"/>
      <c r="E4" s="33" t="s">
        <v>419</v>
      </c>
      <c r="F4" s="33" t="s">
        <v>419</v>
      </c>
      <c r="G4" s="33" t="s">
        <v>419</v>
      </c>
    </row>
    <row r="5" spans="2:7" x14ac:dyDescent="0.3">
      <c r="B5" s="37" t="s">
        <v>423</v>
      </c>
      <c r="C5" s="37"/>
      <c r="D5" s="32"/>
      <c r="E5" s="32"/>
      <c r="F5" s="32"/>
      <c r="G5" s="32"/>
    </row>
    <row r="6" spans="2:7" outlineLevel="1" x14ac:dyDescent="0.3">
      <c r="B6" s="31"/>
      <c r="C6" s="31" t="s">
        <v>415</v>
      </c>
      <c r="D6" s="32">
        <v>10</v>
      </c>
      <c r="E6" s="34">
        <v>5</v>
      </c>
      <c r="F6" s="34">
        <v>10</v>
      </c>
      <c r="G6" s="34">
        <v>20</v>
      </c>
    </row>
    <row r="7" spans="2:7" outlineLevel="1" x14ac:dyDescent="0.3">
      <c r="B7" s="31"/>
      <c r="C7" s="31" t="s">
        <v>416</v>
      </c>
      <c r="D7" s="32">
        <v>100</v>
      </c>
      <c r="E7" s="34">
        <v>80</v>
      </c>
      <c r="F7" s="34">
        <v>100</v>
      </c>
      <c r="G7" s="34">
        <v>150</v>
      </c>
    </row>
    <row r="8" spans="2:7" x14ac:dyDescent="0.3">
      <c r="B8" s="37" t="s">
        <v>425</v>
      </c>
      <c r="C8" s="37"/>
      <c r="D8" s="32"/>
      <c r="E8" s="32"/>
      <c r="F8" s="32"/>
      <c r="G8" s="32"/>
    </row>
    <row r="9" spans="2:7" outlineLevel="1" x14ac:dyDescent="0.3">
      <c r="B9" s="31"/>
      <c r="C9" s="31" t="s">
        <v>417</v>
      </c>
      <c r="D9" s="32">
        <v>1000</v>
      </c>
      <c r="E9" s="32">
        <v>400</v>
      </c>
      <c r="F9" s="32">
        <v>1000</v>
      </c>
      <c r="G9" s="32">
        <v>3000</v>
      </c>
    </row>
    <row r="10" spans="2:7" x14ac:dyDescent="0.3">
      <c r="B10" t="s">
        <v>426</v>
      </c>
    </row>
    <row r="11" spans="2:7" x14ac:dyDescent="0.3">
      <c r="B11" t="s">
        <v>427</v>
      </c>
    </row>
    <row r="12" spans="2:7" x14ac:dyDescent="0.3">
      <c r="B12" t="s">
        <v>428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B3820-5D1F-463D-95F7-2A91837A1C6A}">
  <dimension ref="A1:N846"/>
  <sheetViews>
    <sheetView zoomScale="82" workbookViewId="0">
      <selection activeCell="C599" sqref="C599"/>
    </sheetView>
  </sheetViews>
  <sheetFormatPr defaultRowHeight="14.4" x14ac:dyDescent="0.3"/>
  <cols>
    <col min="1" max="1" width="16.77734375" customWidth="1"/>
    <col min="2" max="2" width="22.5546875" customWidth="1"/>
    <col min="3" max="3" width="25.5546875" customWidth="1"/>
    <col min="4" max="4" width="56.88671875" customWidth="1"/>
    <col min="5" max="5" width="22.77734375" customWidth="1"/>
    <col min="6" max="6" width="17" customWidth="1"/>
    <col min="7" max="7" width="15.44140625" customWidth="1"/>
    <col min="8" max="8" width="12.5546875" customWidth="1"/>
    <col min="9" max="9" width="16.21875" customWidth="1"/>
    <col min="10" max="10" width="17.21875" customWidth="1"/>
    <col min="11" max="11" width="14.33203125" customWidth="1"/>
    <col min="12" max="12" width="14.77734375" customWidth="1"/>
    <col min="13" max="13" width="15.77734375" customWidth="1"/>
    <col min="14" max="14" width="16" customWidth="1"/>
    <col min="15" max="15" width="15.88671875" customWidth="1"/>
    <col min="16" max="16" width="17.109375" customWidth="1"/>
    <col min="17" max="17" width="17.21875" customWidth="1"/>
  </cols>
  <sheetData>
    <row r="1" spans="1:14" ht="18.600000000000001" thickBot="1" x14ac:dyDescent="0.4">
      <c r="A1" s="58" t="s">
        <v>399</v>
      </c>
      <c r="B1" s="60"/>
      <c r="C1" s="59"/>
      <c r="D1" s="19"/>
    </row>
    <row r="2" spans="1:14" ht="15" thickBot="1" x14ac:dyDescent="0.35"/>
    <row r="3" spans="1:14" ht="15.6" x14ac:dyDescent="0.3">
      <c r="A3" s="20" t="s">
        <v>400</v>
      </c>
      <c r="B3" s="21" t="s">
        <v>401</v>
      </c>
    </row>
    <row r="4" spans="1:14" x14ac:dyDescent="0.3">
      <c r="A4" s="13" t="s">
        <v>402</v>
      </c>
      <c r="B4" s="14">
        <f ca="1">TODAY()</f>
        <v>46286</v>
      </c>
    </row>
    <row r="5" spans="1:14" x14ac:dyDescent="0.3">
      <c r="A5" s="13" t="s">
        <v>403</v>
      </c>
      <c r="B5" s="15">
        <f ca="1">NOW()</f>
        <v>46286.527024189818</v>
      </c>
    </row>
    <row r="6" spans="1:14" x14ac:dyDescent="0.3">
      <c r="A6" s="13" t="s">
        <v>404</v>
      </c>
      <c r="B6" s="16">
        <f>DATEDIF(DataSet!M2,DataSet!B2,"d")</f>
        <v>968</v>
      </c>
    </row>
    <row r="7" spans="1:14" ht="15" thickBot="1" x14ac:dyDescent="0.35">
      <c r="A7" s="17" t="s">
        <v>405</v>
      </c>
      <c r="B7" s="18">
        <f>EOMONTH(DataSet!B2,0)</f>
        <v>45412</v>
      </c>
    </row>
    <row r="8" spans="1:14" ht="15" thickBot="1" x14ac:dyDescent="0.35"/>
    <row r="9" spans="1:14" ht="18.600000000000001" thickBot="1" x14ac:dyDescent="0.4">
      <c r="A9" s="58" t="s">
        <v>406</v>
      </c>
      <c r="B9" s="59"/>
    </row>
    <row r="10" spans="1:14" ht="15" thickBot="1" x14ac:dyDescent="0.35"/>
    <row r="11" spans="1:14" ht="18.600000000000001" thickBot="1" x14ac:dyDescent="0.4">
      <c r="A11" s="38" t="s">
        <v>407</v>
      </c>
      <c r="B11" s="39"/>
      <c r="C11" s="39"/>
      <c r="D11" s="39"/>
      <c r="E11" s="39"/>
      <c r="F11" s="39"/>
      <c r="G11" s="39"/>
      <c r="H11" s="39"/>
      <c r="I11" s="39"/>
      <c r="J11" s="39"/>
      <c r="K11" s="39"/>
      <c r="L11" s="39"/>
      <c r="M11" s="39"/>
      <c r="N11" s="40"/>
    </row>
    <row r="12" spans="1:14" x14ac:dyDescent="0.3">
      <c r="A12" s="23" t="str" cm="1">
        <f t="array" ref="A12:N142">_xlfn._xlws.FILTER(DataSet!A2:N251,DataSet!G2:G251="Electronics","No records found")</f>
        <v>TRX0155</v>
      </c>
      <c r="B12" s="24">
        <v>45393</v>
      </c>
      <c r="C12" s="24" t="str">
        <v>CUST023</v>
      </c>
      <c r="D12" s="24" t="str">
        <v>Paul Baker</v>
      </c>
      <c r="E12" s="24" t="str">
        <v>P009</v>
      </c>
      <c r="F12" s="24" t="str">
        <v>Monitor</v>
      </c>
      <c r="G12" s="24" t="str">
        <v>Electronics</v>
      </c>
      <c r="H12" s="24">
        <v>3</v>
      </c>
      <c r="I12" s="24">
        <v>249.99</v>
      </c>
      <c r="J12" s="24" t="str">
        <v>Cash</v>
      </c>
      <c r="K12" s="24" t="str">
        <v>Central</v>
      </c>
      <c r="L12" s="24" t="str">
        <v>Basic</v>
      </c>
      <c r="M12" s="24">
        <v>44425</v>
      </c>
      <c r="N12" s="25">
        <v>749.97</v>
      </c>
    </row>
    <row r="13" spans="1:14" x14ac:dyDescent="0.3">
      <c r="A13" s="13" t="str">
        <v>TRX0023</v>
      </c>
      <c r="B13" s="12">
        <v>45396</v>
      </c>
      <c r="C13" s="12" t="str">
        <v>CUST013</v>
      </c>
      <c r="D13" s="12" t="str">
        <v>Joseph Jackson</v>
      </c>
      <c r="E13" s="12" t="str">
        <v>P009</v>
      </c>
      <c r="F13" s="12" t="str">
        <v>Monitor</v>
      </c>
      <c r="G13" s="12" t="str">
        <v>Electronics</v>
      </c>
      <c r="H13" s="12">
        <v>3</v>
      </c>
      <c r="I13" s="12">
        <v>249.99</v>
      </c>
      <c r="J13" s="12" t="str">
        <v>Credit Card</v>
      </c>
      <c r="K13" s="12" t="str">
        <v>Central</v>
      </c>
      <c r="L13" s="12" t="str">
        <v>Premium</v>
      </c>
      <c r="M13" s="12">
        <v>44575</v>
      </c>
      <c r="N13" s="16">
        <v>749.97</v>
      </c>
    </row>
    <row r="14" spans="1:14" x14ac:dyDescent="0.3">
      <c r="A14" s="13" t="str">
        <v>TRX0193</v>
      </c>
      <c r="B14" s="12">
        <v>45403</v>
      </c>
      <c r="C14" s="12" t="str">
        <v>CUST024</v>
      </c>
      <c r="D14" s="12" t="str">
        <v>Dorothy Nelson</v>
      </c>
      <c r="E14" s="12" t="str">
        <v>P003</v>
      </c>
      <c r="F14" s="12" t="str">
        <v>Headphones</v>
      </c>
      <c r="G14" s="12" t="str">
        <v>Electronics</v>
      </c>
      <c r="H14" s="12">
        <v>5</v>
      </c>
      <c r="I14" s="12">
        <v>149.99</v>
      </c>
      <c r="J14" s="12" t="str">
        <v>Credit Card</v>
      </c>
      <c r="K14" s="12" t="str">
        <v>Central</v>
      </c>
      <c r="L14" s="12" t="str">
        <v>Standard</v>
      </c>
      <c r="M14" s="12">
        <v>44418</v>
      </c>
      <c r="N14" s="16">
        <v>749.95</v>
      </c>
    </row>
    <row r="15" spans="1:14" x14ac:dyDescent="0.3">
      <c r="A15" s="13" t="str">
        <v>TRX0135</v>
      </c>
      <c r="B15" s="12">
        <v>45405</v>
      </c>
      <c r="C15" s="12" t="str">
        <v>CUST009</v>
      </c>
      <c r="D15" s="12" t="str">
        <v>Robert Thomas</v>
      </c>
      <c r="E15" s="12" t="str">
        <v>P001</v>
      </c>
      <c r="F15" s="12" t="str">
        <v>Laptop</v>
      </c>
      <c r="G15" s="12" t="str">
        <v>Electronics</v>
      </c>
      <c r="H15" s="12">
        <v>3</v>
      </c>
      <c r="I15" s="12">
        <v>899.99</v>
      </c>
      <c r="J15" s="12" t="str">
        <v>PayPal</v>
      </c>
      <c r="K15" s="12" t="str">
        <v>East</v>
      </c>
      <c r="L15" s="12" t="str">
        <v>Standard</v>
      </c>
      <c r="M15" s="12">
        <v>45299</v>
      </c>
      <c r="N15" s="16">
        <v>2699.97</v>
      </c>
    </row>
    <row r="16" spans="1:14" x14ac:dyDescent="0.3">
      <c r="A16" s="13" t="str">
        <v>TRX0191</v>
      </c>
      <c r="B16" s="12">
        <v>45409</v>
      </c>
      <c r="C16" s="12" t="str">
        <v>CUST038</v>
      </c>
      <c r="D16" s="12" t="str">
        <v>Michelle Rogers</v>
      </c>
      <c r="E16" s="12" t="str">
        <v>P002</v>
      </c>
      <c r="F16" s="12" t="str">
        <v>Smartphone</v>
      </c>
      <c r="G16" s="12" t="str">
        <v>Electronics</v>
      </c>
      <c r="H16" s="12">
        <v>3</v>
      </c>
      <c r="I16" s="12">
        <v>699.99</v>
      </c>
      <c r="J16" s="12" t="str">
        <v>Credit Card</v>
      </c>
      <c r="K16" s="12" t="str">
        <v>West</v>
      </c>
      <c r="L16" s="12" t="str">
        <v>Basic</v>
      </c>
      <c r="M16" s="12">
        <v>44577</v>
      </c>
      <c r="N16" s="16">
        <v>2099.9699999999998</v>
      </c>
    </row>
    <row r="17" spans="1:14" x14ac:dyDescent="0.3">
      <c r="A17" s="13" t="str">
        <v>TRX0230</v>
      </c>
      <c r="B17" s="12">
        <v>45409</v>
      </c>
      <c r="C17" s="12" t="str">
        <v>CUST027</v>
      </c>
      <c r="D17" s="12" t="str">
        <v>George Adams</v>
      </c>
      <c r="E17" s="12" t="str">
        <v>P001</v>
      </c>
      <c r="F17" s="12" t="str">
        <v>Laptop</v>
      </c>
      <c r="G17" s="12" t="str">
        <v>Electronics</v>
      </c>
      <c r="H17" s="12">
        <v>1</v>
      </c>
      <c r="I17" s="12">
        <v>899.99</v>
      </c>
      <c r="J17" s="12" t="str">
        <v>Debit Card</v>
      </c>
      <c r="K17" s="12" t="str">
        <v>North</v>
      </c>
      <c r="L17" s="12" t="str">
        <v>Standard</v>
      </c>
      <c r="M17" s="12">
        <v>44920</v>
      </c>
      <c r="N17" s="16">
        <v>899.99</v>
      </c>
    </row>
    <row r="18" spans="1:14" x14ac:dyDescent="0.3">
      <c r="A18" s="13" t="str">
        <v>TRX0134</v>
      </c>
      <c r="B18" s="12">
        <v>45410</v>
      </c>
      <c r="C18" s="12" t="str">
        <v>CUST010</v>
      </c>
      <c r="D18" s="12" t="str">
        <v>Maria Garcia</v>
      </c>
      <c r="E18" s="12" t="str">
        <v>P002</v>
      </c>
      <c r="F18" s="12" t="str">
        <v>Smartphone</v>
      </c>
      <c r="G18" s="12" t="str">
        <v>Electronics</v>
      </c>
      <c r="H18" s="12">
        <v>2</v>
      </c>
      <c r="I18" s="12">
        <v>699.99</v>
      </c>
      <c r="J18" s="12" t="str">
        <v>Cash</v>
      </c>
      <c r="K18" s="12" t="str">
        <v>North</v>
      </c>
      <c r="L18" s="12" t="str">
        <v>Basic</v>
      </c>
      <c r="M18" s="12">
        <v>44781</v>
      </c>
      <c r="N18" s="16">
        <v>1399.98</v>
      </c>
    </row>
    <row r="19" spans="1:14" x14ac:dyDescent="0.3">
      <c r="A19" s="13" t="str">
        <v>TRX0122</v>
      </c>
      <c r="B19" s="12">
        <v>45410</v>
      </c>
      <c r="C19" s="12" t="str">
        <v>CUST025</v>
      </c>
      <c r="D19" s="12" t="str">
        <v>Mark Carter</v>
      </c>
      <c r="E19" s="12" t="str">
        <v>P001</v>
      </c>
      <c r="F19" s="12" t="str">
        <v>Laptop</v>
      </c>
      <c r="G19" s="12" t="str">
        <v>Electronics</v>
      </c>
      <c r="H19" s="12">
        <v>4</v>
      </c>
      <c r="I19" s="12">
        <v>899.99</v>
      </c>
      <c r="J19" s="12" t="str">
        <v>Credit Card</v>
      </c>
      <c r="K19" s="12" t="str">
        <v>West</v>
      </c>
      <c r="L19" s="12" t="str">
        <v>Standard</v>
      </c>
      <c r="M19" s="12">
        <v>45327</v>
      </c>
      <c r="N19" s="16">
        <v>3599.96</v>
      </c>
    </row>
    <row r="20" spans="1:14" x14ac:dyDescent="0.3">
      <c r="A20" s="13" t="str">
        <v>TRX0222</v>
      </c>
      <c r="B20" s="12">
        <v>45410</v>
      </c>
      <c r="C20" s="12" t="str">
        <v>CUST048</v>
      </c>
      <c r="D20" s="12" t="str">
        <v>Virginia Sanders</v>
      </c>
      <c r="E20" s="12" t="str">
        <v>P009</v>
      </c>
      <c r="F20" s="12" t="str">
        <v>Monitor</v>
      </c>
      <c r="G20" s="12" t="str">
        <v>Electronics</v>
      </c>
      <c r="H20" s="12">
        <v>3</v>
      </c>
      <c r="I20" s="12">
        <v>249.99</v>
      </c>
      <c r="J20" s="12" t="str">
        <v>Credit Card</v>
      </c>
      <c r="K20" s="12" t="str">
        <v>North</v>
      </c>
      <c r="L20" s="12" t="str">
        <v>Premium</v>
      </c>
      <c r="M20" s="12">
        <v>45224</v>
      </c>
      <c r="N20" s="16">
        <v>749.97</v>
      </c>
    </row>
    <row r="21" spans="1:14" x14ac:dyDescent="0.3">
      <c r="A21" s="13" t="str">
        <v>TRX0231</v>
      </c>
      <c r="B21" s="12">
        <v>45412</v>
      </c>
      <c r="C21" s="12" t="str">
        <v>CUST018</v>
      </c>
      <c r="D21" s="12" t="str">
        <v>Barbara Young</v>
      </c>
      <c r="E21" s="12" t="str">
        <v>P002</v>
      </c>
      <c r="F21" s="12" t="str">
        <v>Smartphone</v>
      </c>
      <c r="G21" s="12" t="str">
        <v>Electronics</v>
      </c>
      <c r="H21" s="12">
        <v>5</v>
      </c>
      <c r="I21" s="12">
        <v>699.99</v>
      </c>
      <c r="J21" s="12" t="str">
        <v>Cash</v>
      </c>
      <c r="K21" s="12" t="str">
        <v>West</v>
      </c>
      <c r="L21" s="12" t="str">
        <v>Basic</v>
      </c>
      <c r="M21" s="12">
        <v>45167</v>
      </c>
      <c r="N21" s="16">
        <v>3499.95</v>
      </c>
    </row>
    <row r="22" spans="1:14" x14ac:dyDescent="0.3">
      <c r="A22" s="13" t="str">
        <v>TRX0239</v>
      </c>
      <c r="B22" s="12">
        <v>45413</v>
      </c>
      <c r="C22" s="12" t="str">
        <v>CUST012</v>
      </c>
      <c r="D22" s="12" t="str">
        <v>Patricia Moore</v>
      </c>
      <c r="E22" s="12" t="str">
        <v>P002</v>
      </c>
      <c r="F22" s="12" t="str">
        <v>Smartphone</v>
      </c>
      <c r="G22" s="12" t="str">
        <v>Electronics</v>
      </c>
      <c r="H22" s="12">
        <v>4</v>
      </c>
      <c r="I22" s="12">
        <v>699.99</v>
      </c>
      <c r="J22" s="12" t="str">
        <v>Cash</v>
      </c>
      <c r="K22" s="12" t="str">
        <v>East</v>
      </c>
      <c r="L22" s="12" t="str">
        <v>Standard</v>
      </c>
      <c r="M22" s="12">
        <v>44409</v>
      </c>
      <c r="N22" s="16">
        <v>2799.96</v>
      </c>
    </row>
    <row r="23" spans="1:14" x14ac:dyDescent="0.3">
      <c r="A23" s="13" t="str">
        <v>TRX0204</v>
      </c>
      <c r="B23" s="12">
        <v>45415</v>
      </c>
      <c r="C23" s="12" t="str">
        <v>CUST044</v>
      </c>
      <c r="D23" s="12" t="str">
        <v>Cynthia Price</v>
      </c>
      <c r="E23" s="12" t="str">
        <v>P009</v>
      </c>
      <c r="F23" s="12" t="str">
        <v>Monitor</v>
      </c>
      <c r="G23" s="12" t="str">
        <v>Electronics</v>
      </c>
      <c r="H23" s="12">
        <v>4</v>
      </c>
      <c r="I23" s="12">
        <v>249.99</v>
      </c>
      <c r="J23" s="12" t="str">
        <v>PayPal</v>
      </c>
      <c r="K23" s="12" t="str">
        <v>North</v>
      </c>
      <c r="L23" s="12" t="str">
        <v>Standard</v>
      </c>
      <c r="M23" s="12">
        <v>44468</v>
      </c>
      <c r="N23" s="16">
        <v>999.96</v>
      </c>
    </row>
    <row r="24" spans="1:14" x14ac:dyDescent="0.3">
      <c r="A24" s="13" t="str">
        <v>TRX0071</v>
      </c>
      <c r="B24" s="12">
        <v>45422</v>
      </c>
      <c r="C24" s="12" t="str">
        <v>CUST036</v>
      </c>
      <c r="D24" s="12" t="str">
        <v>Nancy Collins</v>
      </c>
      <c r="E24" s="12" t="str">
        <v>P009</v>
      </c>
      <c r="F24" s="12" t="str">
        <v>Monitor</v>
      </c>
      <c r="G24" s="12" t="str">
        <v>Electronics</v>
      </c>
      <c r="H24" s="12">
        <v>5</v>
      </c>
      <c r="I24" s="12">
        <v>249.99</v>
      </c>
      <c r="J24" s="12" t="str">
        <v>Credit Card</v>
      </c>
      <c r="K24" s="12" t="str">
        <v>West</v>
      </c>
      <c r="L24" s="12" t="str">
        <v>Standard</v>
      </c>
      <c r="M24" s="12">
        <v>44525</v>
      </c>
      <c r="N24" s="16">
        <v>1249.95</v>
      </c>
    </row>
    <row r="25" spans="1:14" x14ac:dyDescent="0.3">
      <c r="A25" s="13" t="str">
        <v>TRX0004</v>
      </c>
      <c r="B25" s="12">
        <v>45424</v>
      </c>
      <c r="C25" s="12" t="str">
        <v>CUST012</v>
      </c>
      <c r="D25" s="12" t="str">
        <v>Patricia Moore</v>
      </c>
      <c r="E25" s="12" t="str">
        <v>P010</v>
      </c>
      <c r="F25" s="12" t="str">
        <v>Keyboard</v>
      </c>
      <c r="G25" s="12" t="str">
        <v>Electronics</v>
      </c>
      <c r="H25" s="12">
        <v>5</v>
      </c>
      <c r="I25" s="12">
        <v>89.99</v>
      </c>
      <c r="J25" s="12" t="str">
        <v>Cash</v>
      </c>
      <c r="K25" s="12" t="str">
        <v>North</v>
      </c>
      <c r="L25" s="12" t="str">
        <v>Premium</v>
      </c>
      <c r="M25" s="12">
        <v>44919</v>
      </c>
      <c r="N25" s="16">
        <v>449.95</v>
      </c>
    </row>
    <row r="26" spans="1:14" x14ac:dyDescent="0.3">
      <c r="A26" s="13" t="str">
        <v>TRX0041</v>
      </c>
      <c r="B26" s="12">
        <v>45432</v>
      </c>
      <c r="C26" s="12" t="str">
        <v>CUST021</v>
      </c>
      <c r="D26" s="12" t="str">
        <v>Kevin Scott</v>
      </c>
      <c r="E26" s="12" t="str">
        <v>P001</v>
      </c>
      <c r="F26" s="12" t="str">
        <v>Laptop</v>
      </c>
      <c r="G26" s="12" t="str">
        <v>Electronics</v>
      </c>
      <c r="H26" s="12">
        <v>1</v>
      </c>
      <c r="I26" s="12">
        <v>899.99</v>
      </c>
      <c r="J26" s="12" t="str">
        <v>Credit Card</v>
      </c>
      <c r="K26" s="12" t="str">
        <v>West</v>
      </c>
      <c r="L26" s="12" t="str">
        <v>Premium</v>
      </c>
      <c r="M26" s="12">
        <v>44578</v>
      </c>
      <c r="N26" s="16">
        <v>899.99</v>
      </c>
    </row>
    <row r="27" spans="1:14" x14ac:dyDescent="0.3">
      <c r="A27" s="13" t="str">
        <v>TRX0015</v>
      </c>
      <c r="B27" s="12">
        <v>45440</v>
      </c>
      <c r="C27" s="12" t="str">
        <v>CUST008</v>
      </c>
      <c r="D27" s="12" t="str">
        <v>Jennifer Taylor</v>
      </c>
      <c r="E27" s="12" t="str">
        <v>P002</v>
      </c>
      <c r="F27" s="12" t="str">
        <v>Smartphone</v>
      </c>
      <c r="G27" s="12" t="str">
        <v>Electronics</v>
      </c>
      <c r="H27" s="12">
        <v>5</v>
      </c>
      <c r="I27" s="12">
        <v>699.99</v>
      </c>
      <c r="J27" s="12" t="str">
        <v>PayPal</v>
      </c>
      <c r="K27" s="12" t="str">
        <v>West</v>
      </c>
      <c r="L27" s="12" t="str">
        <v>Standard</v>
      </c>
      <c r="M27" s="12">
        <v>44407</v>
      </c>
      <c r="N27" s="16">
        <v>3499.95</v>
      </c>
    </row>
    <row r="28" spans="1:14" x14ac:dyDescent="0.3">
      <c r="A28" s="13" t="str">
        <v>TRX0202</v>
      </c>
      <c r="B28" s="12">
        <v>45441</v>
      </c>
      <c r="C28" s="12" t="str">
        <v>CUST035</v>
      </c>
      <c r="D28" s="12" t="str">
        <v>Harry Morgan</v>
      </c>
      <c r="E28" s="12" t="str">
        <v>P010</v>
      </c>
      <c r="F28" s="12" t="str">
        <v>Keyboard</v>
      </c>
      <c r="G28" s="12" t="str">
        <v>Electronics</v>
      </c>
      <c r="H28" s="12">
        <v>3</v>
      </c>
      <c r="I28" s="12">
        <v>89.99</v>
      </c>
      <c r="J28" s="12" t="str">
        <v>PayPal</v>
      </c>
      <c r="K28" s="12" t="str">
        <v>Central</v>
      </c>
      <c r="L28" s="12" t="str">
        <v>Premium</v>
      </c>
      <c r="M28" s="12">
        <v>45120</v>
      </c>
      <c r="N28" s="16">
        <v>269.97000000000003</v>
      </c>
    </row>
    <row r="29" spans="1:14" x14ac:dyDescent="0.3">
      <c r="A29" s="13" t="str">
        <v>TRX0117</v>
      </c>
      <c r="B29" s="12">
        <v>45444</v>
      </c>
      <c r="C29" s="12" t="str">
        <v>CUST017</v>
      </c>
      <c r="D29" s="12" t="str">
        <v>Charles Allen</v>
      </c>
      <c r="E29" s="12" t="str">
        <v>P010</v>
      </c>
      <c r="F29" s="12" t="str">
        <v>Keyboard</v>
      </c>
      <c r="G29" s="12" t="str">
        <v>Electronics</v>
      </c>
      <c r="H29" s="12">
        <v>1</v>
      </c>
      <c r="I29" s="12">
        <v>89.99</v>
      </c>
      <c r="J29" s="12" t="str">
        <v>Cash</v>
      </c>
      <c r="K29" s="12" t="str">
        <v>North</v>
      </c>
      <c r="L29" s="12" t="str">
        <v>Basic</v>
      </c>
      <c r="M29" s="12">
        <v>45141</v>
      </c>
      <c r="N29" s="16">
        <v>89.99</v>
      </c>
    </row>
    <row r="30" spans="1:14" x14ac:dyDescent="0.3">
      <c r="A30" s="13" t="str">
        <v>TRX0208</v>
      </c>
      <c r="B30" s="12">
        <v>45446</v>
      </c>
      <c r="C30" s="12" t="str">
        <v>CUST004</v>
      </c>
      <c r="D30" s="12" t="str">
        <v>Sarah Davis</v>
      </c>
      <c r="E30" s="12" t="str">
        <v>P010</v>
      </c>
      <c r="F30" s="12" t="str">
        <v>Keyboard</v>
      </c>
      <c r="G30" s="12" t="str">
        <v>Electronics</v>
      </c>
      <c r="H30" s="12">
        <v>5</v>
      </c>
      <c r="I30" s="12">
        <v>89.99</v>
      </c>
      <c r="J30" s="12" t="str">
        <v>Credit Card</v>
      </c>
      <c r="K30" s="12" t="str">
        <v>East</v>
      </c>
      <c r="L30" s="12" t="str">
        <v>Standard</v>
      </c>
      <c r="M30" s="12">
        <v>44587</v>
      </c>
      <c r="N30" s="16">
        <v>449.95</v>
      </c>
    </row>
    <row r="31" spans="1:14" x14ac:dyDescent="0.3">
      <c r="A31" s="13" t="str">
        <v>TRX0234</v>
      </c>
      <c r="B31" s="12">
        <v>45449</v>
      </c>
      <c r="C31" s="12" t="str">
        <v>CUST013</v>
      </c>
      <c r="D31" s="12" t="str">
        <v>Joseph Jackson</v>
      </c>
      <c r="E31" s="12" t="str">
        <v>P009</v>
      </c>
      <c r="F31" s="12" t="str">
        <v>Monitor</v>
      </c>
      <c r="G31" s="12" t="str">
        <v>Electronics</v>
      </c>
      <c r="H31" s="12">
        <v>5</v>
      </c>
      <c r="I31" s="12">
        <v>249.99</v>
      </c>
      <c r="J31" s="12" t="str">
        <v>Credit Card</v>
      </c>
      <c r="K31" s="12" t="str">
        <v>East</v>
      </c>
      <c r="L31" s="12" t="str">
        <v>Standard</v>
      </c>
      <c r="M31" s="12">
        <v>44707</v>
      </c>
      <c r="N31" s="16">
        <v>1249.95</v>
      </c>
    </row>
    <row r="32" spans="1:14" x14ac:dyDescent="0.3">
      <c r="A32" s="13" t="str">
        <v>TRX0121</v>
      </c>
      <c r="B32" s="12">
        <v>45449</v>
      </c>
      <c r="C32" s="12" t="str">
        <v>CUST028</v>
      </c>
      <c r="D32" s="12" t="str">
        <v>Betty Campbell</v>
      </c>
      <c r="E32" s="12" t="str">
        <v>P010</v>
      </c>
      <c r="F32" s="12" t="str">
        <v>Keyboard</v>
      </c>
      <c r="G32" s="12" t="str">
        <v>Electronics</v>
      </c>
      <c r="H32" s="12">
        <v>1</v>
      </c>
      <c r="I32" s="12">
        <v>89.99</v>
      </c>
      <c r="J32" s="12" t="str">
        <v>Credit Card</v>
      </c>
      <c r="K32" s="12" t="str">
        <v>South</v>
      </c>
      <c r="L32" s="12" t="str">
        <v>Standard</v>
      </c>
      <c r="M32" s="12">
        <v>44582</v>
      </c>
      <c r="N32" s="16">
        <v>89.99</v>
      </c>
    </row>
    <row r="33" spans="1:14" x14ac:dyDescent="0.3">
      <c r="A33" s="13" t="str">
        <v>TRX0088</v>
      </c>
      <c r="B33" s="12">
        <v>45456</v>
      </c>
      <c r="C33" s="12" t="str">
        <v>CUST006</v>
      </c>
      <c r="D33" s="12" t="str">
        <v>Lisa Anderson</v>
      </c>
      <c r="E33" s="12" t="str">
        <v>P010</v>
      </c>
      <c r="F33" s="12" t="str">
        <v>Keyboard</v>
      </c>
      <c r="G33" s="12" t="str">
        <v>Electronics</v>
      </c>
      <c r="H33" s="12">
        <v>5</v>
      </c>
      <c r="I33" s="12">
        <v>89.99</v>
      </c>
      <c r="J33" s="12" t="str">
        <v>Cash</v>
      </c>
      <c r="K33" s="12" t="str">
        <v>Central</v>
      </c>
      <c r="L33" s="12" t="str">
        <v>Premium</v>
      </c>
      <c r="M33" s="12">
        <v>44579</v>
      </c>
      <c r="N33" s="16">
        <v>449.95</v>
      </c>
    </row>
    <row r="34" spans="1:14" x14ac:dyDescent="0.3">
      <c r="A34" s="13" t="str">
        <v>TRX0115</v>
      </c>
      <c r="B34" s="12">
        <v>45459</v>
      </c>
      <c r="C34" s="12" t="str">
        <v>CUST012</v>
      </c>
      <c r="D34" s="12" t="str">
        <v>Patricia Moore</v>
      </c>
      <c r="E34" s="12" t="str">
        <v>P010</v>
      </c>
      <c r="F34" s="12" t="str">
        <v>Keyboard</v>
      </c>
      <c r="G34" s="12" t="str">
        <v>Electronics</v>
      </c>
      <c r="H34" s="12">
        <v>2</v>
      </c>
      <c r="I34" s="12">
        <v>89.99</v>
      </c>
      <c r="J34" s="12" t="str">
        <v>Credit Card</v>
      </c>
      <c r="K34" s="12" t="str">
        <v>South</v>
      </c>
      <c r="L34" s="12" t="str">
        <v>Premium</v>
      </c>
      <c r="M34" s="12">
        <v>44471</v>
      </c>
      <c r="N34" s="16">
        <v>179.98</v>
      </c>
    </row>
    <row r="35" spans="1:14" x14ac:dyDescent="0.3">
      <c r="A35" s="13" t="str">
        <v>TRX0154</v>
      </c>
      <c r="B35" s="12">
        <v>45459</v>
      </c>
      <c r="C35" s="12" t="str">
        <v>CUST023</v>
      </c>
      <c r="D35" s="12" t="str">
        <v>Paul Baker</v>
      </c>
      <c r="E35" s="12" t="str">
        <v>P001</v>
      </c>
      <c r="F35" s="12" t="str">
        <v>Laptop</v>
      </c>
      <c r="G35" s="12" t="str">
        <v>Electronics</v>
      </c>
      <c r="H35" s="12">
        <v>5</v>
      </c>
      <c r="I35" s="12">
        <v>899.99</v>
      </c>
      <c r="J35" s="12" t="str">
        <v>Credit Card</v>
      </c>
      <c r="K35" s="12" t="str">
        <v>South</v>
      </c>
      <c r="L35" s="12" t="str">
        <v>Standard</v>
      </c>
      <c r="M35" s="12">
        <v>44974</v>
      </c>
      <c r="N35" s="16">
        <v>4499.95</v>
      </c>
    </row>
    <row r="36" spans="1:14" x14ac:dyDescent="0.3">
      <c r="A36" s="13" t="str">
        <v>TRX0044</v>
      </c>
      <c r="B36" s="12">
        <v>45459</v>
      </c>
      <c r="C36" s="12" t="str">
        <v>CUST029</v>
      </c>
      <c r="D36" s="12" t="str">
        <v>Edward Mitchell</v>
      </c>
      <c r="E36" s="12" t="str">
        <v>P001</v>
      </c>
      <c r="F36" s="12" t="str">
        <v>Laptop</v>
      </c>
      <c r="G36" s="12" t="str">
        <v>Electronics</v>
      </c>
      <c r="H36" s="12">
        <v>5</v>
      </c>
      <c r="I36" s="12">
        <v>899.99</v>
      </c>
      <c r="J36" s="12" t="str">
        <v>PayPal</v>
      </c>
      <c r="K36" s="12" t="str">
        <v>East</v>
      </c>
      <c r="L36" s="12" t="str">
        <v>Premium</v>
      </c>
      <c r="M36" s="12">
        <v>45278</v>
      </c>
      <c r="N36" s="16">
        <v>4499.95</v>
      </c>
    </row>
    <row r="37" spans="1:14" x14ac:dyDescent="0.3">
      <c r="A37" s="13" t="str">
        <v>TRX0025</v>
      </c>
      <c r="B37" s="12">
        <v>45468</v>
      </c>
      <c r="C37" s="12" t="str">
        <v>CUST049</v>
      </c>
      <c r="D37" s="12" t="str">
        <v>Raymond Ross</v>
      </c>
      <c r="E37" s="12" t="str">
        <v>P010</v>
      </c>
      <c r="F37" s="12" t="str">
        <v>Keyboard</v>
      </c>
      <c r="G37" s="12" t="str">
        <v>Electronics</v>
      </c>
      <c r="H37" s="12">
        <v>4</v>
      </c>
      <c r="I37" s="12">
        <v>89.99</v>
      </c>
      <c r="J37" s="12" t="str">
        <v>Debit Card</v>
      </c>
      <c r="K37" s="12" t="str">
        <v>South</v>
      </c>
      <c r="L37" s="12" t="str">
        <v>Basic</v>
      </c>
      <c r="M37" s="12">
        <v>45281</v>
      </c>
      <c r="N37" s="16">
        <v>359.96</v>
      </c>
    </row>
    <row r="38" spans="1:14" x14ac:dyDescent="0.3">
      <c r="A38" s="13" t="str">
        <v>TRX0007</v>
      </c>
      <c r="B38" s="12">
        <v>45469</v>
      </c>
      <c r="C38" s="12" t="str">
        <v>CUST009</v>
      </c>
      <c r="D38" s="12" t="str">
        <v>Robert Thomas</v>
      </c>
      <c r="E38" s="12" t="str">
        <v>P010</v>
      </c>
      <c r="F38" s="12" t="str">
        <v>Keyboard</v>
      </c>
      <c r="G38" s="12" t="str">
        <v>Electronics</v>
      </c>
      <c r="H38" s="12">
        <v>2</v>
      </c>
      <c r="I38" s="12">
        <v>89.99</v>
      </c>
      <c r="J38" s="12" t="str">
        <v>Cash</v>
      </c>
      <c r="K38" s="12" t="str">
        <v>West</v>
      </c>
      <c r="L38" s="12" t="str">
        <v>Basic</v>
      </c>
      <c r="M38" s="12">
        <v>44438</v>
      </c>
      <c r="N38" s="16">
        <v>179.98</v>
      </c>
    </row>
    <row r="39" spans="1:14" x14ac:dyDescent="0.3">
      <c r="A39" s="13" t="str">
        <v>TRX0184</v>
      </c>
      <c r="B39" s="12">
        <v>45471</v>
      </c>
      <c r="C39" s="12" t="str">
        <v>CUST046</v>
      </c>
      <c r="D39" s="12" t="str">
        <v>Kathleen Bennett</v>
      </c>
      <c r="E39" s="12" t="str">
        <v>P002</v>
      </c>
      <c r="F39" s="12" t="str">
        <v>Smartphone</v>
      </c>
      <c r="G39" s="12" t="str">
        <v>Electronics</v>
      </c>
      <c r="H39" s="12">
        <v>3</v>
      </c>
      <c r="I39" s="12">
        <v>699.99</v>
      </c>
      <c r="J39" s="12" t="str">
        <v>Credit Card</v>
      </c>
      <c r="K39" s="12" t="str">
        <v>East</v>
      </c>
      <c r="L39" s="12" t="str">
        <v>Premium</v>
      </c>
      <c r="M39" s="12">
        <v>45102</v>
      </c>
      <c r="N39" s="16">
        <v>2099.9699999999998</v>
      </c>
    </row>
    <row r="40" spans="1:14" x14ac:dyDescent="0.3">
      <c r="A40" s="13" t="str">
        <v>TRX0104</v>
      </c>
      <c r="B40" s="12">
        <v>45471</v>
      </c>
      <c r="C40" s="12" t="str">
        <v>CUST012</v>
      </c>
      <c r="D40" s="12" t="str">
        <v>Patricia Moore</v>
      </c>
      <c r="E40" s="12" t="str">
        <v>P001</v>
      </c>
      <c r="F40" s="12" t="str">
        <v>Laptop</v>
      </c>
      <c r="G40" s="12" t="str">
        <v>Electronics</v>
      </c>
      <c r="H40" s="12">
        <v>4</v>
      </c>
      <c r="I40" s="12">
        <v>899.99</v>
      </c>
      <c r="J40" s="12" t="str">
        <v>Credit Card</v>
      </c>
      <c r="K40" s="12" t="str">
        <v>East</v>
      </c>
      <c r="L40" s="12" t="str">
        <v>Premium</v>
      </c>
      <c r="M40" s="12">
        <v>44993</v>
      </c>
      <c r="N40" s="16">
        <v>3599.96</v>
      </c>
    </row>
    <row r="41" spans="1:14" x14ac:dyDescent="0.3">
      <c r="A41" s="13" t="str">
        <v>TRX0096</v>
      </c>
      <c r="B41" s="12">
        <v>45474</v>
      </c>
      <c r="C41" s="12" t="str">
        <v>CUST002</v>
      </c>
      <c r="D41" s="12" t="str">
        <v>Emma Wilson</v>
      </c>
      <c r="E41" s="12" t="str">
        <v>P010</v>
      </c>
      <c r="F41" s="12" t="str">
        <v>Keyboard</v>
      </c>
      <c r="G41" s="12" t="str">
        <v>Electronics</v>
      </c>
      <c r="H41" s="12">
        <v>2</v>
      </c>
      <c r="I41" s="12">
        <v>89.99</v>
      </c>
      <c r="J41" s="12" t="str">
        <v>PayPal</v>
      </c>
      <c r="K41" s="12" t="str">
        <v>Central</v>
      </c>
      <c r="L41" s="12" t="str">
        <v>Premium</v>
      </c>
      <c r="M41" s="12">
        <v>45275</v>
      </c>
      <c r="N41" s="16">
        <v>179.98</v>
      </c>
    </row>
    <row r="42" spans="1:14" x14ac:dyDescent="0.3">
      <c r="A42" s="13" t="str">
        <v>TRX0192</v>
      </c>
      <c r="B42" s="12">
        <v>45475</v>
      </c>
      <c r="C42" s="12" t="str">
        <v>CUST017</v>
      </c>
      <c r="D42" s="12" t="str">
        <v>Charles Allen</v>
      </c>
      <c r="E42" s="12" t="str">
        <v>P010</v>
      </c>
      <c r="F42" s="12" t="str">
        <v>Keyboard</v>
      </c>
      <c r="G42" s="12" t="str">
        <v>Electronics</v>
      </c>
      <c r="H42" s="12">
        <v>1</v>
      </c>
      <c r="I42" s="12">
        <v>89.99</v>
      </c>
      <c r="J42" s="12" t="str">
        <v>PayPal</v>
      </c>
      <c r="K42" s="12" t="str">
        <v>West</v>
      </c>
      <c r="L42" s="12" t="str">
        <v>Standard</v>
      </c>
      <c r="M42" s="12">
        <v>44802</v>
      </c>
      <c r="N42" s="16">
        <v>89.99</v>
      </c>
    </row>
    <row r="43" spans="1:14" x14ac:dyDescent="0.3">
      <c r="A43" s="13" t="str">
        <v>TRX0052</v>
      </c>
      <c r="B43" s="12">
        <v>45476</v>
      </c>
      <c r="C43" s="12" t="str">
        <v>CUST022</v>
      </c>
      <c r="D43" s="12" t="str">
        <v>Susan Green</v>
      </c>
      <c r="E43" s="12" t="str">
        <v>P010</v>
      </c>
      <c r="F43" s="12" t="str">
        <v>Keyboard</v>
      </c>
      <c r="G43" s="12" t="str">
        <v>Electronics</v>
      </c>
      <c r="H43" s="12">
        <v>1</v>
      </c>
      <c r="I43" s="12">
        <v>89.99</v>
      </c>
      <c r="J43" s="12" t="str">
        <v>Cash</v>
      </c>
      <c r="K43" s="12" t="str">
        <v>South</v>
      </c>
      <c r="L43" s="12" t="str">
        <v>Standard</v>
      </c>
      <c r="M43" s="12">
        <v>44611</v>
      </c>
      <c r="N43" s="16">
        <v>89.99</v>
      </c>
    </row>
    <row r="44" spans="1:14" x14ac:dyDescent="0.3">
      <c r="A44" s="13" t="str">
        <v>TRX0113</v>
      </c>
      <c r="B44" s="12">
        <v>45481</v>
      </c>
      <c r="C44" s="12" t="str">
        <v>CUST003</v>
      </c>
      <c r="D44" s="12" t="str">
        <v>Michael Brown</v>
      </c>
      <c r="E44" s="12" t="str">
        <v>P002</v>
      </c>
      <c r="F44" s="12" t="str">
        <v>Smartphone</v>
      </c>
      <c r="G44" s="12" t="str">
        <v>Electronics</v>
      </c>
      <c r="H44" s="12">
        <v>2</v>
      </c>
      <c r="I44" s="12">
        <v>699.99</v>
      </c>
      <c r="J44" s="12" t="str">
        <v>PayPal</v>
      </c>
      <c r="K44" s="12" t="str">
        <v>East</v>
      </c>
      <c r="L44" s="12" t="str">
        <v>Premium</v>
      </c>
      <c r="M44" s="12">
        <v>45389</v>
      </c>
      <c r="N44" s="16">
        <v>1399.98</v>
      </c>
    </row>
    <row r="45" spans="1:14" x14ac:dyDescent="0.3">
      <c r="A45" s="13" t="str">
        <v>TRX0114</v>
      </c>
      <c r="B45" s="12">
        <v>45481</v>
      </c>
      <c r="C45" s="12" t="str">
        <v>CUST018</v>
      </c>
      <c r="D45" s="12" t="str">
        <v>Barbara Young</v>
      </c>
      <c r="E45" s="12" t="str">
        <v>P010</v>
      </c>
      <c r="F45" s="12" t="str">
        <v>Keyboard</v>
      </c>
      <c r="G45" s="12" t="str">
        <v>Electronics</v>
      </c>
      <c r="H45" s="12">
        <v>5</v>
      </c>
      <c r="I45" s="12">
        <v>89.99</v>
      </c>
      <c r="J45" s="12" t="str">
        <v>Debit Card</v>
      </c>
      <c r="K45" s="12" t="str">
        <v>North</v>
      </c>
      <c r="L45" s="12" t="str">
        <v>Premium</v>
      </c>
      <c r="M45" s="12">
        <v>45161</v>
      </c>
      <c r="N45" s="16">
        <v>449.95</v>
      </c>
    </row>
    <row r="46" spans="1:14" x14ac:dyDescent="0.3">
      <c r="A46" s="13" t="str">
        <v>TRX0018</v>
      </c>
      <c r="B46" s="12">
        <v>45484</v>
      </c>
      <c r="C46" s="12" t="str">
        <v>CUST013</v>
      </c>
      <c r="D46" s="12" t="str">
        <v>Joseph Jackson</v>
      </c>
      <c r="E46" s="12" t="str">
        <v>P003</v>
      </c>
      <c r="F46" s="12" t="str">
        <v>Headphones</v>
      </c>
      <c r="G46" s="12" t="str">
        <v>Electronics</v>
      </c>
      <c r="H46" s="12">
        <v>1</v>
      </c>
      <c r="I46" s="12">
        <v>149.99</v>
      </c>
      <c r="J46" s="12" t="str">
        <v>Cash</v>
      </c>
      <c r="K46" s="12" t="str">
        <v>Central</v>
      </c>
      <c r="L46" s="12" t="str">
        <v>Standard</v>
      </c>
      <c r="M46" s="12">
        <v>44909</v>
      </c>
      <c r="N46" s="16">
        <v>149.99</v>
      </c>
    </row>
    <row r="47" spans="1:14" x14ac:dyDescent="0.3">
      <c r="A47" s="13" t="str">
        <v>TRX0162</v>
      </c>
      <c r="B47" s="12">
        <v>45496</v>
      </c>
      <c r="C47" s="12" t="str">
        <v>CUST040</v>
      </c>
      <c r="D47" s="12" t="str">
        <v>Sharon Butler</v>
      </c>
      <c r="E47" s="12" t="str">
        <v>P001</v>
      </c>
      <c r="F47" s="12" t="str">
        <v>Laptop</v>
      </c>
      <c r="G47" s="12" t="str">
        <v>Electronics</v>
      </c>
      <c r="H47" s="12">
        <v>1</v>
      </c>
      <c r="I47" s="12">
        <v>899.99</v>
      </c>
      <c r="J47" s="12" t="str">
        <v>Cash</v>
      </c>
      <c r="K47" s="12" t="str">
        <v>Central</v>
      </c>
      <c r="L47" s="12" t="str">
        <v>Standard</v>
      </c>
      <c r="M47" s="12">
        <v>45179</v>
      </c>
      <c r="N47" s="16">
        <v>899.99</v>
      </c>
    </row>
    <row r="48" spans="1:14" x14ac:dyDescent="0.3">
      <c r="A48" s="13" t="str">
        <v>TRX0244</v>
      </c>
      <c r="B48" s="12">
        <v>45497</v>
      </c>
      <c r="C48" s="12" t="str">
        <v>CUST013</v>
      </c>
      <c r="D48" s="12" t="str">
        <v>Joseph Jackson</v>
      </c>
      <c r="E48" s="12" t="str">
        <v>P001</v>
      </c>
      <c r="F48" s="12" t="str">
        <v>Laptop</v>
      </c>
      <c r="G48" s="12" t="str">
        <v>Electronics</v>
      </c>
      <c r="H48" s="12">
        <v>5</v>
      </c>
      <c r="I48" s="12">
        <v>899.99</v>
      </c>
      <c r="J48" s="12" t="str">
        <v>Debit Card</v>
      </c>
      <c r="K48" s="12" t="str">
        <v>South</v>
      </c>
      <c r="L48" s="12" t="str">
        <v>Standard</v>
      </c>
      <c r="M48" s="12">
        <v>44899</v>
      </c>
      <c r="N48" s="16">
        <v>4499.95</v>
      </c>
    </row>
    <row r="49" spans="1:14" x14ac:dyDescent="0.3">
      <c r="A49" s="13" t="str">
        <v>TRX0215</v>
      </c>
      <c r="B49" s="12">
        <v>45498</v>
      </c>
      <c r="C49" s="12" t="str">
        <v>CUST047</v>
      </c>
      <c r="D49" s="12" t="str">
        <v>Gerald Murphy</v>
      </c>
      <c r="E49" s="12" t="str">
        <v>P009</v>
      </c>
      <c r="F49" s="12" t="str">
        <v>Monitor</v>
      </c>
      <c r="G49" s="12" t="str">
        <v>Electronics</v>
      </c>
      <c r="H49" s="12">
        <v>4</v>
      </c>
      <c r="I49" s="12">
        <v>249.99</v>
      </c>
      <c r="J49" s="12" t="str">
        <v>Debit Card</v>
      </c>
      <c r="K49" s="12" t="str">
        <v>Central</v>
      </c>
      <c r="L49" s="12" t="str">
        <v>Standard</v>
      </c>
      <c r="M49" s="12">
        <v>45127</v>
      </c>
      <c r="N49" s="16">
        <v>999.96</v>
      </c>
    </row>
    <row r="50" spans="1:14" x14ac:dyDescent="0.3">
      <c r="A50" s="13" t="str">
        <v>TRX0080</v>
      </c>
      <c r="B50" s="12">
        <v>45500</v>
      </c>
      <c r="C50" s="12" t="str">
        <v>CUST018</v>
      </c>
      <c r="D50" s="12" t="str">
        <v>Barbara Young</v>
      </c>
      <c r="E50" s="12" t="str">
        <v>P009</v>
      </c>
      <c r="F50" s="12" t="str">
        <v>Monitor</v>
      </c>
      <c r="G50" s="12" t="str">
        <v>Electronics</v>
      </c>
      <c r="H50" s="12">
        <v>2</v>
      </c>
      <c r="I50" s="12">
        <v>249.99</v>
      </c>
      <c r="J50" s="12" t="str">
        <v>Cash</v>
      </c>
      <c r="K50" s="12" t="str">
        <v>North</v>
      </c>
      <c r="L50" s="12" t="str">
        <v>Premium</v>
      </c>
      <c r="M50" s="12">
        <v>45164</v>
      </c>
      <c r="N50" s="16">
        <v>499.98</v>
      </c>
    </row>
    <row r="51" spans="1:14" x14ac:dyDescent="0.3">
      <c r="A51" s="13" t="str">
        <v>TRX0157</v>
      </c>
      <c r="B51" s="12">
        <v>45501</v>
      </c>
      <c r="C51" s="12" t="str">
        <v>CUST025</v>
      </c>
      <c r="D51" s="12" t="str">
        <v>Mark Carter</v>
      </c>
      <c r="E51" s="12" t="str">
        <v>P010</v>
      </c>
      <c r="F51" s="12" t="str">
        <v>Keyboard</v>
      </c>
      <c r="G51" s="12" t="str">
        <v>Electronics</v>
      </c>
      <c r="H51" s="12">
        <v>2</v>
      </c>
      <c r="I51" s="12">
        <v>89.99</v>
      </c>
      <c r="J51" s="12" t="str">
        <v>PayPal</v>
      </c>
      <c r="K51" s="12" t="str">
        <v>South</v>
      </c>
      <c r="L51" s="12" t="str">
        <v>Basic</v>
      </c>
      <c r="M51" s="12">
        <v>44976</v>
      </c>
      <c r="N51" s="16">
        <v>179.98</v>
      </c>
    </row>
    <row r="52" spans="1:14" x14ac:dyDescent="0.3">
      <c r="A52" s="13" t="str">
        <v>TRX0217</v>
      </c>
      <c r="B52" s="12">
        <v>45503</v>
      </c>
      <c r="C52" s="12" t="str">
        <v>CUST025</v>
      </c>
      <c r="D52" s="12" t="str">
        <v>Mark Carter</v>
      </c>
      <c r="E52" s="12" t="str">
        <v>P002</v>
      </c>
      <c r="F52" s="12" t="str">
        <v>Smartphone</v>
      </c>
      <c r="G52" s="12" t="str">
        <v>Electronics</v>
      </c>
      <c r="H52" s="12">
        <v>2</v>
      </c>
      <c r="I52" s="12">
        <v>699.99</v>
      </c>
      <c r="J52" s="12" t="str">
        <v>Credit Card</v>
      </c>
      <c r="K52" s="12" t="str">
        <v>North</v>
      </c>
      <c r="L52" s="12" t="str">
        <v>Premium</v>
      </c>
      <c r="M52" s="12">
        <v>44999</v>
      </c>
      <c r="N52" s="16">
        <v>1399.98</v>
      </c>
    </row>
    <row r="53" spans="1:14" x14ac:dyDescent="0.3">
      <c r="A53" s="13" t="str">
        <v>TRX0249</v>
      </c>
      <c r="B53" s="12">
        <v>45504</v>
      </c>
      <c r="C53" s="12" t="str">
        <v>CUST030</v>
      </c>
      <c r="D53" s="12" t="str">
        <v>Helen Roberts</v>
      </c>
      <c r="E53" s="12" t="str">
        <v>P001</v>
      </c>
      <c r="F53" s="12" t="str">
        <v>Laptop</v>
      </c>
      <c r="G53" s="12" t="str">
        <v>Electronics</v>
      </c>
      <c r="H53" s="12">
        <v>4</v>
      </c>
      <c r="I53" s="12">
        <v>899.99</v>
      </c>
      <c r="J53" s="12" t="str">
        <v>Debit Card</v>
      </c>
      <c r="K53" s="12" t="str">
        <v>South</v>
      </c>
      <c r="L53" s="12" t="str">
        <v>Standard</v>
      </c>
      <c r="M53" s="12">
        <v>44523</v>
      </c>
      <c r="N53" s="16">
        <v>3599.96</v>
      </c>
    </row>
    <row r="54" spans="1:14" x14ac:dyDescent="0.3">
      <c r="A54" s="13" t="str">
        <v>TRX0101</v>
      </c>
      <c r="B54" s="12">
        <v>45513</v>
      </c>
      <c r="C54" s="12" t="str">
        <v>CUST010</v>
      </c>
      <c r="D54" s="12" t="str">
        <v>Maria Garcia</v>
      </c>
      <c r="E54" s="12" t="str">
        <v>P010</v>
      </c>
      <c r="F54" s="12" t="str">
        <v>Keyboard</v>
      </c>
      <c r="G54" s="12" t="str">
        <v>Electronics</v>
      </c>
      <c r="H54" s="12">
        <v>1</v>
      </c>
      <c r="I54" s="12">
        <v>89.99</v>
      </c>
      <c r="J54" s="12" t="str">
        <v>Credit Card</v>
      </c>
      <c r="K54" s="12" t="str">
        <v>North</v>
      </c>
      <c r="L54" s="12" t="str">
        <v>Standard</v>
      </c>
      <c r="M54" s="12">
        <v>45393</v>
      </c>
      <c r="N54" s="16">
        <v>89.99</v>
      </c>
    </row>
    <row r="55" spans="1:14" x14ac:dyDescent="0.3">
      <c r="A55" s="13" t="str">
        <v>TRX0020</v>
      </c>
      <c r="B55" s="12">
        <v>45517</v>
      </c>
      <c r="C55" s="12" t="str">
        <v>CUST007</v>
      </c>
      <c r="D55" s="12" t="str">
        <v>David Martinez</v>
      </c>
      <c r="E55" s="12" t="str">
        <v>P003</v>
      </c>
      <c r="F55" s="12" t="str">
        <v>Headphones</v>
      </c>
      <c r="G55" s="12" t="str">
        <v>Electronics</v>
      </c>
      <c r="H55" s="12">
        <v>4</v>
      </c>
      <c r="I55" s="12">
        <v>149.99</v>
      </c>
      <c r="J55" s="12" t="str">
        <v>Debit Card</v>
      </c>
      <c r="K55" s="12" t="str">
        <v>South</v>
      </c>
      <c r="L55" s="12" t="str">
        <v>Premium</v>
      </c>
      <c r="M55" s="12">
        <v>44820</v>
      </c>
      <c r="N55" s="16">
        <v>599.96</v>
      </c>
    </row>
    <row r="56" spans="1:14" x14ac:dyDescent="0.3">
      <c r="A56" s="13" t="str">
        <v>TRX0075</v>
      </c>
      <c r="B56" s="12">
        <v>45517</v>
      </c>
      <c r="C56" s="12" t="str">
        <v>CUST020</v>
      </c>
      <c r="D56" s="12" t="str">
        <v>Margaret Wright</v>
      </c>
      <c r="E56" s="12" t="str">
        <v>P009</v>
      </c>
      <c r="F56" s="12" t="str">
        <v>Monitor</v>
      </c>
      <c r="G56" s="12" t="str">
        <v>Electronics</v>
      </c>
      <c r="H56" s="12">
        <v>5</v>
      </c>
      <c r="I56" s="12">
        <v>249.99</v>
      </c>
      <c r="J56" s="12" t="str">
        <v>PayPal</v>
      </c>
      <c r="K56" s="12" t="str">
        <v>East</v>
      </c>
      <c r="L56" s="12" t="str">
        <v>Premium</v>
      </c>
      <c r="M56" s="12">
        <v>44782</v>
      </c>
      <c r="N56" s="16">
        <v>1249.95</v>
      </c>
    </row>
    <row r="57" spans="1:14" x14ac:dyDescent="0.3">
      <c r="A57" s="13" t="str">
        <v>TRX0098</v>
      </c>
      <c r="B57" s="12">
        <v>45517</v>
      </c>
      <c r="C57" s="12" t="str">
        <v>CUST026</v>
      </c>
      <c r="D57" s="12" t="str">
        <v>Karen Hill</v>
      </c>
      <c r="E57" s="12" t="str">
        <v>P009</v>
      </c>
      <c r="F57" s="12" t="str">
        <v>Monitor</v>
      </c>
      <c r="G57" s="12" t="str">
        <v>Electronics</v>
      </c>
      <c r="H57" s="12">
        <v>3</v>
      </c>
      <c r="I57" s="12">
        <v>249.99</v>
      </c>
      <c r="J57" s="12" t="str">
        <v>PayPal</v>
      </c>
      <c r="K57" s="12" t="str">
        <v>North</v>
      </c>
      <c r="L57" s="12" t="str">
        <v>Premium</v>
      </c>
      <c r="M57" s="12">
        <v>44465</v>
      </c>
      <c r="N57" s="16">
        <v>749.97</v>
      </c>
    </row>
    <row r="58" spans="1:14" x14ac:dyDescent="0.3">
      <c r="A58" s="13" t="str">
        <v>TRX0140</v>
      </c>
      <c r="B58" s="12">
        <v>45522</v>
      </c>
      <c r="C58" s="12" t="str">
        <v>CUST025</v>
      </c>
      <c r="D58" s="12" t="str">
        <v>Mark Carter</v>
      </c>
      <c r="E58" s="12" t="str">
        <v>P010</v>
      </c>
      <c r="F58" s="12" t="str">
        <v>Keyboard</v>
      </c>
      <c r="G58" s="12" t="str">
        <v>Electronics</v>
      </c>
      <c r="H58" s="12">
        <v>2</v>
      </c>
      <c r="I58" s="12">
        <v>89.99</v>
      </c>
      <c r="J58" s="12" t="str">
        <v>Cash</v>
      </c>
      <c r="K58" s="12" t="str">
        <v>East</v>
      </c>
      <c r="L58" s="12" t="str">
        <v>Premium</v>
      </c>
      <c r="M58" s="12">
        <v>44972</v>
      </c>
      <c r="N58" s="16">
        <v>179.98</v>
      </c>
    </row>
    <row r="59" spans="1:14" x14ac:dyDescent="0.3">
      <c r="A59" s="13" t="str">
        <v>TRX0132</v>
      </c>
      <c r="B59" s="12">
        <v>45523</v>
      </c>
      <c r="C59" s="12" t="str">
        <v>CUST047</v>
      </c>
      <c r="D59" s="12" t="str">
        <v>Gerald Murphy</v>
      </c>
      <c r="E59" s="12" t="str">
        <v>P001</v>
      </c>
      <c r="F59" s="12" t="str">
        <v>Laptop</v>
      </c>
      <c r="G59" s="12" t="str">
        <v>Electronics</v>
      </c>
      <c r="H59" s="12">
        <v>5</v>
      </c>
      <c r="I59" s="12">
        <v>899.99</v>
      </c>
      <c r="J59" s="12" t="str">
        <v>Debit Card</v>
      </c>
      <c r="K59" s="12" t="str">
        <v>East</v>
      </c>
      <c r="L59" s="12" t="str">
        <v>Basic</v>
      </c>
      <c r="M59" s="12">
        <v>44526</v>
      </c>
      <c r="N59" s="16">
        <v>4499.95</v>
      </c>
    </row>
    <row r="60" spans="1:14" x14ac:dyDescent="0.3">
      <c r="A60" s="13" t="str">
        <v>TRX0031</v>
      </c>
      <c r="B60" s="12">
        <v>45523</v>
      </c>
      <c r="C60" s="12" t="str">
        <v>CUST036</v>
      </c>
      <c r="D60" s="12" t="str">
        <v>Nancy Collins</v>
      </c>
      <c r="E60" s="12" t="str">
        <v>P003</v>
      </c>
      <c r="F60" s="12" t="str">
        <v>Headphones</v>
      </c>
      <c r="G60" s="12" t="str">
        <v>Electronics</v>
      </c>
      <c r="H60" s="12">
        <v>3</v>
      </c>
      <c r="I60" s="12">
        <v>149.99</v>
      </c>
      <c r="J60" s="12" t="str">
        <v>PayPal</v>
      </c>
      <c r="K60" s="12" t="str">
        <v>East</v>
      </c>
      <c r="L60" s="12" t="str">
        <v>Basic</v>
      </c>
      <c r="M60" s="12">
        <v>44574</v>
      </c>
      <c r="N60" s="16">
        <v>449.97</v>
      </c>
    </row>
    <row r="61" spans="1:14" x14ac:dyDescent="0.3">
      <c r="A61" s="13" t="str">
        <v>TRX0037</v>
      </c>
      <c r="B61" s="12">
        <v>45528</v>
      </c>
      <c r="C61" s="12" t="str">
        <v>CUST035</v>
      </c>
      <c r="D61" s="12" t="str">
        <v>Harry Morgan</v>
      </c>
      <c r="E61" s="12" t="str">
        <v>P009</v>
      </c>
      <c r="F61" s="12" t="str">
        <v>Monitor</v>
      </c>
      <c r="G61" s="12" t="str">
        <v>Electronics</v>
      </c>
      <c r="H61" s="12">
        <v>2</v>
      </c>
      <c r="I61" s="12">
        <v>249.99</v>
      </c>
      <c r="J61" s="12" t="str">
        <v>Cash</v>
      </c>
      <c r="K61" s="12" t="str">
        <v>South</v>
      </c>
      <c r="L61" s="12" t="str">
        <v>Standard</v>
      </c>
      <c r="M61" s="12">
        <v>44572</v>
      </c>
      <c r="N61" s="16">
        <v>499.98</v>
      </c>
    </row>
    <row r="62" spans="1:14" x14ac:dyDescent="0.3">
      <c r="A62" s="13" t="str">
        <v>TRX0058</v>
      </c>
      <c r="B62" s="12">
        <v>45532</v>
      </c>
      <c r="C62" s="12" t="str">
        <v>CUST047</v>
      </c>
      <c r="D62" s="12" t="str">
        <v>Gerald Murphy</v>
      </c>
      <c r="E62" s="12" t="str">
        <v>P002</v>
      </c>
      <c r="F62" s="12" t="str">
        <v>Smartphone</v>
      </c>
      <c r="G62" s="12" t="str">
        <v>Electronics</v>
      </c>
      <c r="H62" s="12">
        <v>1</v>
      </c>
      <c r="I62" s="12">
        <v>699.99</v>
      </c>
      <c r="J62" s="12" t="str">
        <v>Cash</v>
      </c>
      <c r="K62" s="12" t="str">
        <v>Central</v>
      </c>
      <c r="L62" s="12" t="str">
        <v>Premium</v>
      </c>
      <c r="M62" s="12">
        <v>44497</v>
      </c>
      <c r="N62" s="16">
        <v>699.99</v>
      </c>
    </row>
    <row r="63" spans="1:14" x14ac:dyDescent="0.3">
      <c r="A63" s="13" t="str">
        <v>TRX0170</v>
      </c>
      <c r="B63" s="12">
        <v>45532</v>
      </c>
      <c r="C63" s="12" t="str">
        <v>CUST034</v>
      </c>
      <c r="D63" s="12" t="str">
        <v>Carol Evans</v>
      </c>
      <c r="E63" s="12" t="str">
        <v>P003</v>
      </c>
      <c r="F63" s="12" t="str">
        <v>Headphones</v>
      </c>
      <c r="G63" s="12" t="str">
        <v>Electronics</v>
      </c>
      <c r="H63" s="12">
        <v>3</v>
      </c>
      <c r="I63" s="12">
        <v>149.99</v>
      </c>
      <c r="J63" s="12" t="str">
        <v>Cash</v>
      </c>
      <c r="K63" s="12" t="str">
        <v>West</v>
      </c>
      <c r="L63" s="12" t="str">
        <v>Premium</v>
      </c>
      <c r="M63" s="12">
        <v>45212</v>
      </c>
      <c r="N63" s="16">
        <v>449.97</v>
      </c>
    </row>
    <row r="64" spans="1:14" x14ac:dyDescent="0.3">
      <c r="A64" s="13" t="str">
        <v>TRX0248</v>
      </c>
      <c r="B64" s="12">
        <v>45534</v>
      </c>
      <c r="C64" s="12" t="str">
        <v>CUST032</v>
      </c>
      <c r="D64" s="12" t="str">
        <v>Sandra Phillips</v>
      </c>
      <c r="E64" s="12" t="str">
        <v>P002</v>
      </c>
      <c r="F64" s="12" t="str">
        <v>Smartphone</v>
      </c>
      <c r="G64" s="12" t="str">
        <v>Electronics</v>
      </c>
      <c r="H64" s="12">
        <v>2</v>
      </c>
      <c r="I64" s="12">
        <v>699.99</v>
      </c>
      <c r="J64" s="12" t="str">
        <v>Credit Card</v>
      </c>
      <c r="K64" s="12" t="str">
        <v>North</v>
      </c>
      <c r="L64" s="12" t="str">
        <v>Premium</v>
      </c>
      <c r="M64" s="12">
        <v>44421</v>
      </c>
      <c r="N64" s="16">
        <v>1399.98</v>
      </c>
    </row>
    <row r="65" spans="1:14" x14ac:dyDescent="0.3">
      <c r="A65" s="13" t="str">
        <v>TRX0099</v>
      </c>
      <c r="B65" s="12">
        <v>45537</v>
      </c>
      <c r="C65" s="12" t="str">
        <v>CUST034</v>
      </c>
      <c r="D65" s="12" t="str">
        <v>Carol Evans</v>
      </c>
      <c r="E65" s="12" t="str">
        <v>P009</v>
      </c>
      <c r="F65" s="12" t="str">
        <v>Monitor</v>
      </c>
      <c r="G65" s="12" t="str">
        <v>Electronics</v>
      </c>
      <c r="H65" s="12">
        <v>1</v>
      </c>
      <c r="I65" s="12">
        <v>249.99</v>
      </c>
      <c r="J65" s="12" t="str">
        <v>Credit Card</v>
      </c>
      <c r="K65" s="12" t="str">
        <v>West</v>
      </c>
      <c r="L65" s="12" t="str">
        <v>Premium</v>
      </c>
      <c r="M65" s="12">
        <v>44685</v>
      </c>
      <c r="N65" s="16">
        <v>249.99</v>
      </c>
    </row>
    <row r="66" spans="1:14" x14ac:dyDescent="0.3">
      <c r="A66" s="13" t="str">
        <v>TRX0074</v>
      </c>
      <c r="B66" s="12">
        <v>45537</v>
      </c>
      <c r="C66" s="12" t="str">
        <v>CUST023</v>
      </c>
      <c r="D66" s="12" t="str">
        <v>Paul Baker</v>
      </c>
      <c r="E66" s="12" t="str">
        <v>P009</v>
      </c>
      <c r="F66" s="12" t="str">
        <v>Monitor</v>
      </c>
      <c r="G66" s="12" t="str">
        <v>Electronics</v>
      </c>
      <c r="H66" s="12">
        <v>1</v>
      </c>
      <c r="I66" s="12">
        <v>249.99</v>
      </c>
      <c r="J66" s="12" t="str">
        <v>Debit Card</v>
      </c>
      <c r="K66" s="12" t="str">
        <v>North</v>
      </c>
      <c r="L66" s="12" t="str">
        <v>Premium</v>
      </c>
      <c r="M66" s="12">
        <v>45332</v>
      </c>
      <c r="N66" s="16">
        <v>249.99</v>
      </c>
    </row>
    <row r="67" spans="1:14" x14ac:dyDescent="0.3">
      <c r="A67" s="13" t="str">
        <v>TRX0225</v>
      </c>
      <c r="B67" s="12">
        <v>45538</v>
      </c>
      <c r="C67" s="12" t="str">
        <v>CUST039</v>
      </c>
      <c r="D67" s="12" t="str">
        <v>Lawrence Reed</v>
      </c>
      <c r="E67" s="12" t="str">
        <v>P002</v>
      </c>
      <c r="F67" s="12" t="str">
        <v>Smartphone</v>
      </c>
      <c r="G67" s="12" t="str">
        <v>Electronics</v>
      </c>
      <c r="H67" s="12">
        <v>2</v>
      </c>
      <c r="I67" s="12">
        <v>699.99</v>
      </c>
      <c r="J67" s="12" t="str">
        <v>Debit Card</v>
      </c>
      <c r="K67" s="12" t="str">
        <v>Central</v>
      </c>
      <c r="L67" s="12" t="str">
        <v>Premium</v>
      </c>
      <c r="M67" s="12">
        <v>44870</v>
      </c>
      <c r="N67" s="16">
        <v>1399.98</v>
      </c>
    </row>
    <row r="68" spans="1:14" x14ac:dyDescent="0.3">
      <c r="A68" s="13" t="str">
        <v>TRX0211</v>
      </c>
      <c r="B68" s="12">
        <v>45548</v>
      </c>
      <c r="C68" s="12" t="str">
        <v>CUST046</v>
      </c>
      <c r="D68" s="12" t="str">
        <v>Kathleen Bennett</v>
      </c>
      <c r="E68" s="12" t="str">
        <v>P010</v>
      </c>
      <c r="F68" s="12" t="str">
        <v>Keyboard</v>
      </c>
      <c r="G68" s="12" t="str">
        <v>Electronics</v>
      </c>
      <c r="H68" s="12">
        <v>2</v>
      </c>
      <c r="I68" s="12">
        <v>89.99</v>
      </c>
      <c r="J68" s="12" t="str">
        <v>Credit Card</v>
      </c>
      <c r="K68" s="12" t="str">
        <v>South</v>
      </c>
      <c r="L68" s="12" t="str">
        <v>Premium</v>
      </c>
      <c r="M68" s="12">
        <v>44641</v>
      </c>
      <c r="N68" s="16">
        <v>179.98</v>
      </c>
    </row>
    <row r="69" spans="1:14" x14ac:dyDescent="0.3">
      <c r="A69" s="13" t="str">
        <v>TRX0005</v>
      </c>
      <c r="B69" s="12">
        <v>45550</v>
      </c>
      <c r="C69" s="12" t="str">
        <v>CUST042</v>
      </c>
      <c r="D69" s="12" t="str">
        <v>Ruth Brooks</v>
      </c>
      <c r="E69" s="12" t="str">
        <v>P003</v>
      </c>
      <c r="F69" s="12" t="str">
        <v>Headphones</v>
      </c>
      <c r="G69" s="12" t="str">
        <v>Electronics</v>
      </c>
      <c r="H69" s="12">
        <v>4</v>
      </c>
      <c r="I69" s="12">
        <v>149.99</v>
      </c>
      <c r="J69" s="12" t="str">
        <v>Cash</v>
      </c>
      <c r="K69" s="12" t="str">
        <v>North</v>
      </c>
      <c r="L69" s="12" t="str">
        <v>Basic</v>
      </c>
      <c r="M69" s="12">
        <v>44909</v>
      </c>
      <c r="N69" s="16">
        <v>599.96</v>
      </c>
    </row>
    <row r="70" spans="1:14" x14ac:dyDescent="0.3">
      <c r="A70" s="13" t="str">
        <v>TRX0195</v>
      </c>
      <c r="B70" s="12">
        <v>45551</v>
      </c>
      <c r="C70" s="12" t="str">
        <v>CUST026</v>
      </c>
      <c r="D70" s="12" t="str">
        <v>Karen Hill</v>
      </c>
      <c r="E70" s="12" t="str">
        <v>P009</v>
      </c>
      <c r="F70" s="12" t="str">
        <v>Monitor</v>
      </c>
      <c r="G70" s="12" t="str">
        <v>Electronics</v>
      </c>
      <c r="H70" s="12">
        <v>2</v>
      </c>
      <c r="I70" s="12">
        <v>249.99</v>
      </c>
      <c r="J70" s="12" t="str">
        <v>PayPal</v>
      </c>
      <c r="K70" s="12" t="str">
        <v>South</v>
      </c>
      <c r="L70" s="12" t="str">
        <v>Basic</v>
      </c>
      <c r="M70" s="12">
        <v>44993</v>
      </c>
      <c r="N70" s="16">
        <v>499.98</v>
      </c>
    </row>
    <row r="71" spans="1:14" x14ac:dyDescent="0.3">
      <c r="A71" s="13" t="str">
        <v>TRX0077</v>
      </c>
      <c r="B71" s="12">
        <v>45554</v>
      </c>
      <c r="C71" s="12" t="str">
        <v>CUST019</v>
      </c>
      <c r="D71" s="12" t="str">
        <v>Daniel King</v>
      </c>
      <c r="E71" s="12" t="str">
        <v>P010</v>
      </c>
      <c r="F71" s="12" t="str">
        <v>Keyboard</v>
      </c>
      <c r="G71" s="12" t="str">
        <v>Electronics</v>
      </c>
      <c r="H71" s="12">
        <v>5</v>
      </c>
      <c r="I71" s="12">
        <v>89.99</v>
      </c>
      <c r="J71" s="12" t="str">
        <v>Credit Card</v>
      </c>
      <c r="K71" s="12" t="str">
        <v>East</v>
      </c>
      <c r="L71" s="12" t="str">
        <v>Premium</v>
      </c>
      <c r="M71" s="12">
        <v>44446</v>
      </c>
      <c r="N71" s="16">
        <v>449.95</v>
      </c>
    </row>
    <row r="72" spans="1:14" x14ac:dyDescent="0.3">
      <c r="A72" s="13" t="str">
        <v>TRX0111</v>
      </c>
      <c r="B72" s="12">
        <v>45554</v>
      </c>
      <c r="C72" s="12" t="str">
        <v>CUST011</v>
      </c>
      <c r="D72" s="12" t="str">
        <v>William White</v>
      </c>
      <c r="E72" s="12" t="str">
        <v>P003</v>
      </c>
      <c r="F72" s="12" t="str">
        <v>Headphones</v>
      </c>
      <c r="G72" s="12" t="str">
        <v>Electronics</v>
      </c>
      <c r="H72" s="12">
        <v>1</v>
      </c>
      <c r="I72" s="12">
        <v>149.99</v>
      </c>
      <c r="J72" s="12" t="str">
        <v>PayPal</v>
      </c>
      <c r="K72" s="12" t="str">
        <v>East</v>
      </c>
      <c r="L72" s="12" t="str">
        <v>Standard</v>
      </c>
      <c r="M72" s="12">
        <v>44482</v>
      </c>
      <c r="N72" s="16">
        <v>149.99</v>
      </c>
    </row>
    <row r="73" spans="1:14" x14ac:dyDescent="0.3">
      <c r="A73" s="13" t="str">
        <v>TRX0123</v>
      </c>
      <c r="B73" s="12">
        <v>45554</v>
      </c>
      <c r="C73" s="12" t="str">
        <v>CUST041</v>
      </c>
      <c r="D73" s="12" t="str">
        <v>Peter Richardson</v>
      </c>
      <c r="E73" s="12" t="str">
        <v>P002</v>
      </c>
      <c r="F73" s="12" t="str">
        <v>Smartphone</v>
      </c>
      <c r="G73" s="12" t="str">
        <v>Electronics</v>
      </c>
      <c r="H73" s="12">
        <v>4</v>
      </c>
      <c r="I73" s="12">
        <v>699.99</v>
      </c>
      <c r="J73" s="12" t="str">
        <v>PayPal</v>
      </c>
      <c r="K73" s="12" t="str">
        <v>South</v>
      </c>
      <c r="L73" s="12" t="str">
        <v>Basic</v>
      </c>
      <c r="M73" s="12">
        <v>44618</v>
      </c>
      <c r="N73" s="16">
        <v>2799.96</v>
      </c>
    </row>
    <row r="74" spans="1:14" x14ac:dyDescent="0.3">
      <c r="A74" s="13" t="str">
        <v>TRX0177</v>
      </c>
      <c r="B74" s="12">
        <v>45559</v>
      </c>
      <c r="C74" s="12" t="str">
        <v>CUST032</v>
      </c>
      <c r="D74" s="12" t="str">
        <v>Sandra Phillips</v>
      </c>
      <c r="E74" s="12" t="str">
        <v>P001</v>
      </c>
      <c r="F74" s="12" t="str">
        <v>Laptop</v>
      </c>
      <c r="G74" s="12" t="str">
        <v>Electronics</v>
      </c>
      <c r="H74" s="12">
        <v>3</v>
      </c>
      <c r="I74" s="12">
        <v>899.99</v>
      </c>
      <c r="J74" s="12" t="str">
        <v>Credit Card</v>
      </c>
      <c r="K74" s="12" t="str">
        <v>North</v>
      </c>
      <c r="L74" s="12" t="str">
        <v>Standard</v>
      </c>
      <c r="M74" s="12">
        <v>45157</v>
      </c>
      <c r="N74" s="16">
        <v>2699.97</v>
      </c>
    </row>
    <row r="75" spans="1:14" x14ac:dyDescent="0.3">
      <c r="A75" s="13" t="str">
        <v>TRX0203</v>
      </c>
      <c r="B75" s="12">
        <v>45572</v>
      </c>
      <c r="C75" s="12" t="str">
        <v>CUST032</v>
      </c>
      <c r="D75" s="12" t="str">
        <v>Sandra Phillips</v>
      </c>
      <c r="E75" s="12" t="str">
        <v>P003</v>
      </c>
      <c r="F75" s="12" t="str">
        <v>Headphones</v>
      </c>
      <c r="G75" s="12" t="str">
        <v>Electronics</v>
      </c>
      <c r="H75" s="12">
        <v>4</v>
      </c>
      <c r="I75" s="12">
        <v>149.99</v>
      </c>
      <c r="J75" s="12" t="str">
        <v>Credit Card</v>
      </c>
      <c r="K75" s="12" t="str">
        <v>North</v>
      </c>
      <c r="L75" s="12" t="str">
        <v>Premium</v>
      </c>
      <c r="M75" s="12">
        <v>45076</v>
      </c>
      <c r="N75" s="16">
        <v>599.96</v>
      </c>
    </row>
    <row r="76" spans="1:14" x14ac:dyDescent="0.3">
      <c r="A76" s="13" t="str">
        <v>TRX0055</v>
      </c>
      <c r="B76" s="12">
        <v>45573</v>
      </c>
      <c r="C76" s="12" t="str">
        <v>CUST016</v>
      </c>
      <c r="D76" s="12" t="str">
        <v>Elizabeth Hall</v>
      </c>
      <c r="E76" s="12" t="str">
        <v>P002</v>
      </c>
      <c r="F76" s="12" t="str">
        <v>Smartphone</v>
      </c>
      <c r="G76" s="12" t="str">
        <v>Electronics</v>
      </c>
      <c r="H76" s="12">
        <v>2</v>
      </c>
      <c r="I76" s="12">
        <v>699.99</v>
      </c>
      <c r="J76" s="12" t="str">
        <v>Debit Card</v>
      </c>
      <c r="K76" s="12" t="str">
        <v>East</v>
      </c>
      <c r="L76" s="12" t="str">
        <v>Premium</v>
      </c>
      <c r="M76" s="12">
        <v>45274</v>
      </c>
      <c r="N76" s="16">
        <v>1399.98</v>
      </c>
    </row>
    <row r="77" spans="1:14" x14ac:dyDescent="0.3">
      <c r="A77" s="13" t="str">
        <v>TRX0158</v>
      </c>
      <c r="B77" s="12">
        <v>45579</v>
      </c>
      <c r="C77" s="12" t="str">
        <v>CUST027</v>
      </c>
      <c r="D77" s="12" t="str">
        <v>George Adams</v>
      </c>
      <c r="E77" s="12" t="str">
        <v>P001</v>
      </c>
      <c r="F77" s="12" t="str">
        <v>Laptop</v>
      </c>
      <c r="G77" s="12" t="str">
        <v>Electronics</v>
      </c>
      <c r="H77" s="12">
        <v>3</v>
      </c>
      <c r="I77" s="12">
        <v>899.99</v>
      </c>
      <c r="J77" s="12" t="str">
        <v>PayPal</v>
      </c>
      <c r="K77" s="12" t="str">
        <v>West</v>
      </c>
      <c r="L77" s="12" t="str">
        <v>Basic</v>
      </c>
      <c r="M77" s="12">
        <v>45215</v>
      </c>
      <c r="N77" s="16">
        <v>2699.97</v>
      </c>
    </row>
    <row r="78" spans="1:14" x14ac:dyDescent="0.3">
      <c r="A78" s="13" t="str">
        <v>TRX0173</v>
      </c>
      <c r="B78" s="12">
        <v>45581</v>
      </c>
      <c r="C78" s="12" t="str">
        <v>CUST018</v>
      </c>
      <c r="D78" s="12" t="str">
        <v>Barbara Young</v>
      </c>
      <c r="E78" s="12" t="str">
        <v>P002</v>
      </c>
      <c r="F78" s="12" t="str">
        <v>Smartphone</v>
      </c>
      <c r="G78" s="12" t="str">
        <v>Electronics</v>
      </c>
      <c r="H78" s="12">
        <v>5</v>
      </c>
      <c r="I78" s="12">
        <v>699.99</v>
      </c>
      <c r="J78" s="12" t="str">
        <v>Cash</v>
      </c>
      <c r="K78" s="12" t="str">
        <v>East</v>
      </c>
      <c r="L78" s="12" t="str">
        <v>Standard</v>
      </c>
      <c r="M78" s="12">
        <v>45008</v>
      </c>
      <c r="N78" s="16">
        <v>3499.95</v>
      </c>
    </row>
    <row r="79" spans="1:14" x14ac:dyDescent="0.3">
      <c r="A79" s="13" t="str">
        <v>TRX0034</v>
      </c>
      <c r="B79" s="12">
        <v>45581</v>
      </c>
      <c r="C79" s="12" t="str">
        <v>CUST049</v>
      </c>
      <c r="D79" s="12" t="str">
        <v>Raymond Ross</v>
      </c>
      <c r="E79" s="12" t="str">
        <v>P002</v>
      </c>
      <c r="F79" s="12" t="str">
        <v>Smartphone</v>
      </c>
      <c r="G79" s="12" t="str">
        <v>Electronics</v>
      </c>
      <c r="H79" s="12">
        <v>4</v>
      </c>
      <c r="I79" s="12">
        <v>699.99</v>
      </c>
      <c r="J79" s="12" t="str">
        <v>Credit Card</v>
      </c>
      <c r="K79" s="12" t="str">
        <v>Central</v>
      </c>
      <c r="L79" s="12" t="str">
        <v>Basic</v>
      </c>
      <c r="M79" s="12">
        <v>45385</v>
      </c>
      <c r="N79" s="16">
        <v>2799.96</v>
      </c>
    </row>
    <row r="80" spans="1:14" x14ac:dyDescent="0.3">
      <c r="A80" s="13" t="str">
        <v>TRX0189</v>
      </c>
      <c r="B80" s="12">
        <v>45581</v>
      </c>
      <c r="C80" s="12" t="str">
        <v>CUST040</v>
      </c>
      <c r="D80" s="12" t="str">
        <v>Sharon Butler</v>
      </c>
      <c r="E80" s="12" t="str">
        <v>P001</v>
      </c>
      <c r="F80" s="12" t="str">
        <v>Laptop</v>
      </c>
      <c r="G80" s="12" t="str">
        <v>Electronics</v>
      </c>
      <c r="H80" s="12">
        <v>1</v>
      </c>
      <c r="I80" s="12">
        <v>899.99</v>
      </c>
      <c r="J80" s="12" t="str">
        <v>Credit Card</v>
      </c>
      <c r="K80" s="12" t="str">
        <v>East</v>
      </c>
      <c r="L80" s="12" t="str">
        <v>Standard</v>
      </c>
      <c r="M80" s="12">
        <v>45369</v>
      </c>
      <c r="N80" s="16">
        <v>899.99</v>
      </c>
    </row>
    <row r="81" spans="1:14" x14ac:dyDescent="0.3">
      <c r="A81" s="13" t="str">
        <v>TRX0190</v>
      </c>
      <c r="B81" s="12">
        <v>45583</v>
      </c>
      <c r="C81" s="12" t="str">
        <v>CUST039</v>
      </c>
      <c r="D81" s="12" t="str">
        <v>Lawrence Reed</v>
      </c>
      <c r="E81" s="12" t="str">
        <v>P003</v>
      </c>
      <c r="F81" s="12" t="str">
        <v>Headphones</v>
      </c>
      <c r="G81" s="12" t="str">
        <v>Electronics</v>
      </c>
      <c r="H81" s="12">
        <v>2</v>
      </c>
      <c r="I81" s="12">
        <v>149.99</v>
      </c>
      <c r="J81" s="12" t="str">
        <v>Credit Card</v>
      </c>
      <c r="K81" s="12" t="str">
        <v>West</v>
      </c>
      <c r="L81" s="12" t="str">
        <v>Basic</v>
      </c>
      <c r="M81" s="12">
        <v>44916</v>
      </c>
      <c r="N81" s="16">
        <v>299.98</v>
      </c>
    </row>
    <row r="82" spans="1:14" x14ac:dyDescent="0.3">
      <c r="A82" s="13" t="str">
        <v>TRX0079</v>
      </c>
      <c r="B82" s="12">
        <v>45586</v>
      </c>
      <c r="C82" s="12" t="str">
        <v>CUST039</v>
      </c>
      <c r="D82" s="12" t="str">
        <v>Lawrence Reed</v>
      </c>
      <c r="E82" s="12" t="str">
        <v>P010</v>
      </c>
      <c r="F82" s="12" t="str">
        <v>Keyboard</v>
      </c>
      <c r="G82" s="12" t="str">
        <v>Electronics</v>
      </c>
      <c r="H82" s="12">
        <v>3</v>
      </c>
      <c r="I82" s="12">
        <v>89.99</v>
      </c>
      <c r="J82" s="12" t="str">
        <v>PayPal</v>
      </c>
      <c r="K82" s="12" t="str">
        <v>Central</v>
      </c>
      <c r="L82" s="12" t="str">
        <v>Basic</v>
      </c>
      <c r="M82" s="12">
        <v>44551</v>
      </c>
      <c r="N82" s="16">
        <v>269.97000000000003</v>
      </c>
    </row>
    <row r="83" spans="1:14" x14ac:dyDescent="0.3">
      <c r="A83" s="13" t="str">
        <v>TRX0095</v>
      </c>
      <c r="B83" s="12">
        <v>45588</v>
      </c>
      <c r="C83" s="12" t="str">
        <v>CUST046</v>
      </c>
      <c r="D83" s="12" t="str">
        <v>Kathleen Bennett</v>
      </c>
      <c r="E83" s="12" t="str">
        <v>P003</v>
      </c>
      <c r="F83" s="12" t="str">
        <v>Headphones</v>
      </c>
      <c r="G83" s="12" t="str">
        <v>Electronics</v>
      </c>
      <c r="H83" s="12">
        <v>2</v>
      </c>
      <c r="I83" s="12">
        <v>149.99</v>
      </c>
      <c r="J83" s="12" t="str">
        <v>PayPal</v>
      </c>
      <c r="K83" s="12" t="str">
        <v>Central</v>
      </c>
      <c r="L83" s="12" t="str">
        <v>Basic</v>
      </c>
      <c r="M83" s="12">
        <v>44473</v>
      </c>
      <c r="N83" s="16">
        <v>299.98</v>
      </c>
    </row>
    <row r="84" spans="1:14" x14ac:dyDescent="0.3">
      <c r="A84" s="13" t="str">
        <v>TRX0009</v>
      </c>
      <c r="B84" s="12">
        <v>45588</v>
      </c>
      <c r="C84" s="12" t="str">
        <v>CUST004</v>
      </c>
      <c r="D84" s="12" t="str">
        <v>Sarah Davis</v>
      </c>
      <c r="E84" s="12" t="str">
        <v>P002</v>
      </c>
      <c r="F84" s="12" t="str">
        <v>Smartphone</v>
      </c>
      <c r="G84" s="12" t="str">
        <v>Electronics</v>
      </c>
      <c r="H84" s="12">
        <v>2</v>
      </c>
      <c r="I84" s="12">
        <v>699.99</v>
      </c>
      <c r="J84" s="12" t="str">
        <v>Cash</v>
      </c>
      <c r="K84" s="12" t="str">
        <v>Central</v>
      </c>
      <c r="L84" s="12" t="str">
        <v>Basic</v>
      </c>
      <c r="M84" s="12">
        <v>44992</v>
      </c>
      <c r="N84" s="16">
        <v>1399.98</v>
      </c>
    </row>
    <row r="85" spans="1:14" x14ac:dyDescent="0.3">
      <c r="A85" s="13" t="str">
        <v>TRX0167</v>
      </c>
      <c r="B85" s="12">
        <v>45589</v>
      </c>
      <c r="C85" s="12" t="str">
        <v>CUST028</v>
      </c>
      <c r="D85" s="12" t="str">
        <v>Betty Campbell</v>
      </c>
      <c r="E85" s="12" t="str">
        <v>P002</v>
      </c>
      <c r="F85" s="12" t="str">
        <v>Smartphone</v>
      </c>
      <c r="G85" s="12" t="str">
        <v>Electronics</v>
      </c>
      <c r="H85" s="12">
        <v>5</v>
      </c>
      <c r="I85" s="12">
        <v>699.99</v>
      </c>
      <c r="J85" s="12" t="str">
        <v>Cash</v>
      </c>
      <c r="K85" s="12" t="str">
        <v>North</v>
      </c>
      <c r="L85" s="12" t="str">
        <v>Premium</v>
      </c>
      <c r="M85" s="12">
        <v>44635</v>
      </c>
      <c r="N85" s="16">
        <v>3499.95</v>
      </c>
    </row>
    <row r="86" spans="1:14" x14ac:dyDescent="0.3">
      <c r="A86" s="13" t="str">
        <v>TRX0153</v>
      </c>
      <c r="B86" s="12">
        <v>45592</v>
      </c>
      <c r="C86" s="12" t="str">
        <v>CUST049</v>
      </c>
      <c r="D86" s="12" t="str">
        <v>Raymond Ross</v>
      </c>
      <c r="E86" s="12" t="str">
        <v>P010</v>
      </c>
      <c r="F86" s="12" t="str">
        <v>Keyboard</v>
      </c>
      <c r="G86" s="12" t="str">
        <v>Electronics</v>
      </c>
      <c r="H86" s="12">
        <v>3</v>
      </c>
      <c r="I86" s="12">
        <v>89.99</v>
      </c>
      <c r="J86" s="12" t="str">
        <v>Credit Card</v>
      </c>
      <c r="K86" s="12" t="str">
        <v>North</v>
      </c>
      <c r="L86" s="12" t="str">
        <v>Standard</v>
      </c>
      <c r="M86" s="12">
        <v>44615</v>
      </c>
      <c r="N86" s="16">
        <v>269.97000000000003</v>
      </c>
    </row>
    <row r="87" spans="1:14" x14ac:dyDescent="0.3">
      <c r="A87" s="13" t="str">
        <v>TRX0057</v>
      </c>
      <c r="B87" s="12">
        <v>45597</v>
      </c>
      <c r="C87" s="12" t="str">
        <v>CUST023</v>
      </c>
      <c r="D87" s="12" t="str">
        <v>Paul Baker</v>
      </c>
      <c r="E87" s="12" t="str">
        <v>P009</v>
      </c>
      <c r="F87" s="12" t="str">
        <v>Monitor</v>
      </c>
      <c r="G87" s="12" t="str">
        <v>Electronics</v>
      </c>
      <c r="H87" s="12">
        <v>5</v>
      </c>
      <c r="I87" s="12">
        <v>249.99</v>
      </c>
      <c r="J87" s="12" t="str">
        <v>Credit Card</v>
      </c>
      <c r="K87" s="12" t="str">
        <v>South</v>
      </c>
      <c r="L87" s="12" t="str">
        <v>Standard</v>
      </c>
      <c r="M87" s="12">
        <v>44881</v>
      </c>
      <c r="N87" s="16">
        <v>1249.95</v>
      </c>
    </row>
    <row r="88" spans="1:14" x14ac:dyDescent="0.3">
      <c r="A88" s="13" t="str">
        <v>TRX0060</v>
      </c>
      <c r="B88" s="12">
        <v>45603</v>
      </c>
      <c r="C88" s="12" t="str">
        <v>CUST012</v>
      </c>
      <c r="D88" s="12" t="str">
        <v>Patricia Moore</v>
      </c>
      <c r="E88" s="12" t="str">
        <v>P010</v>
      </c>
      <c r="F88" s="12" t="str">
        <v>Keyboard</v>
      </c>
      <c r="G88" s="12" t="str">
        <v>Electronics</v>
      </c>
      <c r="H88" s="12">
        <v>3</v>
      </c>
      <c r="I88" s="12">
        <v>89.99</v>
      </c>
      <c r="J88" s="12" t="str">
        <v>Credit Card</v>
      </c>
      <c r="K88" s="12" t="str">
        <v>North</v>
      </c>
      <c r="L88" s="12" t="str">
        <v>Premium</v>
      </c>
      <c r="M88" s="12">
        <v>44420</v>
      </c>
      <c r="N88" s="16">
        <v>269.97000000000003</v>
      </c>
    </row>
    <row r="89" spans="1:14" x14ac:dyDescent="0.3">
      <c r="A89" s="13" t="str">
        <v>TRX0090</v>
      </c>
      <c r="B89" s="12">
        <v>45605</v>
      </c>
      <c r="C89" s="12" t="str">
        <v>CUST020</v>
      </c>
      <c r="D89" s="12" t="str">
        <v>Margaret Wright</v>
      </c>
      <c r="E89" s="12" t="str">
        <v>P009</v>
      </c>
      <c r="F89" s="12" t="str">
        <v>Monitor</v>
      </c>
      <c r="G89" s="12" t="str">
        <v>Electronics</v>
      </c>
      <c r="H89" s="12">
        <v>1</v>
      </c>
      <c r="I89" s="12">
        <v>249.99</v>
      </c>
      <c r="J89" s="12" t="str">
        <v>Credit Card</v>
      </c>
      <c r="K89" s="12" t="str">
        <v>North</v>
      </c>
      <c r="L89" s="12" t="str">
        <v>Premium</v>
      </c>
      <c r="M89" s="12">
        <v>44828</v>
      </c>
      <c r="N89" s="16">
        <v>249.99</v>
      </c>
    </row>
    <row r="90" spans="1:14" x14ac:dyDescent="0.3">
      <c r="A90" s="13" t="str">
        <v>TRX0035</v>
      </c>
      <c r="B90" s="12">
        <v>45607</v>
      </c>
      <c r="C90" s="12" t="str">
        <v>CUST041</v>
      </c>
      <c r="D90" s="12" t="str">
        <v>Peter Richardson</v>
      </c>
      <c r="E90" s="12" t="str">
        <v>P003</v>
      </c>
      <c r="F90" s="12" t="str">
        <v>Headphones</v>
      </c>
      <c r="G90" s="12" t="str">
        <v>Electronics</v>
      </c>
      <c r="H90" s="12">
        <v>3</v>
      </c>
      <c r="I90" s="12">
        <v>149.99</v>
      </c>
      <c r="J90" s="12" t="str">
        <v>Cash</v>
      </c>
      <c r="K90" s="12" t="str">
        <v>North</v>
      </c>
      <c r="L90" s="12" t="str">
        <v>Basic</v>
      </c>
      <c r="M90" s="12">
        <v>44769</v>
      </c>
      <c r="N90" s="16">
        <v>449.97</v>
      </c>
    </row>
    <row r="91" spans="1:14" x14ac:dyDescent="0.3">
      <c r="A91" s="13" t="str">
        <v>TRX0076</v>
      </c>
      <c r="B91" s="12">
        <v>45607</v>
      </c>
      <c r="C91" s="12" t="str">
        <v>CUST012</v>
      </c>
      <c r="D91" s="12" t="str">
        <v>Patricia Moore</v>
      </c>
      <c r="E91" s="12" t="str">
        <v>P009</v>
      </c>
      <c r="F91" s="12" t="str">
        <v>Monitor</v>
      </c>
      <c r="G91" s="12" t="str">
        <v>Electronics</v>
      </c>
      <c r="H91" s="12">
        <v>4</v>
      </c>
      <c r="I91" s="12">
        <v>249.99</v>
      </c>
      <c r="J91" s="12" t="str">
        <v>Credit Card</v>
      </c>
      <c r="K91" s="12" t="str">
        <v>West</v>
      </c>
      <c r="L91" s="12" t="str">
        <v>Standard</v>
      </c>
      <c r="M91" s="12">
        <v>44659</v>
      </c>
      <c r="N91" s="16">
        <v>999.96</v>
      </c>
    </row>
    <row r="92" spans="1:14" x14ac:dyDescent="0.3">
      <c r="A92" s="13" t="str">
        <v>TRX0033</v>
      </c>
      <c r="B92" s="12">
        <v>45613</v>
      </c>
      <c r="C92" s="12" t="str">
        <v>CUST025</v>
      </c>
      <c r="D92" s="12" t="str">
        <v>Mark Carter</v>
      </c>
      <c r="E92" s="12" t="str">
        <v>P002</v>
      </c>
      <c r="F92" s="12" t="str">
        <v>Smartphone</v>
      </c>
      <c r="G92" s="12" t="str">
        <v>Electronics</v>
      </c>
      <c r="H92" s="12">
        <v>2</v>
      </c>
      <c r="I92" s="12">
        <v>699.99</v>
      </c>
      <c r="J92" s="12" t="str">
        <v>PayPal</v>
      </c>
      <c r="K92" s="12" t="str">
        <v>West</v>
      </c>
      <c r="L92" s="12" t="str">
        <v>Standard</v>
      </c>
      <c r="M92" s="12">
        <v>44770</v>
      </c>
      <c r="N92" s="16">
        <v>1399.98</v>
      </c>
    </row>
    <row r="93" spans="1:14" x14ac:dyDescent="0.3">
      <c r="A93" s="13" t="str">
        <v>TRX0148</v>
      </c>
      <c r="B93" s="12">
        <v>45619</v>
      </c>
      <c r="C93" s="12" t="str">
        <v>CUST004</v>
      </c>
      <c r="D93" s="12" t="str">
        <v>Sarah Davis</v>
      </c>
      <c r="E93" s="12" t="str">
        <v>P002</v>
      </c>
      <c r="F93" s="12" t="str">
        <v>Smartphone</v>
      </c>
      <c r="G93" s="12" t="str">
        <v>Electronics</v>
      </c>
      <c r="H93" s="12">
        <v>3</v>
      </c>
      <c r="I93" s="12">
        <v>699.99</v>
      </c>
      <c r="J93" s="12" t="str">
        <v>PayPal</v>
      </c>
      <c r="K93" s="12" t="str">
        <v>West</v>
      </c>
      <c r="L93" s="12" t="str">
        <v>Standard</v>
      </c>
      <c r="M93" s="12">
        <v>44583</v>
      </c>
      <c r="N93" s="16">
        <v>2099.9699999999998</v>
      </c>
    </row>
    <row r="94" spans="1:14" x14ac:dyDescent="0.3">
      <c r="A94" s="13" t="str">
        <v>TRX0012</v>
      </c>
      <c r="B94" s="12">
        <v>45622</v>
      </c>
      <c r="C94" s="12" t="str">
        <v>CUST045</v>
      </c>
      <c r="D94" s="12" t="str">
        <v>Douglas Watson</v>
      </c>
      <c r="E94" s="12" t="str">
        <v>P009</v>
      </c>
      <c r="F94" s="12" t="str">
        <v>Monitor</v>
      </c>
      <c r="G94" s="12" t="str">
        <v>Electronics</v>
      </c>
      <c r="H94" s="12">
        <v>5</v>
      </c>
      <c r="I94" s="12">
        <v>249.99</v>
      </c>
      <c r="J94" s="12" t="str">
        <v>Credit Card</v>
      </c>
      <c r="K94" s="12" t="str">
        <v>North</v>
      </c>
      <c r="L94" s="12" t="str">
        <v>Basic</v>
      </c>
      <c r="M94" s="12">
        <v>44873</v>
      </c>
      <c r="N94" s="16">
        <v>1249.95</v>
      </c>
    </row>
    <row r="95" spans="1:14" x14ac:dyDescent="0.3">
      <c r="A95" s="13" t="str">
        <v>TRX0094</v>
      </c>
      <c r="B95" s="12">
        <v>45627</v>
      </c>
      <c r="C95" s="12" t="str">
        <v>CUST017</v>
      </c>
      <c r="D95" s="12" t="str">
        <v>Charles Allen</v>
      </c>
      <c r="E95" s="12" t="str">
        <v>P009</v>
      </c>
      <c r="F95" s="12" t="str">
        <v>Monitor</v>
      </c>
      <c r="G95" s="12" t="str">
        <v>Electronics</v>
      </c>
      <c r="H95" s="12">
        <v>5</v>
      </c>
      <c r="I95" s="12">
        <v>249.99</v>
      </c>
      <c r="J95" s="12" t="str">
        <v>Cash</v>
      </c>
      <c r="K95" s="12" t="str">
        <v>Central</v>
      </c>
      <c r="L95" s="12" t="str">
        <v>Premium</v>
      </c>
      <c r="M95" s="12">
        <v>44485</v>
      </c>
      <c r="N95" s="16">
        <v>1249.95</v>
      </c>
    </row>
    <row r="96" spans="1:14" x14ac:dyDescent="0.3">
      <c r="A96" s="13" t="str">
        <v>TRX0133</v>
      </c>
      <c r="B96" s="12">
        <v>45627</v>
      </c>
      <c r="C96" s="12" t="str">
        <v>CUST013</v>
      </c>
      <c r="D96" s="12" t="str">
        <v>Joseph Jackson</v>
      </c>
      <c r="E96" s="12" t="str">
        <v>P003</v>
      </c>
      <c r="F96" s="12" t="str">
        <v>Headphones</v>
      </c>
      <c r="G96" s="12" t="str">
        <v>Electronics</v>
      </c>
      <c r="H96" s="12">
        <v>2</v>
      </c>
      <c r="I96" s="12">
        <v>149.99</v>
      </c>
      <c r="J96" s="12" t="str">
        <v>Cash</v>
      </c>
      <c r="K96" s="12" t="str">
        <v>South</v>
      </c>
      <c r="L96" s="12" t="str">
        <v>Premium</v>
      </c>
      <c r="M96" s="12">
        <v>44475</v>
      </c>
      <c r="N96" s="16">
        <v>299.98</v>
      </c>
    </row>
    <row r="97" spans="1:14" x14ac:dyDescent="0.3">
      <c r="A97" s="13" t="str">
        <v>TRX0201</v>
      </c>
      <c r="B97" s="12">
        <v>45627</v>
      </c>
      <c r="C97" s="12" t="str">
        <v>CUST025</v>
      </c>
      <c r="D97" s="12" t="str">
        <v>Mark Carter</v>
      </c>
      <c r="E97" s="12" t="str">
        <v>P002</v>
      </c>
      <c r="F97" s="12" t="str">
        <v>Smartphone</v>
      </c>
      <c r="G97" s="12" t="str">
        <v>Electronics</v>
      </c>
      <c r="H97" s="12">
        <v>5</v>
      </c>
      <c r="I97" s="12">
        <v>699.99</v>
      </c>
      <c r="J97" s="12" t="str">
        <v>Debit Card</v>
      </c>
      <c r="K97" s="12" t="str">
        <v>West</v>
      </c>
      <c r="L97" s="12" t="str">
        <v>Standard</v>
      </c>
      <c r="M97" s="12">
        <v>44944</v>
      </c>
      <c r="N97" s="16">
        <v>3499.95</v>
      </c>
    </row>
    <row r="98" spans="1:14" x14ac:dyDescent="0.3">
      <c r="A98" s="13" t="str">
        <v>TRX0137</v>
      </c>
      <c r="B98" s="12">
        <v>45629</v>
      </c>
      <c r="C98" s="12" t="str">
        <v>CUST011</v>
      </c>
      <c r="D98" s="12" t="str">
        <v>William White</v>
      </c>
      <c r="E98" s="12" t="str">
        <v>P009</v>
      </c>
      <c r="F98" s="12" t="str">
        <v>Monitor</v>
      </c>
      <c r="G98" s="12" t="str">
        <v>Electronics</v>
      </c>
      <c r="H98" s="12">
        <v>4</v>
      </c>
      <c r="I98" s="12">
        <v>249.99</v>
      </c>
      <c r="J98" s="12" t="str">
        <v>PayPal</v>
      </c>
      <c r="K98" s="12" t="str">
        <v>East</v>
      </c>
      <c r="L98" s="12" t="str">
        <v>Premium</v>
      </c>
      <c r="M98" s="12">
        <v>45098</v>
      </c>
      <c r="N98" s="16">
        <v>999.96</v>
      </c>
    </row>
    <row r="99" spans="1:14" x14ac:dyDescent="0.3">
      <c r="A99" s="13" t="str">
        <v>TRX0066</v>
      </c>
      <c r="B99" s="12">
        <v>45630</v>
      </c>
      <c r="C99" s="12" t="str">
        <v>CUST024</v>
      </c>
      <c r="D99" s="12" t="str">
        <v>Dorothy Nelson</v>
      </c>
      <c r="E99" s="12" t="str">
        <v>P002</v>
      </c>
      <c r="F99" s="12" t="str">
        <v>Smartphone</v>
      </c>
      <c r="G99" s="12" t="str">
        <v>Electronics</v>
      </c>
      <c r="H99" s="12">
        <v>4</v>
      </c>
      <c r="I99" s="12">
        <v>699.99</v>
      </c>
      <c r="J99" s="12" t="str">
        <v>Credit Card</v>
      </c>
      <c r="K99" s="12" t="str">
        <v>North</v>
      </c>
      <c r="L99" s="12" t="str">
        <v>Premium</v>
      </c>
      <c r="M99" s="12">
        <v>44703</v>
      </c>
      <c r="N99" s="16">
        <v>2799.96</v>
      </c>
    </row>
    <row r="100" spans="1:14" x14ac:dyDescent="0.3">
      <c r="A100" s="13" t="str">
        <v>TRX0180</v>
      </c>
      <c r="B100" s="12">
        <v>45635</v>
      </c>
      <c r="C100" s="12" t="str">
        <v>CUST036</v>
      </c>
      <c r="D100" s="12" t="str">
        <v>Nancy Collins</v>
      </c>
      <c r="E100" s="12" t="str">
        <v>P009</v>
      </c>
      <c r="F100" s="12" t="str">
        <v>Monitor</v>
      </c>
      <c r="G100" s="12" t="str">
        <v>Electronics</v>
      </c>
      <c r="H100" s="12">
        <v>2</v>
      </c>
      <c r="I100" s="12">
        <v>249.99</v>
      </c>
      <c r="J100" s="12" t="str">
        <v>Credit Card</v>
      </c>
      <c r="K100" s="12" t="str">
        <v>Central</v>
      </c>
      <c r="L100" s="12" t="str">
        <v>Premium</v>
      </c>
      <c r="M100" s="12">
        <v>44396</v>
      </c>
      <c r="N100" s="16">
        <v>499.98</v>
      </c>
    </row>
    <row r="101" spans="1:14" x14ac:dyDescent="0.3">
      <c r="A101" s="13" t="str">
        <v>TRX0032</v>
      </c>
      <c r="B101" s="12">
        <v>45638</v>
      </c>
      <c r="C101" s="12" t="str">
        <v>CUST041</v>
      </c>
      <c r="D101" s="12" t="str">
        <v>Peter Richardson</v>
      </c>
      <c r="E101" s="12" t="str">
        <v>P001</v>
      </c>
      <c r="F101" s="12" t="str">
        <v>Laptop</v>
      </c>
      <c r="G101" s="12" t="str">
        <v>Electronics</v>
      </c>
      <c r="H101" s="12">
        <v>2</v>
      </c>
      <c r="I101" s="12">
        <v>899.99</v>
      </c>
      <c r="J101" s="12" t="str">
        <v>Cash</v>
      </c>
      <c r="K101" s="12" t="str">
        <v>North</v>
      </c>
      <c r="L101" s="12" t="str">
        <v>Basic</v>
      </c>
      <c r="M101" s="12">
        <v>44406</v>
      </c>
      <c r="N101" s="16">
        <v>1799.98</v>
      </c>
    </row>
    <row r="102" spans="1:14" x14ac:dyDescent="0.3">
      <c r="A102" s="13" t="str">
        <v>TRX0183</v>
      </c>
      <c r="B102" s="12">
        <v>45645</v>
      </c>
      <c r="C102" s="12" t="str">
        <v>CUST007</v>
      </c>
      <c r="D102" s="12" t="str">
        <v>David Martinez</v>
      </c>
      <c r="E102" s="12" t="str">
        <v>P010</v>
      </c>
      <c r="F102" s="12" t="str">
        <v>Keyboard</v>
      </c>
      <c r="G102" s="12" t="str">
        <v>Electronics</v>
      </c>
      <c r="H102" s="12">
        <v>1</v>
      </c>
      <c r="I102" s="12">
        <v>89.99</v>
      </c>
      <c r="J102" s="12" t="str">
        <v>Debit Card</v>
      </c>
      <c r="K102" s="12" t="str">
        <v>Central</v>
      </c>
      <c r="L102" s="12" t="str">
        <v>Standard</v>
      </c>
      <c r="M102" s="12">
        <v>44760</v>
      </c>
      <c r="N102" s="16">
        <v>89.99</v>
      </c>
    </row>
    <row r="103" spans="1:14" x14ac:dyDescent="0.3">
      <c r="A103" s="13" t="str">
        <v>TRX0163</v>
      </c>
      <c r="B103" s="12">
        <v>45645</v>
      </c>
      <c r="C103" s="12" t="str">
        <v>CUST019</v>
      </c>
      <c r="D103" s="12" t="str">
        <v>Daniel King</v>
      </c>
      <c r="E103" s="12" t="str">
        <v>P001</v>
      </c>
      <c r="F103" s="12" t="str">
        <v>Laptop</v>
      </c>
      <c r="G103" s="12" t="str">
        <v>Electronics</v>
      </c>
      <c r="H103" s="12">
        <v>5</v>
      </c>
      <c r="I103" s="12">
        <v>899.99</v>
      </c>
      <c r="J103" s="12" t="str">
        <v>Debit Card</v>
      </c>
      <c r="K103" s="12" t="str">
        <v>East</v>
      </c>
      <c r="L103" s="12" t="str">
        <v>Standard</v>
      </c>
      <c r="M103" s="12">
        <v>44625</v>
      </c>
      <c r="N103" s="16">
        <v>4499.95</v>
      </c>
    </row>
    <row r="104" spans="1:14" x14ac:dyDescent="0.3">
      <c r="A104" s="13" t="str">
        <v>TRX0164</v>
      </c>
      <c r="B104" s="12">
        <v>45648</v>
      </c>
      <c r="C104" s="12" t="str">
        <v>CUST014</v>
      </c>
      <c r="D104" s="12" t="str">
        <v>Linda Martin</v>
      </c>
      <c r="E104" s="12" t="str">
        <v>P003</v>
      </c>
      <c r="F104" s="12" t="str">
        <v>Headphones</v>
      </c>
      <c r="G104" s="12" t="str">
        <v>Electronics</v>
      </c>
      <c r="H104" s="12">
        <v>2</v>
      </c>
      <c r="I104" s="12">
        <v>149.99</v>
      </c>
      <c r="J104" s="12" t="str">
        <v>Debit Card</v>
      </c>
      <c r="K104" s="12" t="str">
        <v>West</v>
      </c>
      <c r="L104" s="12" t="str">
        <v>Premium</v>
      </c>
      <c r="M104" s="12">
        <v>45280</v>
      </c>
      <c r="N104" s="16">
        <v>299.98</v>
      </c>
    </row>
    <row r="105" spans="1:14" x14ac:dyDescent="0.3">
      <c r="A105" s="13" t="str">
        <v>TRX0156</v>
      </c>
      <c r="B105" s="12">
        <v>45655</v>
      </c>
      <c r="C105" s="12" t="str">
        <v>CUST009</v>
      </c>
      <c r="D105" s="12" t="str">
        <v>Robert Thomas</v>
      </c>
      <c r="E105" s="12" t="str">
        <v>P010</v>
      </c>
      <c r="F105" s="12" t="str">
        <v>Keyboard</v>
      </c>
      <c r="G105" s="12" t="str">
        <v>Electronics</v>
      </c>
      <c r="H105" s="12">
        <v>1</v>
      </c>
      <c r="I105" s="12">
        <v>89.99</v>
      </c>
      <c r="J105" s="12" t="str">
        <v>Credit Card</v>
      </c>
      <c r="K105" s="12" t="str">
        <v>South</v>
      </c>
      <c r="L105" s="12" t="str">
        <v>Premium</v>
      </c>
      <c r="M105" s="12">
        <v>44591</v>
      </c>
      <c r="N105" s="16">
        <v>89.99</v>
      </c>
    </row>
    <row r="106" spans="1:14" x14ac:dyDescent="0.3">
      <c r="A106" s="13" t="str">
        <v>TRX0207</v>
      </c>
      <c r="B106" s="12">
        <v>45657</v>
      </c>
      <c r="C106" s="12" t="str">
        <v>CUST025</v>
      </c>
      <c r="D106" s="12" t="str">
        <v>Mark Carter</v>
      </c>
      <c r="E106" s="12" t="str">
        <v>P001</v>
      </c>
      <c r="F106" s="12" t="str">
        <v>Laptop</v>
      </c>
      <c r="G106" s="12" t="str">
        <v>Electronics</v>
      </c>
      <c r="H106" s="12">
        <v>1</v>
      </c>
      <c r="I106" s="12">
        <v>899.99</v>
      </c>
      <c r="J106" s="12" t="str">
        <v>PayPal</v>
      </c>
      <c r="K106" s="12" t="str">
        <v>North</v>
      </c>
      <c r="L106" s="12" t="str">
        <v>Premium</v>
      </c>
      <c r="M106" s="12">
        <v>45050</v>
      </c>
      <c r="N106" s="16">
        <v>899.99</v>
      </c>
    </row>
    <row r="107" spans="1:14" x14ac:dyDescent="0.3">
      <c r="A107" s="13" t="str">
        <v>TRX0056</v>
      </c>
      <c r="B107" s="12">
        <v>45660</v>
      </c>
      <c r="C107" s="12" t="str">
        <v>CUST019</v>
      </c>
      <c r="D107" s="12" t="str">
        <v>Daniel King</v>
      </c>
      <c r="E107" s="12" t="str">
        <v>P010</v>
      </c>
      <c r="F107" s="12" t="str">
        <v>Keyboard</v>
      </c>
      <c r="G107" s="12" t="str">
        <v>Electronics</v>
      </c>
      <c r="H107" s="12">
        <v>2</v>
      </c>
      <c r="I107" s="12">
        <v>89.99</v>
      </c>
      <c r="J107" s="12" t="str">
        <v>Credit Card</v>
      </c>
      <c r="K107" s="12" t="str">
        <v>South</v>
      </c>
      <c r="L107" s="12" t="str">
        <v>Premium</v>
      </c>
      <c r="M107" s="12">
        <v>44564</v>
      </c>
      <c r="N107" s="16">
        <v>179.98</v>
      </c>
    </row>
    <row r="108" spans="1:14" x14ac:dyDescent="0.3">
      <c r="A108" s="13" t="str">
        <v>TRX0026</v>
      </c>
      <c r="B108" s="12">
        <v>45661</v>
      </c>
      <c r="C108" s="12" t="str">
        <v>CUST037</v>
      </c>
      <c r="D108" s="12" t="str">
        <v>Arthur Edwards</v>
      </c>
      <c r="E108" s="12" t="str">
        <v>P001</v>
      </c>
      <c r="F108" s="12" t="str">
        <v>Laptop</v>
      </c>
      <c r="G108" s="12" t="str">
        <v>Electronics</v>
      </c>
      <c r="H108" s="12">
        <v>1</v>
      </c>
      <c r="I108" s="12">
        <v>899.99</v>
      </c>
      <c r="J108" s="12" t="str">
        <v>PayPal</v>
      </c>
      <c r="K108" s="12" t="str">
        <v>North</v>
      </c>
      <c r="L108" s="12" t="str">
        <v>Standard</v>
      </c>
      <c r="M108" s="12">
        <v>44752</v>
      </c>
      <c r="N108" s="16">
        <v>899.99</v>
      </c>
    </row>
    <row r="109" spans="1:14" x14ac:dyDescent="0.3">
      <c r="A109" s="13" t="str">
        <v>TRX0237</v>
      </c>
      <c r="B109" s="12">
        <v>45663</v>
      </c>
      <c r="C109" s="12" t="str">
        <v>CUST006</v>
      </c>
      <c r="D109" s="12" t="str">
        <v>Lisa Anderson</v>
      </c>
      <c r="E109" s="12" t="str">
        <v>P003</v>
      </c>
      <c r="F109" s="12" t="str">
        <v>Headphones</v>
      </c>
      <c r="G109" s="12" t="str">
        <v>Electronics</v>
      </c>
      <c r="H109" s="12">
        <v>5</v>
      </c>
      <c r="I109" s="12">
        <v>149.99</v>
      </c>
      <c r="J109" s="12" t="str">
        <v>PayPal</v>
      </c>
      <c r="K109" s="12" t="str">
        <v>East</v>
      </c>
      <c r="L109" s="12" t="str">
        <v>Premium</v>
      </c>
      <c r="M109" s="12">
        <v>44824</v>
      </c>
      <c r="N109" s="16">
        <v>749.95</v>
      </c>
    </row>
    <row r="110" spans="1:14" x14ac:dyDescent="0.3">
      <c r="A110" s="13" t="str">
        <v>TRX0125</v>
      </c>
      <c r="B110" s="12">
        <v>45666</v>
      </c>
      <c r="C110" s="12" t="str">
        <v>CUST026</v>
      </c>
      <c r="D110" s="12" t="str">
        <v>Karen Hill</v>
      </c>
      <c r="E110" s="12" t="str">
        <v>P002</v>
      </c>
      <c r="F110" s="12" t="str">
        <v>Smartphone</v>
      </c>
      <c r="G110" s="12" t="str">
        <v>Electronics</v>
      </c>
      <c r="H110" s="12">
        <v>3</v>
      </c>
      <c r="I110" s="12">
        <v>699.99</v>
      </c>
      <c r="J110" s="12" t="str">
        <v>Credit Card</v>
      </c>
      <c r="K110" s="12" t="str">
        <v>Central</v>
      </c>
      <c r="L110" s="12" t="str">
        <v>Premium</v>
      </c>
      <c r="M110" s="12">
        <v>45105</v>
      </c>
      <c r="N110" s="16">
        <v>2099.9699999999998</v>
      </c>
    </row>
    <row r="111" spans="1:14" x14ac:dyDescent="0.3">
      <c r="A111" s="13" t="str">
        <v>TRX0243</v>
      </c>
      <c r="B111" s="12">
        <v>45667</v>
      </c>
      <c r="C111" s="12" t="str">
        <v>CUST048</v>
      </c>
      <c r="D111" s="12" t="str">
        <v>Virginia Sanders</v>
      </c>
      <c r="E111" s="12" t="str">
        <v>P009</v>
      </c>
      <c r="F111" s="12" t="str">
        <v>Monitor</v>
      </c>
      <c r="G111" s="12" t="str">
        <v>Electronics</v>
      </c>
      <c r="H111" s="12">
        <v>5</v>
      </c>
      <c r="I111" s="12">
        <v>249.99</v>
      </c>
      <c r="J111" s="12" t="str">
        <v>Credit Card</v>
      </c>
      <c r="K111" s="12" t="str">
        <v>South</v>
      </c>
      <c r="L111" s="12" t="str">
        <v>Basic</v>
      </c>
      <c r="M111" s="12">
        <v>45330</v>
      </c>
      <c r="N111" s="16">
        <v>1249.95</v>
      </c>
    </row>
    <row r="112" spans="1:14" x14ac:dyDescent="0.3">
      <c r="A112" s="13" t="str">
        <v>TRX0084</v>
      </c>
      <c r="B112" s="12">
        <v>45668</v>
      </c>
      <c r="C112" s="12" t="str">
        <v>CUST031</v>
      </c>
      <c r="D112" s="12" t="str">
        <v>Steven Turner</v>
      </c>
      <c r="E112" s="12" t="str">
        <v>P003</v>
      </c>
      <c r="F112" s="12" t="str">
        <v>Headphones</v>
      </c>
      <c r="G112" s="12" t="str">
        <v>Electronics</v>
      </c>
      <c r="H112" s="12">
        <v>4</v>
      </c>
      <c r="I112" s="12">
        <v>149.99</v>
      </c>
      <c r="J112" s="12" t="str">
        <v>Debit Card</v>
      </c>
      <c r="K112" s="12" t="str">
        <v>East</v>
      </c>
      <c r="L112" s="12" t="str">
        <v>Standard</v>
      </c>
      <c r="M112" s="12">
        <v>44536</v>
      </c>
      <c r="N112" s="16">
        <v>599.96</v>
      </c>
    </row>
    <row r="113" spans="1:14" x14ac:dyDescent="0.3">
      <c r="A113" s="13" t="str">
        <v>TRX0238</v>
      </c>
      <c r="B113" s="12">
        <v>45668</v>
      </c>
      <c r="C113" s="12" t="str">
        <v>CUST038</v>
      </c>
      <c r="D113" s="12" t="str">
        <v>Michelle Rogers</v>
      </c>
      <c r="E113" s="12" t="str">
        <v>P002</v>
      </c>
      <c r="F113" s="12" t="str">
        <v>Smartphone</v>
      </c>
      <c r="G113" s="12" t="str">
        <v>Electronics</v>
      </c>
      <c r="H113" s="12">
        <v>3</v>
      </c>
      <c r="I113" s="12">
        <v>699.99</v>
      </c>
      <c r="J113" s="12" t="str">
        <v>Cash</v>
      </c>
      <c r="K113" s="12" t="str">
        <v>North</v>
      </c>
      <c r="L113" s="12" t="str">
        <v>Premium</v>
      </c>
      <c r="M113" s="12">
        <v>44602</v>
      </c>
      <c r="N113" s="16">
        <v>2099.9699999999998</v>
      </c>
    </row>
    <row r="114" spans="1:14" x14ac:dyDescent="0.3">
      <c r="A114" s="13" t="str">
        <v>TRX0087</v>
      </c>
      <c r="B114" s="12">
        <v>45671</v>
      </c>
      <c r="C114" s="12" t="str">
        <v>CUST028</v>
      </c>
      <c r="D114" s="12" t="str">
        <v>Betty Campbell</v>
      </c>
      <c r="E114" s="12" t="str">
        <v>P009</v>
      </c>
      <c r="F114" s="12" t="str">
        <v>Monitor</v>
      </c>
      <c r="G114" s="12" t="str">
        <v>Electronics</v>
      </c>
      <c r="H114" s="12">
        <v>4</v>
      </c>
      <c r="I114" s="12">
        <v>249.99</v>
      </c>
      <c r="J114" s="12" t="str">
        <v>Credit Card</v>
      </c>
      <c r="K114" s="12" t="str">
        <v>North</v>
      </c>
      <c r="L114" s="12" t="str">
        <v>Premium</v>
      </c>
      <c r="M114" s="12">
        <v>44460</v>
      </c>
      <c r="N114" s="16">
        <v>999.96</v>
      </c>
    </row>
    <row r="115" spans="1:14" x14ac:dyDescent="0.3">
      <c r="A115" s="13" t="str">
        <v>TRX0107</v>
      </c>
      <c r="B115" s="12">
        <v>45671</v>
      </c>
      <c r="C115" s="12" t="str">
        <v>CUST030</v>
      </c>
      <c r="D115" s="12" t="str">
        <v>Helen Roberts</v>
      </c>
      <c r="E115" s="12" t="str">
        <v>P003</v>
      </c>
      <c r="F115" s="12" t="str">
        <v>Headphones</v>
      </c>
      <c r="G115" s="12" t="str">
        <v>Electronics</v>
      </c>
      <c r="H115" s="12">
        <v>2</v>
      </c>
      <c r="I115" s="12">
        <v>149.99</v>
      </c>
      <c r="J115" s="12" t="str">
        <v>Cash</v>
      </c>
      <c r="K115" s="12" t="str">
        <v>North</v>
      </c>
      <c r="L115" s="12" t="str">
        <v>Standard</v>
      </c>
      <c r="M115" s="12">
        <v>44913</v>
      </c>
      <c r="N115" s="16">
        <v>299.98</v>
      </c>
    </row>
    <row r="116" spans="1:14" x14ac:dyDescent="0.3">
      <c r="A116" s="13" t="str">
        <v>TRX0159</v>
      </c>
      <c r="B116" s="12">
        <v>45683</v>
      </c>
      <c r="C116" s="12" t="str">
        <v>CUST024</v>
      </c>
      <c r="D116" s="12" t="str">
        <v>Dorothy Nelson</v>
      </c>
      <c r="E116" s="12" t="str">
        <v>P009</v>
      </c>
      <c r="F116" s="12" t="str">
        <v>Monitor</v>
      </c>
      <c r="G116" s="12" t="str">
        <v>Electronics</v>
      </c>
      <c r="H116" s="12">
        <v>4</v>
      </c>
      <c r="I116" s="12">
        <v>249.99</v>
      </c>
      <c r="J116" s="12" t="str">
        <v>Debit Card</v>
      </c>
      <c r="K116" s="12" t="str">
        <v>Central</v>
      </c>
      <c r="L116" s="12" t="str">
        <v>Premium</v>
      </c>
      <c r="M116" s="12">
        <v>45217</v>
      </c>
      <c r="N116" s="16">
        <v>999.96</v>
      </c>
    </row>
    <row r="117" spans="1:14" x14ac:dyDescent="0.3">
      <c r="A117" s="13" t="str">
        <v>TRX0030</v>
      </c>
      <c r="B117" s="12">
        <v>45686</v>
      </c>
      <c r="C117" s="12" t="str">
        <v>CUST011</v>
      </c>
      <c r="D117" s="12" t="str">
        <v>William White</v>
      </c>
      <c r="E117" s="12" t="str">
        <v>P001</v>
      </c>
      <c r="F117" s="12" t="str">
        <v>Laptop</v>
      </c>
      <c r="G117" s="12" t="str">
        <v>Electronics</v>
      </c>
      <c r="H117" s="12">
        <v>4</v>
      </c>
      <c r="I117" s="12">
        <v>899.99</v>
      </c>
      <c r="J117" s="12" t="str">
        <v>PayPal</v>
      </c>
      <c r="K117" s="12" t="str">
        <v>Central</v>
      </c>
      <c r="L117" s="12" t="str">
        <v>Basic</v>
      </c>
      <c r="M117" s="12">
        <v>44734</v>
      </c>
      <c r="N117" s="16">
        <v>3599.96</v>
      </c>
    </row>
    <row r="118" spans="1:14" x14ac:dyDescent="0.3">
      <c r="A118" s="13" t="str">
        <v>TRX0188</v>
      </c>
      <c r="B118" s="12">
        <v>45686</v>
      </c>
      <c r="C118" s="12" t="str">
        <v>CUST045</v>
      </c>
      <c r="D118" s="12" t="str">
        <v>Douglas Watson</v>
      </c>
      <c r="E118" s="12" t="str">
        <v>P002</v>
      </c>
      <c r="F118" s="12" t="str">
        <v>Smartphone</v>
      </c>
      <c r="G118" s="12" t="str">
        <v>Electronics</v>
      </c>
      <c r="H118" s="12">
        <v>2</v>
      </c>
      <c r="I118" s="12">
        <v>699.99</v>
      </c>
      <c r="J118" s="12" t="str">
        <v>Debit Card</v>
      </c>
      <c r="K118" s="12" t="str">
        <v>Central</v>
      </c>
      <c r="L118" s="12" t="str">
        <v>Premium</v>
      </c>
      <c r="M118" s="12">
        <v>44681</v>
      </c>
      <c r="N118" s="16">
        <v>1399.98</v>
      </c>
    </row>
    <row r="119" spans="1:14" x14ac:dyDescent="0.3">
      <c r="A119" s="13" t="str">
        <v>TRX0010</v>
      </c>
      <c r="B119" s="12">
        <v>45688</v>
      </c>
      <c r="C119" s="12" t="str">
        <v>CUST026</v>
      </c>
      <c r="D119" s="12" t="str">
        <v>Karen Hill</v>
      </c>
      <c r="E119" s="12" t="str">
        <v>P002</v>
      </c>
      <c r="F119" s="12" t="str">
        <v>Smartphone</v>
      </c>
      <c r="G119" s="12" t="str">
        <v>Electronics</v>
      </c>
      <c r="H119" s="12">
        <v>4</v>
      </c>
      <c r="I119" s="12">
        <v>699.99</v>
      </c>
      <c r="J119" s="12" t="str">
        <v>Debit Card</v>
      </c>
      <c r="K119" s="12" t="str">
        <v>West</v>
      </c>
      <c r="L119" s="12" t="str">
        <v>Premium</v>
      </c>
      <c r="M119" s="12">
        <v>44692</v>
      </c>
      <c r="N119" s="16">
        <v>2799.96</v>
      </c>
    </row>
    <row r="120" spans="1:14" x14ac:dyDescent="0.3">
      <c r="A120" s="13" t="str">
        <v>TRX0069</v>
      </c>
      <c r="B120" s="12">
        <v>45688</v>
      </c>
      <c r="C120" s="12" t="str">
        <v>CUST029</v>
      </c>
      <c r="D120" s="12" t="str">
        <v>Edward Mitchell</v>
      </c>
      <c r="E120" s="12" t="str">
        <v>P010</v>
      </c>
      <c r="F120" s="12" t="str">
        <v>Keyboard</v>
      </c>
      <c r="G120" s="12" t="str">
        <v>Electronics</v>
      </c>
      <c r="H120" s="12">
        <v>2</v>
      </c>
      <c r="I120" s="12">
        <v>89.99</v>
      </c>
      <c r="J120" s="12" t="str">
        <v>Debit Card</v>
      </c>
      <c r="K120" s="12" t="str">
        <v>South</v>
      </c>
      <c r="L120" s="12" t="str">
        <v>Basic</v>
      </c>
      <c r="M120" s="12">
        <v>44777</v>
      </c>
      <c r="N120" s="16">
        <v>179.98</v>
      </c>
    </row>
    <row r="121" spans="1:14" x14ac:dyDescent="0.3">
      <c r="A121" s="13" t="str">
        <v>TRX0166</v>
      </c>
      <c r="B121" s="12">
        <v>45688</v>
      </c>
      <c r="C121" s="12" t="str">
        <v>CUST003</v>
      </c>
      <c r="D121" s="12" t="str">
        <v>Michael Brown</v>
      </c>
      <c r="E121" s="12" t="str">
        <v>P010</v>
      </c>
      <c r="F121" s="12" t="str">
        <v>Keyboard</v>
      </c>
      <c r="G121" s="12" t="str">
        <v>Electronics</v>
      </c>
      <c r="H121" s="12">
        <v>3</v>
      </c>
      <c r="I121" s="12">
        <v>89.99</v>
      </c>
      <c r="J121" s="12" t="str">
        <v>Debit Card</v>
      </c>
      <c r="K121" s="12" t="str">
        <v>South</v>
      </c>
      <c r="L121" s="12" t="str">
        <v>Premium</v>
      </c>
      <c r="M121" s="12">
        <v>45307</v>
      </c>
      <c r="N121" s="16">
        <v>269.97000000000003</v>
      </c>
    </row>
    <row r="122" spans="1:14" x14ac:dyDescent="0.3">
      <c r="A122" s="13" t="str">
        <v>TRX0196</v>
      </c>
      <c r="B122" s="12">
        <v>45704</v>
      </c>
      <c r="C122" s="12" t="str">
        <v>CUST023</v>
      </c>
      <c r="D122" s="12" t="str">
        <v>Paul Baker</v>
      </c>
      <c r="E122" s="12" t="str">
        <v>P010</v>
      </c>
      <c r="F122" s="12" t="str">
        <v>Keyboard</v>
      </c>
      <c r="G122" s="12" t="str">
        <v>Electronics</v>
      </c>
      <c r="H122" s="12">
        <v>2</v>
      </c>
      <c r="I122" s="12">
        <v>89.99</v>
      </c>
      <c r="J122" s="12" t="str">
        <v>PayPal</v>
      </c>
      <c r="K122" s="12" t="str">
        <v>Central</v>
      </c>
      <c r="L122" s="12" t="str">
        <v>Basic</v>
      </c>
      <c r="M122" s="12">
        <v>45257</v>
      </c>
      <c r="N122" s="16">
        <v>179.98</v>
      </c>
    </row>
    <row r="123" spans="1:14" x14ac:dyDescent="0.3">
      <c r="A123" s="13" t="str">
        <v>TRX0179</v>
      </c>
      <c r="B123" s="12">
        <v>45707</v>
      </c>
      <c r="C123" s="12" t="str">
        <v>CUST029</v>
      </c>
      <c r="D123" s="12" t="str">
        <v>Edward Mitchell</v>
      </c>
      <c r="E123" s="12" t="str">
        <v>P002</v>
      </c>
      <c r="F123" s="12" t="str">
        <v>Smartphone</v>
      </c>
      <c r="G123" s="12" t="str">
        <v>Electronics</v>
      </c>
      <c r="H123" s="12">
        <v>5</v>
      </c>
      <c r="I123" s="12">
        <v>699.99</v>
      </c>
      <c r="J123" s="12" t="str">
        <v>PayPal</v>
      </c>
      <c r="K123" s="12" t="str">
        <v>South</v>
      </c>
      <c r="L123" s="12" t="str">
        <v>Premium</v>
      </c>
      <c r="M123" s="12">
        <v>45352</v>
      </c>
      <c r="N123" s="16">
        <v>3499.95</v>
      </c>
    </row>
    <row r="124" spans="1:14" x14ac:dyDescent="0.3">
      <c r="A124" s="13" t="str">
        <v>TRX0214</v>
      </c>
      <c r="B124" s="12">
        <v>45708</v>
      </c>
      <c r="C124" s="12" t="str">
        <v>CUST018</v>
      </c>
      <c r="D124" s="12" t="str">
        <v>Barbara Young</v>
      </c>
      <c r="E124" s="12" t="str">
        <v>P001</v>
      </c>
      <c r="F124" s="12" t="str">
        <v>Laptop</v>
      </c>
      <c r="G124" s="12" t="str">
        <v>Electronics</v>
      </c>
      <c r="H124" s="12">
        <v>3</v>
      </c>
      <c r="I124" s="12">
        <v>899.99</v>
      </c>
      <c r="J124" s="12" t="str">
        <v>Cash</v>
      </c>
      <c r="K124" s="12" t="str">
        <v>East</v>
      </c>
      <c r="L124" s="12" t="str">
        <v>Standard</v>
      </c>
      <c r="M124" s="12">
        <v>44613</v>
      </c>
      <c r="N124" s="16">
        <v>2699.97</v>
      </c>
    </row>
    <row r="125" spans="1:14" x14ac:dyDescent="0.3">
      <c r="A125" s="13" t="str">
        <v>TRX0151</v>
      </c>
      <c r="B125" s="12">
        <v>45710</v>
      </c>
      <c r="C125" s="12" t="str">
        <v>CUST040</v>
      </c>
      <c r="D125" s="12" t="str">
        <v>Sharon Butler</v>
      </c>
      <c r="E125" s="12" t="str">
        <v>P002</v>
      </c>
      <c r="F125" s="12" t="str">
        <v>Smartphone</v>
      </c>
      <c r="G125" s="12" t="str">
        <v>Electronics</v>
      </c>
      <c r="H125" s="12">
        <v>1</v>
      </c>
      <c r="I125" s="12">
        <v>699.99</v>
      </c>
      <c r="J125" s="12" t="str">
        <v>PayPal</v>
      </c>
      <c r="K125" s="12" t="str">
        <v>West</v>
      </c>
      <c r="L125" s="12" t="str">
        <v>Basic</v>
      </c>
      <c r="M125" s="12">
        <v>44934</v>
      </c>
      <c r="N125" s="16">
        <v>699.99</v>
      </c>
    </row>
    <row r="126" spans="1:14" x14ac:dyDescent="0.3">
      <c r="A126" s="13" t="str">
        <v>TRX0047</v>
      </c>
      <c r="B126" s="12">
        <v>45711</v>
      </c>
      <c r="C126" s="12" t="str">
        <v>CUST042</v>
      </c>
      <c r="D126" s="12" t="str">
        <v>Ruth Brooks</v>
      </c>
      <c r="E126" s="12" t="str">
        <v>P002</v>
      </c>
      <c r="F126" s="12" t="str">
        <v>Smartphone</v>
      </c>
      <c r="G126" s="12" t="str">
        <v>Electronics</v>
      </c>
      <c r="H126" s="12">
        <v>1</v>
      </c>
      <c r="I126" s="12">
        <v>699.99</v>
      </c>
      <c r="J126" s="12" t="str">
        <v>Cash</v>
      </c>
      <c r="K126" s="12" t="str">
        <v>North</v>
      </c>
      <c r="L126" s="12" t="str">
        <v>Premium</v>
      </c>
      <c r="M126" s="12">
        <v>44583</v>
      </c>
      <c r="N126" s="16">
        <v>699.99</v>
      </c>
    </row>
    <row r="127" spans="1:14" x14ac:dyDescent="0.3">
      <c r="A127" s="13" t="str">
        <v>TRX0062</v>
      </c>
      <c r="B127" s="12">
        <v>45711</v>
      </c>
      <c r="C127" s="12" t="str">
        <v>CUST016</v>
      </c>
      <c r="D127" s="12" t="str">
        <v>Elizabeth Hall</v>
      </c>
      <c r="E127" s="12" t="str">
        <v>P010</v>
      </c>
      <c r="F127" s="12" t="str">
        <v>Keyboard</v>
      </c>
      <c r="G127" s="12" t="str">
        <v>Electronics</v>
      </c>
      <c r="H127" s="12">
        <v>5</v>
      </c>
      <c r="I127" s="12">
        <v>89.99</v>
      </c>
      <c r="J127" s="12" t="str">
        <v>PayPal</v>
      </c>
      <c r="K127" s="12" t="str">
        <v>West</v>
      </c>
      <c r="L127" s="12" t="str">
        <v>Premium</v>
      </c>
      <c r="M127" s="12">
        <v>45140</v>
      </c>
      <c r="N127" s="16">
        <v>449.95</v>
      </c>
    </row>
    <row r="128" spans="1:14" x14ac:dyDescent="0.3">
      <c r="A128" s="13" t="str">
        <v>TRX0226</v>
      </c>
      <c r="B128" s="12">
        <v>45720</v>
      </c>
      <c r="C128" s="12" t="str">
        <v>CUST039</v>
      </c>
      <c r="D128" s="12" t="str">
        <v>Lawrence Reed</v>
      </c>
      <c r="E128" s="12" t="str">
        <v>P002</v>
      </c>
      <c r="F128" s="12" t="str">
        <v>Smartphone</v>
      </c>
      <c r="G128" s="12" t="str">
        <v>Electronics</v>
      </c>
      <c r="H128" s="12">
        <v>5</v>
      </c>
      <c r="I128" s="12">
        <v>699.99</v>
      </c>
      <c r="J128" s="12" t="str">
        <v>Debit Card</v>
      </c>
      <c r="K128" s="12" t="str">
        <v>East</v>
      </c>
      <c r="L128" s="12" t="str">
        <v>Premium</v>
      </c>
      <c r="M128" s="12">
        <v>45161</v>
      </c>
      <c r="N128" s="16">
        <v>3499.95</v>
      </c>
    </row>
    <row r="129" spans="1:14" x14ac:dyDescent="0.3">
      <c r="A129" s="13" t="str">
        <v>TRX0233</v>
      </c>
      <c r="B129" s="12">
        <v>45723</v>
      </c>
      <c r="C129" s="12" t="str">
        <v>CUST023</v>
      </c>
      <c r="D129" s="12" t="str">
        <v>Paul Baker</v>
      </c>
      <c r="E129" s="12" t="str">
        <v>P010</v>
      </c>
      <c r="F129" s="12" t="str">
        <v>Keyboard</v>
      </c>
      <c r="G129" s="12" t="str">
        <v>Electronics</v>
      </c>
      <c r="H129" s="12">
        <v>2</v>
      </c>
      <c r="I129" s="12">
        <v>89.99</v>
      </c>
      <c r="J129" s="12" t="str">
        <v>Credit Card</v>
      </c>
      <c r="K129" s="12" t="str">
        <v>West</v>
      </c>
      <c r="L129" s="12" t="str">
        <v>Premium</v>
      </c>
      <c r="M129" s="12">
        <v>45295</v>
      </c>
      <c r="N129" s="16">
        <v>179.98</v>
      </c>
    </row>
    <row r="130" spans="1:14" x14ac:dyDescent="0.3">
      <c r="A130" s="13" t="str">
        <v>TRX0175</v>
      </c>
      <c r="B130" s="12">
        <v>45723</v>
      </c>
      <c r="C130" s="12" t="str">
        <v>CUST030</v>
      </c>
      <c r="D130" s="12" t="str">
        <v>Helen Roberts</v>
      </c>
      <c r="E130" s="12" t="str">
        <v>P009</v>
      </c>
      <c r="F130" s="12" t="str">
        <v>Monitor</v>
      </c>
      <c r="G130" s="12" t="str">
        <v>Electronics</v>
      </c>
      <c r="H130" s="12">
        <v>5</v>
      </c>
      <c r="I130" s="12">
        <v>249.99</v>
      </c>
      <c r="J130" s="12" t="str">
        <v>Cash</v>
      </c>
      <c r="K130" s="12" t="str">
        <v>East</v>
      </c>
      <c r="L130" s="12" t="str">
        <v>Standard</v>
      </c>
      <c r="M130" s="12">
        <v>44540</v>
      </c>
      <c r="N130" s="16">
        <v>1249.95</v>
      </c>
    </row>
    <row r="131" spans="1:14" x14ac:dyDescent="0.3">
      <c r="A131" s="13" t="str">
        <v>TRX0016</v>
      </c>
      <c r="B131" s="12">
        <v>45724</v>
      </c>
      <c r="C131" s="12" t="str">
        <v>CUST035</v>
      </c>
      <c r="D131" s="12" t="str">
        <v>Harry Morgan</v>
      </c>
      <c r="E131" s="12" t="str">
        <v>P001</v>
      </c>
      <c r="F131" s="12" t="str">
        <v>Laptop</v>
      </c>
      <c r="G131" s="12" t="str">
        <v>Electronics</v>
      </c>
      <c r="H131" s="12">
        <v>5</v>
      </c>
      <c r="I131" s="12">
        <v>899.99</v>
      </c>
      <c r="J131" s="12" t="str">
        <v>PayPal</v>
      </c>
      <c r="K131" s="12" t="str">
        <v>East</v>
      </c>
      <c r="L131" s="12" t="str">
        <v>Premium</v>
      </c>
      <c r="M131" s="12">
        <v>45389</v>
      </c>
      <c r="N131" s="16">
        <v>4499.95</v>
      </c>
    </row>
    <row r="132" spans="1:14" x14ac:dyDescent="0.3">
      <c r="A132" s="13" t="str">
        <v>TRX0038</v>
      </c>
      <c r="B132" s="12">
        <v>45726</v>
      </c>
      <c r="C132" s="12" t="str">
        <v>CUST035</v>
      </c>
      <c r="D132" s="12" t="str">
        <v>Harry Morgan</v>
      </c>
      <c r="E132" s="12" t="str">
        <v>P009</v>
      </c>
      <c r="F132" s="12" t="str">
        <v>Monitor</v>
      </c>
      <c r="G132" s="12" t="str">
        <v>Electronics</v>
      </c>
      <c r="H132" s="12">
        <v>1</v>
      </c>
      <c r="I132" s="12">
        <v>249.99</v>
      </c>
      <c r="J132" s="12" t="str">
        <v>Cash</v>
      </c>
      <c r="K132" s="12" t="str">
        <v>North</v>
      </c>
      <c r="L132" s="12" t="str">
        <v>Standard</v>
      </c>
      <c r="M132" s="12">
        <v>45117</v>
      </c>
      <c r="N132" s="16">
        <v>249.99</v>
      </c>
    </row>
    <row r="133" spans="1:14" x14ac:dyDescent="0.3">
      <c r="A133" s="13" t="str">
        <v>TRX0124</v>
      </c>
      <c r="B133" s="12">
        <v>45737</v>
      </c>
      <c r="C133" s="12" t="str">
        <v>CUST040</v>
      </c>
      <c r="D133" s="12" t="str">
        <v>Sharon Butler</v>
      </c>
      <c r="E133" s="12" t="str">
        <v>P001</v>
      </c>
      <c r="F133" s="12" t="str">
        <v>Laptop</v>
      </c>
      <c r="G133" s="12" t="str">
        <v>Electronics</v>
      </c>
      <c r="H133" s="12">
        <v>3</v>
      </c>
      <c r="I133" s="12">
        <v>899.99</v>
      </c>
      <c r="J133" s="12" t="str">
        <v>Debit Card</v>
      </c>
      <c r="K133" s="12" t="str">
        <v>North</v>
      </c>
      <c r="L133" s="12" t="str">
        <v>Premium</v>
      </c>
      <c r="M133" s="12">
        <v>44876</v>
      </c>
      <c r="N133" s="16">
        <v>2699.97</v>
      </c>
    </row>
    <row r="134" spans="1:14" x14ac:dyDescent="0.3">
      <c r="A134" s="13" t="str">
        <v>TRX0013</v>
      </c>
      <c r="B134" s="12">
        <v>45737</v>
      </c>
      <c r="C134" s="12" t="str">
        <v>CUST024</v>
      </c>
      <c r="D134" s="12" t="str">
        <v>Dorothy Nelson</v>
      </c>
      <c r="E134" s="12" t="str">
        <v>P001</v>
      </c>
      <c r="F134" s="12" t="str">
        <v>Laptop</v>
      </c>
      <c r="G134" s="12" t="str">
        <v>Electronics</v>
      </c>
      <c r="H134" s="12">
        <v>3</v>
      </c>
      <c r="I134" s="12">
        <v>899.99</v>
      </c>
      <c r="J134" s="12" t="str">
        <v>PayPal</v>
      </c>
      <c r="K134" s="12" t="str">
        <v>North</v>
      </c>
      <c r="L134" s="12" t="str">
        <v>Basic</v>
      </c>
      <c r="M134" s="12">
        <v>44975</v>
      </c>
      <c r="N134" s="16">
        <v>2699.97</v>
      </c>
    </row>
    <row r="135" spans="1:14" x14ac:dyDescent="0.3">
      <c r="A135" s="13" t="str">
        <v>TRX0213</v>
      </c>
      <c r="B135" s="12">
        <v>45745</v>
      </c>
      <c r="C135" s="12" t="str">
        <v>CUST020</v>
      </c>
      <c r="D135" s="12" t="str">
        <v>Margaret Wright</v>
      </c>
      <c r="E135" s="12" t="str">
        <v>P010</v>
      </c>
      <c r="F135" s="12" t="str">
        <v>Keyboard</v>
      </c>
      <c r="G135" s="12" t="str">
        <v>Electronics</v>
      </c>
      <c r="H135" s="12">
        <v>5</v>
      </c>
      <c r="I135" s="12">
        <v>89.99</v>
      </c>
      <c r="J135" s="12" t="str">
        <v>PayPal</v>
      </c>
      <c r="K135" s="12" t="str">
        <v>South</v>
      </c>
      <c r="L135" s="12" t="str">
        <v>Basic</v>
      </c>
      <c r="M135" s="12">
        <v>44704</v>
      </c>
      <c r="N135" s="16">
        <v>449.95</v>
      </c>
    </row>
    <row r="136" spans="1:14" x14ac:dyDescent="0.3">
      <c r="A136" s="13" t="str">
        <v>TRX0250</v>
      </c>
      <c r="B136" s="12">
        <v>45746</v>
      </c>
      <c r="C136" s="12" t="str">
        <v>CUST026</v>
      </c>
      <c r="D136" s="12" t="str">
        <v>Karen Hill</v>
      </c>
      <c r="E136" s="12" t="str">
        <v>P010</v>
      </c>
      <c r="F136" s="12" t="str">
        <v>Keyboard</v>
      </c>
      <c r="G136" s="12" t="str">
        <v>Electronics</v>
      </c>
      <c r="H136" s="12">
        <v>2</v>
      </c>
      <c r="I136" s="12">
        <v>89.99</v>
      </c>
      <c r="J136" s="12" t="str">
        <v>Debit Card</v>
      </c>
      <c r="K136" s="12" t="str">
        <v>West</v>
      </c>
      <c r="L136" s="12" t="str">
        <v>Premium</v>
      </c>
      <c r="M136" s="12">
        <v>44522</v>
      </c>
      <c r="N136" s="16">
        <v>179.98</v>
      </c>
    </row>
    <row r="137" spans="1:14" x14ac:dyDescent="0.3">
      <c r="A137" s="13" t="str">
        <v>TRX0068</v>
      </c>
      <c r="B137" s="12">
        <v>45748</v>
      </c>
      <c r="C137" s="12" t="str">
        <v>CUST044</v>
      </c>
      <c r="D137" s="12" t="str">
        <v>Cynthia Price</v>
      </c>
      <c r="E137" s="12" t="str">
        <v>P002</v>
      </c>
      <c r="F137" s="12" t="str">
        <v>Smartphone</v>
      </c>
      <c r="G137" s="12" t="str">
        <v>Electronics</v>
      </c>
      <c r="H137" s="12">
        <v>2</v>
      </c>
      <c r="I137" s="12">
        <v>699.99</v>
      </c>
      <c r="J137" s="12" t="str">
        <v>PayPal</v>
      </c>
      <c r="K137" s="12" t="str">
        <v>North</v>
      </c>
      <c r="L137" s="12" t="str">
        <v>Standard</v>
      </c>
      <c r="M137" s="12">
        <v>44618</v>
      </c>
      <c r="N137" s="16">
        <v>1399.98</v>
      </c>
    </row>
    <row r="138" spans="1:14" x14ac:dyDescent="0.3">
      <c r="A138" s="13" t="str">
        <v>TRX0144</v>
      </c>
      <c r="B138" s="12">
        <v>45749</v>
      </c>
      <c r="C138" s="12" t="str">
        <v>CUST029</v>
      </c>
      <c r="D138" s="12" t="str">
        <v>Edward Mitchell</v>
      </c>
      <c r="E138" s="12" t="str">
        <v>P001</v>
      </c>
      <c r="F138" s="12" t="str">
        <v>Laptop</v>
      </c>
      <c r="G138" s="12" t="str">
        <v>Electronics</v>
      </c>
      <c r="H138" s="12">
        <v>3</v>
      </c>
      <c r="I138" s="12">
        <v>899.99</v>
      </c>
      <c r="J138" s="12" t="str">
        <v>Cash</v>
      </c>
      <c r="K138" s="12" t="str">
        <v>Central</v>
      </c>
      <c r="L138" s="12" t="str">
        <v>Standard</v>
      </c>
      <c r="M138" s="12">
        <v>44953</v>
      </c>
      <c r="N138" s="16">
        <v>2699.97</v>
      </c>
    </row>
    <row r="139" spans="1:14" x14ac:dyDescent="0.3">
      <c r="A139" s="13" t="str">
        <v>TRX0116</v>
      </c>
      <c r="B139" s="12">
        <v>45756</v>
      </c>
      <c r="C139" s="12" t="str">
        <v>CUST009</v>
      </c>
      <c r="D139" s="12" t="str">
        <v>Robert Thomas</v>
      </c>
      <c r="E139" s="12" t="str">
        <v>P010</v>
      </c>
      <c r="F139" s="12" t="str">
        <v>Keyboard</v>
      </c>
      <c r="G139" s="12" t="str">
        <v>Electronics</v>
      </c>
      <c r="H139" s="12">
        <v>1</v>
      </c>
      <c r="I139" s="12">
        <v>89.99</v>
      </c>
      <c r="J139" s="12" t="str">
        <v>Debit Card</v>
      </c>
      <c r="K139" s="12" t="str">
        <v>East</v>
      </c>
      <c r="L139" s="12" t="str">
        <v>Basic</v>
      </c>
      <c r="M139" s="12">
        <v>45346</v>
      </c>
      <c r="N139" s="16">
        <v>89.99</v>
      </c>
    </row>
    <row r="140" spans="1:14" x14ac:dyDescent="0.3">
      <c r="A140" s="13" t="str">
        <v>TRX0120</v>
      </c>
      <c r="B140" s="12">
        <v>45758</v>
      </c>
      <c r="C140" s="12" t="str">
        <v>CUST045</v>
      </c>
      <c r="D140" s="12" t="str">
        <v>Douglas Watson</v>
      </c>
      <c r="E140" s="12" t="str">
        <v>P002</v>
      </c>
      <c r="F140" s="12" t="str">
        <v>Smartphone</v>
      </c>
      <c r="G140" s="12" t="str">
        <v>Electronics</v>
      </c>
      <c r="H140" s="12">
        <v>3</v>
      </c>
      <c r="I140" s="12">
        <v>699.99</v>
      </c>
      <c r="J140" s="12" t="str">
        <v>PayPal</v>
      </c>
      <c r="K140" s="12" t="str">
        <v>North</v>
      </c>
      <c r="L140" s="12" t="str">
        <v>Basic</v>
      </c>
      <c r="M140" s="12">
        <v>44909</v>
      </c>
      <c r="N140" s="16">
        <v>2099.9699999999998</v>
      </c>
    </row>
    <row r="141" spans="1:14" x14ac:dyDescent="0.3">
      <c r="A141" s="13" t="str">
        <v>TRX0103</v>
      </c>
      <c r="B141" s="12">
        <v>45758</v>
      </c>
      <c r="C141" s="12" t="str">
        <v>CUST039</v>
      </c>
      <c r="D141" s="12" t="str">
        <v>Lawrence Reed</v>
      </c>
      <c r="E141" s="12" t="str">
        <v>P010</v>
      </c>
      <c r="F141" s="12" t="str">
        <v>Keyboard</v>
      </c>
      <c r="G141" s="12" t="str">
        <v>Electronics</v>
      </c>
      <c r="H141" s="12">
        <v>2</v>
      </c>
      <c r="I141" s="12">
        <v>89.99</v>
      </c>
      <c r="J141" s="12" t="str">
        <v>Debit Card</v>
      </c>
      <c r="K141" s="12" t="str">
        <v>East</v>
      </c>
      <c r="L141" s="12" t="str">
        <v>Basic</v>
      </c>
      <c r="M141" s="12">
        <v>45088</v>
      </c>
      <c r="N141" s="16">
        <v>179.98</v>
      </c>
    </row>
    <row r="142" spans="1:14" ht="15" thickBot="1" x14ac:dyDescent="0.35">
      <c r="A142" s="17" t="str">
        <v>TRX0064</v>
      </c>
      <c r="B142" s="22">
        <v>45758</v>
      </c>
      <c r="C142" s="22" t="str">
        <v>CUST031</v>
      </c>
      <c r="D142" s="22" t="str">
        <v>Steven Turner</v>
      </c>
      <c r="E142" s="22" t="str">
        <v>P010</v>
      </c>
      <c r="F142" s="22" t="str">
        <v>Keyboard</v>
      </c>
      <c r="G142" s="22" t="str">
        <v>Electronics</v>
      </c>
      <c r="H142" s="22">
        <v>3</v>
      </c>
      <c r="I142" s="22">
        <v>89.99</v>
      </c>
      <c r="J142" s="22" t="str">
        <v>Debit Card</v>
      </c>
      <c r="K142" s="22" t="str">
        <v>North</v>
      </c>
      <c r="L142" s="22" t="str">
        <v>Premium</v>
      </c>
      <c r="M142" s="22">
        <v>44878</v>
      </c>
      <c r="N142" s="18">
        <v>269.97000000000003</v>
      </c>
    </row>
    <row r="143" spans="1:14" ht="15" thickBot="1" x14ac:dyDescent="0.35"/>
    <row r="144" spans="1:14" ht="18.600000000000001" thickBot="1" x14ac:dyDescent="0.4">
      <c r="A144" s="58" t="s">
        <v>408</v>
      </c>
      <c r="B144" s="60"/>
      <c r="C144" s="60"/>
      <c r="D144" s="59"/>
    </row>
    <row r="145" spans="1:4" ht="15" thickBot="1" x14ac:dyDescent="0.35"/>
    <row r="146" spans="1:4" ht="15" thickBot="1" x14ac:dyDescent="0.35">
      <c r="A146" s="26" t="s">
        <v>0</v>
      </c>
      <c r="B146" s="27" t="s">
        <v>3</v>
      </c>
      <c r="C146" s="27" t="s">
        <v>5</v>
      </c>
      <c r="D146" s="28" t="s">
        <v>13</v>
      </c>
    </row>
    <row r="147" spans="1:4" x14ac:dyDescent="0.3">
      <c r="A147" s="23" t="str">
        <f>DataSet!A2</f>
        <v>TRX0155</v>
      </c>
      <c r="B147" s="24" t="str">
        <f>DataSet!D2</f>
        <v>Paul Baker</v>
      </c>
      <c r="C147" s="24" t="str">
        <f>DataSet!F2</f>
        <v>Monitor</v>
      </c>
      <c r="D147" s="25">
        <f>DataSet!N2</f>
        <v>749.97</v>
      </c>
    </row>
    <row r="148" spans="1:4" x14ac:dyDescent="0.3">
      <c r="A148" s="13" t="str">
        <f>DataSet!A3</f>
        <v>TRX0023</v>
      </c>
      <c r="B148" s="12" t="str">
        <f>DataSet!D3</f>
        <v>Joseph Jackson</v>
      </c>
      <c r="C148" s="12" t="str">
        <f>DataSet!F3</f>
        <v>Monitor</v>
      </c>
      <c r="D148" s="16">
        <f>DataSet!N3</f>
        <v>749.97</v>
      </c>
    </row>
    <row r="149" spans="1:4" x14ac:dyDescent="0.3">
      <c r="A149" s="13" t="str">
        <f>DataSet!A4</f>
        <v>TRX0139</v>
      </c>
      <c r="B149" s="12" t="str">
        <f>DataSet!D4</f>
        <v>Kevin Scott</v>
      </c>
      <c r="C149" s="12" t="str">
        <f>DataSet!F4</f>
        <v>Blender</v>
      </c>
      <c r="D149" s="16">
        <f>DataSet!N4</f>
        <v>179.97</v>
      </c>
    </row>
    <row r="150" spans="1:4" x14ac:dyDescent="0.3">
      <c r="A150" s="13" t="str">
        <f>DataSet!A5</f>
        <v>TRX0043</v>
      </c>
      <c r="B150" s="12" t="str">
        <f>DataSet!D5</f>
        <v>Kathleen Bennett</v>
      </c>
      <c r="C150" s="12" t="str">
        <f>DataSet!F5</f>
        <v>Blender</v>
      </c>
      <c r="D150" s="16">
        <f>DataSet!N5</f>
        <v>179.97</v>
      </c>
    </row>
    <row r="151" spans="1:4" x14ac:dyDescent="0.3">
      <c r="A151" s="13" t="str">
        <f>DataSet!A6</f>
        <v>TRX0212</v>
      </c>
      <c r="B151" s="12" t="str">
        <f>DataSet!D6</f>
        <v>Michael Brown</v>
      </c>
      <c r="C151" s="12" t="str">
        <f>DataSet!F6</f>
        <v>Bookshelf</v>
      </c>
      <c r="D151" s="16">
        <f>DataSet!N6</f>
        <v>749.95</v>
      </c>
    </row>
    <row r="152" spans="1:4" x14ac:dyDescent="0.3">
      <c r="A152" s="13" t="str">
        <f>DataSet!A7</f>
        <v>TRX0092</v>
      </c>
      <c r="B152" s="12" t="str">
        <f>DataSet!D7</f>
        <v>Dorothy Nelson</v>
      </c>
      <c r="C152" s="12" t="str">
        <f>DataSet!F7</f>
        <v>Blender</v>
      </c>
      <c r="D152" s="16">
        <f>DataSet!N7</f>
        <v>119.98</v>
      </c>
    </row>
    <row r="153" spans="1:4" x14ac:dyDescent="0.3">
      <c r="A153" s="13" t="str">
        <f>DataSet!A8</f>
        <v>TRX0193</v>
      </c>
      <c r="B153" s="12" t="str">
        <f>DataSet!D8</f>
        <v>Dorothy Nelson</v>
      </c>
      <c r="C153" s="12" t="str">
        <f>DataSet!F8</f>
        <v>Headphones</v>
      </c>
      <c r="D153" s="16">
        <f>DataSet!N8</f>
        <v>749.95</v>
      </c>
    </row>
    <row r="154" spans="1:4" x14ac:dyDescent="0.3">
      <c r="A154" s="13" t="str">
        <f>DataSet!A9</f>
        <v>TRX0240</v>
      </c>
      <c r="B154" s="12" t="str">
        <f>DataSet!D9</f>
        <v>Charles Allen</v>
      </c>
      <c r="C154" s="12" t="str">
        <f>DataSet!F9</f>
        <v>Blender</v>
      </c>
      <c r="D154" s="16">
        <f>DataSet!N9</f>
        <v>179.97</v>
      </c>
    </row>
    <row r="155" spans="1:4" x14ac:dyDescent="0.3">
      <c r="A155" s="13" t="str">
        <f>DataSet!A10</f>
        <v>TRX0135</v>
      </c>
      <c r="B155" s="12" t="str">
        <f>DataSet!D10</f>
        <v>Robert Thomas</v>
      </c>
      <c r="C155" s="12" t="str">
        <f>DataSet!F10</f>
        <v>Laptop</v>
      </c>
      <c r="D155" s="16">
        <f>DataSet!N10</f>
        <v>2699.97</v>
      </c>
    </row>
    <row r="156" spans="1:4" x14ac:dyDescent="0.3">
      <c r="A156" s="13" t="str">
        <f>DataSet!A11</f>
        <v>TRX0185</v>
      </c>
      <c r="B156" s="12" t="str">
        <f>DataSet!D11</f>
        <v>Karen Hill</v>
      </c>
      <c r="C156" s="12" t="str">
        <f>DataSet!F11</f>
        <v>Blender</v>
      </c>
      <c r="D156" s="16">
        <f>DataSet!N11</f>
        <v>179.97</v>
      </c>
    </row>
    <row r="157" spans="1:4" x14ac:dyDescent="0.3">
      <c r="A157" s="13" t="str">
        <f>DataSet!A12</f>
        <v>TRX0138</v>
      </c>
      <c r="B157" s="12" t="str">
        <f>DataSet!D12</f>
        <v>Susan Green</v>
      </c>
      <c r="C157" s="12" t="str">
        <f>DataSet!F12</f>
        <v>Bookshelf</v>
      </c>
      <c r="D157" s="16">
        <f>DataSet!N12</f>
        <v>149.99</v>
      </c>
    </row>
    <row r="158" spans="1:4" x14ac:dyDescent="0.3">
      <c r="A158" s="13" t="str">
        <f>DataSet!A13</f>
        <v>TRX0209</v>
      </c>
      <c r="B158" s="12" t="str">
        <f>DataSet!D13</f>
        <v>Kathleen Bennett</v>
      </c>
      <c r="C158" s="12" t="str">
        <f>DataSet!F13</f>
        <v>Bookshelf</v>
      </c>
      <c r="D158" s="16">
        <f>DataSet!N13</f>
        <v>749.95</v>
      </c>
    </row>
    <row r="159" spans="1:4" x14ac:dyDescent="0.3">
      <c r="A159" s="13" t="str">
        <f>DataSet!A14</f>
        <v>TRX0246</v>
      </c>
      <c r="B159" s="12" t="str">
        <f>DataSet!D14</f>
        <v>Peter Richardson</v>
      </c>
      <c r="C159" s="12" t="str">
        <f>DataSet!F14</f>
        <v>Bookshelf</v>
      </c>
      <c r="D159" s="16">
        <f>DataSet!N14</f>
        <v>449.97</v>
      </c>
    </row>
    <row r="160" spans="1:4" x14ac:dyDescent="0.3">
      <c r="A160" s="13" t="str">
        <f>DataSet!A15</f>
        <v>TRX0067</v>
      </c>
      <c r="B160" s="12" t="str">
        <f>DataSet!D15</f>
        <v>Dennis Gray</v>
      </c>
      <c r="C160" s="12" t="str">
        <f>DataSet!F15</f>
        <v>Blender</v>
      </c>
      <c r="D160" s="16">
        <f>DataSet!N15</f>
        <v>179.97</v>
      </c>
    </row>
    <row r="161" spans="1:4" x14ac:dyDescent="0.3">
      <c r="A161" s="13" t="str">
        <f>DataSet!A16</f>
        <v>TRX0191</v>
      </c>
      <c r="B161" s="12" t="str">
        <f>DataSet!D16</f>
        <v>Michelle Rogers</v>
      </c>
      <c r="C161" s="12" t="str">
        <f>DataSet!F16</f>
        <v>Smartphone</v>
      </c>
      <c r="D161" s="16">
        <f>DataSet!N16</f>
        <v>2099.9699999999998</v>
      </c>
    </row>
    <row r="162" spans="1:4" x14ac:dyDescent="0.3">
      <c r="A162" s="13" t="str">
        <f>DataSet!A17</f>
        <v>TRX0230</v>
      </c>
      <c r="B162" s="12" t="str">
        <f>DataSet!D17</f>
        <v>George Adams</v>
      </c>
      <c r="C162" s="12" t="str">
        <f>DataSet!F17</f>
        <v>Laptop</v>
      </c>
      <c r="D162" s="16">
        <f>DataSet!N17</f>
        <v>899.99</v>
      </c>
    </row>
    <row r="163" spans="1:4" x14ac:dyDescent="0.3">
      <c r="A163" s="13" t="str">
        <f>DataSet!A18</f>
        <v>TRX0049</v>
      </c>
      <c r="B163" s="12" t="str">
        <f>DataSet!D18</f>
        <v>Mark Carter</v>
      </c>
      <c r="C163" s="12" t="str">
        <f>DataSet!F18</f>
        <v>Bookshelf</v>
      </c>
      <c r="D163" s="16">
        <f>DataSet!N18</f>
        <v>599.96</v>
      </c>
    </row>
    <row r="164" spans="1:4" x14ac:dyDescent="0.3">
      <c r="A164" s="13" t="str">
        <f>DataSet!A19</f>
        <v>TRX0134</v>
      </c>
      <c r="B164" s="12" t="str">
        <f>DataSet!D19</f>
        <v>Maria Garcia</v>
      </c>
      <c r="C164" s="12" t="str">
        <f>DataSet!F19</f>
        <v>Smartphone</v>
      </c>
      <c r="D164" s="16">
        <f>DataSet!N19</f>
        <v>1399.98</v>
      </c>
    </row>
    <row r="165" spans="1:4" x14ac:dyDescent="0.3">
      <c r="A165" s="13" t="str">
        <f>DataSet!A20</f>
        <v>TRX0122</v>
      </c>
      <c r="B165" s="12" t="str">
        <f>DataSet!D20</f>
        <v>Mark Carter</v>
      </c>
      <c r="C165" s="12" t="str">
        <f>DataSet!F20</f>
        <v>Laptop</v>
      </c>
      <c r="D165" s="16">
        <f>DataSet!N20</f>
        <v>3599.96</v>
      </c>
    </row>
    <row r="166" spans="1:4" x14ac:dyDescent="0.3">
      <c r="A166" s="13" t="str">
        <f>DataSet!A21</f>
        <v>TRX0222</v>
      </c>
      <c r="B166" s="12" t="str">
        <f>DataSet!D21</f>
        <v>Virginia Sanders</v>
      </c>
      <c r="C166" s="12" t="str">
        <f>DataSet!F21</f>
        <v>Monitor</v>
      </c>
      <c r="D166" s="16">
        <f>DataSet!N21</f>
        <v>749.97</v>
      </c>
    </row>
    <row r="167" spans="1:4" x14ac:dyDescent="0.3">
      <c r="A167" s="13" t="str">
        <f>DataSet!A22</f>
        <v>TRX0231</v>
      </c>
      <c r="B167" s="12" t="str">
        <f>DataSet!D22</f>
        <v>Barbara Young</v>
      </c>
      <c r="C167" s="12" t="str">
        <f>DataSet!F22</f>
        <v>Smartphone</v>
      </c>
      <c r="D167" s="16">
        <f>DataSet!N22</f>
        <v>3499.95</v>
      </c>
    </row>
    <row r="168" spans="1:4" x14ac:dyDescent="0.3">
      <c r="A168" s="13" t="str">
        <f>DataSet!A23</f>
        <v>TRX0239</v>
      </c>
      <c r="B168" s="12" t="str">
        <f>DataSet!D23</f>
        <v>Patricia Moore</v>
      </c>
      <c r="C168" s="12" t="str">
        <f>DataSet!F23</f>
        <v>Smartphone</v>
      </c>
      <c r="D168" s="16">
        <f>DataSet!N23</f>
        <v>2799.96</v>
      </c>
    </row>
    <row r="169" spans="1:4" x14ac:dyDescent="0.3">
      <c r="A169" s="13" t="str">
        <f>DataSet!A24</f>
        <v>TRX0204</v>
      </c>
      <c r="B169" s="12" t="str">
        <f>DataSet!D24</f>
        <v>Cynthia Price</v>
      </c>
      <c r="C169" s="12" t="str">
        <f>DataSet!F24</f>
        <v>Monitor</v>
      </c>
      <c r="D169" s="16">
        <f>DataSet!N24</f>
        <v>999.96</v>
      </c>
    </row>
    <row r="170" spans="1:4" x14ac:dyDescent="0.3">
      <c r="A170" s="13" t="str">
        <f>DataSet!A25</f>
        <v>TRX0242</v>
      </c>
      <c r="B170" s="12" t="str">
        <f>DataSet!D25</f>
        <v>Mark Carter</v>
      </c>
      <c r="C170" s="12" t="str">
        <f>DataSet!F25</f>
        <v>Desk</v>
      </c>
      <c r="D170" s="16">
        <f>DataSet!N25</f>
        <v>1199.96</v>
      </c>
    </row>
    <row r="171" spans="1:4" x14ac:dyDescent="0.3">
      <c r="A171" s="13" t="str">
        <f>DataSet!A26</f>
        <v>TRX0071</v>
      </c>
      <c r="B171" s="12" t="str">
        <f>DataSet!D26</f>
        <v>Nancy Collins</v>
      </c>
      <c r="C171" s="12" t="str">
        <f>DataSet!F26</f>
        <v>Monitor</v>
      </c>
      <c r="D171" s="16">
        <f>DataSet!N26</f>
        <v>1249.95</v>
      </c>
    </row>
    <row r="172" spans="1:4" x14ac:dyDescent="0.3">
      <c r="A172" s="13" t="str">
        <f>DataSet!A27</f>
        <v>TRX0040</v>
      </c>
      <c r="B172" s="12" t="str">
        <f>DataSet!D27</f>
        <v>Susan Green</v>
      </c>
      <c r="C172" s="12" t="str">
        <f>DataSet!F27</f>
        <v>Desk</v>
      </c>
      <c r="D172" s="16">
        <f>DataSet!N27</f>
        <v>1499.95</v>
      </c>
    </row>
    <row r="173" spans="1:4" x14ac:dyDescent="0.3">
      <c r="A173" s="13" t="str">
        <f>DataSet!A28</f>
        <v>TRX0235</v>
      </c>
      <c r="B173" s="12" t="str">
        <f>DataSet!D28</f>
        <v>Linda Martin</v>
      </c>
      <c r="C173" s="12" t="str">
        <f>DataSet!F28</f>
        <v>Coffee Maker</v>
      </c>
      <c r="D173" s="16">
        <f>DataSet!N28</f>
        <v>239.97</v>
      </c>
    </row>
    <row r="174" spans="1:4" x14ac:dyDescent="0.3">
      <c r="A174" s="13" t="str">
        <f>DataSet!A29</f>
        <v>TRX0004</v>
      </c>
      <c r="B174" s="12" t="str">
        <f>DataSet!D29</f>
        <v>Patricia Moore</v>
      </c>
      <c r="C174" s="12" t="str">
        <f>DataSet!F29</f>
        <v>Keyboard</v>
      </c>
      <c r="D174" s="16">
        <f>DataSet!N29</f>
        <v>449.95</v>
      </c>
    </row>
    <row r="175" spans="1:4" x14ac:dyDescent="0.3">
      <c r="A175" s="13" t="str">
        <f>DataSet!A30</f>
        <v>TRX0063</v>
      </c>
      <c r="B175" s="12" t="str">
        <f>DataSet!D30</f>
        <v>Helen Roberts</v>
      </c>
      <c r="C175" s="12" t="str">
        <f>DataSet!F30</f>
        <v>Blender</v>
      </c>
      <c r="D175" s="16">
        <f>DataSet!N30</f>
        <v>119.98</v>
      </c>
    </row>
    <row r="176" spans="1:4" x14ac:dyDescent="0.3">
      <c r="A176" s="13" t="str">
        <f>DataSet!A31</f>
        <v>TRX0241</v>
      </c>
      <c r="B176" s="12" t="str">
        <f>DataSet!D31</f>
        <v>Edward Mitchell</v>
      </c>
      <c r="C176" s="12" t="str">
        <f>DataSet!F31</f>
        <v>Blender</v>
      </c>
      <c r="D176" s="16">
        <f>DataSet!N31</f>
        <v>239.96</v>
      </c>
    </row>
    <row r="177" spans="1:4" x14ac:dyDescent="0.3">
      <c r="A177" s="13" t="str">
        <f>DataSet!A32</f>
        <v>TRX0029</v>
      </c>
      <c r="B177" s="12" t="str">
        <f>DataSet!D32</f>
        <v>Charles Allen</v>
      </c>
      <c r="C177" s="12" t="str">
        <f>DataSet!F32</f>
        <v>Office Chair</v>
      </c>
      <c r="D177" s="16">
        <f>DataSet!N32</f>
        <v>999.95</v>
      </c>
    </row>
    <row r="178" spans="1:4" x14ac:dyDescent="0.3">
      <c r="A178" s="13" t="str">
        <f>DataSet!A33</f>
        <v>TRX0194</v>
      </c>
      <c r="B178" s="12" t="str">
        <f>DataSet!D33</f>
        <v>Lisa Anderson</v>
      </c>
      <c r="C178" s="12" t="str">
        <f>DataSet!F33</f>
        <v>Bookshelf</v>
      </c>
      <c r="D178" s="16">
        <f>DataSet!N33</f>
        <v>299.98</v>
      </c>
    </row>
    <row r="179" spans="1:4" x14ac:dyDescent="0.3">
      <c r="A179" s="13" t="str">
        <f>DataSet!A34</f>
        <v>TRX0130</v>
      </c>
      <c r="B179" s="12" t="str">
        <f>DataSet!D34</f>
        <v>Emma Wilson</v>
      </c>
      <c r="C179" s="12" t="str">
        <f>DataSet!F34</f>
        <v>Bookshelf</v>
      </c>
      <c r="D179" s="16">
        <f>DataSet!N34</f>
        <v>449.97</v>
      </c>
    </row>
    <row r="180" spans="1:4" x14ac:dyDescent="0.3">
      <c r="A180" s="13" t="str">
        <f>DataSet!A35</f>
        <v>TRX0041</v>
      </c>
      <c r="B180" s="12" t="str">
        <f>DataSet!D35</f>
        <v>Kevin Scott</v>
      </c>
      <c r="C180" s="12" t="str">
        <f>DataSet!F35</f>
        <v>Laptop</v>
      </c>
      <c r="D180" s="16">
        <f>DataSet!N35</f>
        <v>899.99</v>
      </c>
    </row>
    <row r="181" spans="1:4" x14ac:dyDescent="0.3">
      <c r="A181" s="13" t="str">
        <f>DataSet!A36</f>
        <v>TRX0232</v>
      </c>
      <c r="B181" s="12" t="str">
        <f>DataSet!D36</f>
        <v>Patricia Moore</v>
      </c>
      <c r="C181" s="12" t="str">
        <f>DataSet!F36</f>
        <v>Desk</v>
      </c>
      <c r="D181" s="16">
        <f>DataSet!N36</f>
        <v>899.97</v>
      </c>
    </row>
    <row r="182" spans="1:4" x14ac:dyDescent="0.3">
      <c r="A182" s="13" t="str">
        <f>DataSet!A37</f>
        <v>TRX0021</v>
      </c>
      <c r="B182" s="12" t="str">
        <f>DataSet!D37</f>
        <v>Lisa Anderson</v>
      </c>
      <c r="C182" s="12" t="str">
        <f>DataSet!F37</f>
        <v>Coffee Maker</v>
      </c>
      <c r="D182" s="16">
        <f>DataSet!N37</f>
        <v>239.97</v>
      </c>
    </row>
    <row r="183" spans="1:4" x14ac:dyDescent="0.3">
      <c r="A183" s="13" t="str">
        <f>DataSet!A38</f>
        <v>TRX0245</v>
      </c>
      <c r="B183" s="12" t="str">
        <f>DataSet!D38</f>
        <v>Steven Turner</v>
      </c>
      <c r="C183" s="12" t="str">
        <f>DataSet!F38</f>
        <v>Office Chair</v>
      </c>
      <c r="D183" s="16">
        <f>DataSet!N38</f>
        <v>599.97</v>
      </c>
    </row>
    <row r="184" spans="1:4" x14ac:dyDescent="0.3">
      <c r="A184" s="13" t="str">
        <f>DataSet!A39</f>
        <v>TRX0015</v>
      </c>
      <c r="B184" s="12" t="str">
        <f>DataSet!D39</f>
        <v>Jennifer Taylor</v>
      </c>
      <c r="C184" s="12" t="str">
        <f>DataSet!F39</f>
        <v>Smartphone</v>
      </c>
      <c r="D184" s="16">
        <f>DataSet!N39</f>
        <v>3499.95</v>
      </c>
    </row>
    <row r="185" spans="1:4" x14ac:dyDescent="0.3">
      <c r="A185" s="13" t="str">
        <f>DataSet!A40</f>
        <v>TRX0202</v>
      </c>
      <c r="B185" s="12" t="str">
        <f>DataSet!D40</f>
        <v>Harry Morgan</v>
      </c>
      <c r="C185" s="12" t="str">
        <f>DataSet!F40</f>
        <v>Keyboard</v>
      </c>
      <c r="D185" s="16">
        <f>DataSet!N40</f>
        <v>269.97000000000003</v>
      </c>
    </row>
    <row r="186" spans="1:4" x14ac:dyDescent="0.3">
      <c r="A186" s="13" t="str">
        <f>DataSet!A41</f>
        <v>TRX0042</v>
      </c>
      <c r="B186" s="12" t="str">
        <f>DataSet!D41</f>
        <v>Daniel King</v>
      </c>
      <c r="C186" s="12" t="str">
        <f>DataSet!F41</f>
        <v>Coffee Maker</v>
      </c>
      <c r="D186" s="16">
        <f>DataSet!N41</f>
        <v>79.989999999999995</v>
      </c>
    </row>
    <row r="187" spans="1:4" x14ac:dyDescent="0.3">
      <c r="A187" s="13" t="str">
        <f>DataSet!A42</f>
        <v>TRX0128</v>
      </c>
      <c r="B187" s="12" t="str">
        <f>DataSet!D42</f>
        <v>Sharon Butler</v>
      </c>
      <c r="C187" s="12" t="str">
        <f>DataSet!F42</f>
        <v>Blender</v>
      </c>
      <c r="D187" s="16">
        <f>DataSet!N42</f>
        <v>119.98</v>
      </c>
    </row>
    <row r="188" spans="1:4" x14ac:dyDescent="0.3">
      <c r="A188" s="13" t="str">
        <f>DataSet!A43</f>
        <v>TRX0117</v>
      </c>
      <c r="B188" s="12" t="str">
        <f>DataSet!D43</f>
        <v>Charles Allen</v>
      </c>
      <c r="C188" s="12" t="str">
        <f>DataSet!F43</f>
        <v>Keyboard</v>
      </c>
      <c r="D188" s="16">
        <f>DataSet!N43</f>
        <v>89.99</v>
      </c>
    </row>
    <row r="189" spans="1:4" x14ac:dyDescent="0.3">
      <c r="A189" s="13" t="str">
        <f>DataSet!A44</f>
        <v>TRX0208</v>
      </c>
      <c r="B189" s="12" t="str">
        <f>DataSet!D44</f>
        <v>Sarah Davis</v>
      </c>
      <c r="C189" s="12" t="str">
        <f>DataSet!F44</f>
        <v>Keyboard</v>
      </c>
      <c r="D189" s="16">
        <f>DataSet!N44</f>
        <v>449.95</v>
      </c>
    </row>
    <row r="190" spans="1:4" x14ac:dyDescent="0.3">
      <c r="A190" s="13" t="str">
        <f>DataSet!A45</f>
        <v>TRX0234</v>
      </c>
      <c r="B190" s="12" t="str">
        <f>DataSet!D45</f>
        <v>Joseph Jackson</v>
      </c>
      <c r="C190" s="12" t="str">
        <f>DataSet!F45</f>
        <v>Monitor</v>
      </c>
      <c r="D190" s="16">
        <f>DataSet!N45</f>
        <v>1249.95</v>
      </c>
    </row>
    <row r="191" spans="1:4" x14ac:dyDescent="0.3">
      <c r="A191" s="13" t="str">
        <f>DataSet!A46</f>
        <v>TRX0121</v>
      </c>
      <c r="B191" s="12" t="str">
        <f>DataSet!D46</f>
        <v>Betty Campbell</v>
      </c>
      <c r="C191" s="12" t="str">
        <f>DataSet!F46</f>
        <v>Keyboard</v>
      </c>
      <c r="D191" s="16">
        <f>DataSet!N46</f>
        <v>89.99</v>
      </c>
    </row>
    <row r="192" spans="1:4" x14ac:dyDescent="0.3">
      <c r="A192" s="13" t="str">
        <f>DataSet!A47</f>
        <v>TRX0220</v>
      </c>
      <c r="B192" s="12" t="str">
        <f>DataSet!D47</f>
        <v>Michael Brown</v>
      </c>
      <c r="C192" s="12" t="str">
        <f>DataSet!F47</f>
        <v>Bookshelf</v>
      </c>
      <c r="D192" s="16">
        <f>DataSet!N47</f>
        <v>299.98</v>
      </c>
    </row>
    <row r="193" spans="1:4" x14ac:dyDescent="0.3">
      <c r="A193" s="13" t="str">
        <f>DataSet!A48</f>
        <v>TRX0093</v>
      </c>
      <c r="B193" s="12" t="str">
        <f>DataSet!D48</f>
        <v>Julie Foster</v>
      </c>
      <c r="C193" s="12" t="str">
        <f>DataSet!F48</f>
        <v>Blender</v>
      </c>
      <c r="D193" s="16">
        <f>DataSet!N48</f>
        <v>239.96</v>
      </c>
    </row>
    <row r="194" spans="1:4" x14ac:dyDescent="0.3">
      <c r="A194" s="13" t="str">
        <f>DataSet!A49</f>
        <v>TRX0088</v>
      </c>
      <c r="B194" s="12" t="str">
        <f>DataSet!D49</f>
        <v>Lisa Anderson</v>
      </c>
      <c r="C194" s="12" t="str">
        <f>DataSet!F49</f>
        <v>Keyboard</v>
      </c>
      <c r="D194" s="16">
        <f>DataSet!N49</f>
        <v>449.95</v>
      </c>
    </row>
    <row r="195" spans="1:4" x14ac:dyDescent="0.3">
      <c r="A195" s="13" t="str">
        <f>DataSet!A50</f>
        <v>TRX0115</v>
      </c>
      <c r="B195" s="12" t="str">
        <f>DataSet!D50</f>
        <v>Patricia Moore</v>
      </c>
      <c r="C195" s="12" t="str">
        <f>DataSet!F50</f>
        <v>Keyboard</v>
      </c>
      <c r="D195" s="16">
        <f>DataSet!N50</f>
        <v>179.98</v>
      </c>
    </row>
    <row r="196" spans="1:4" x14ac:dyDescent="0.3">
      <c r="A196" s="13" t="str">
        <f>DataSet!A51</f>
        <v>TRX0154</v>
      </c>
      <c r="B196" s="12" t="str">
        <f>DataSet!D51</f>
        <v>Paul Baker</v>
      </c>
      <c r="C196" s="12" t="str">
        <f>DataSet!F51</f>
        <v>Laptop</v>
      </c>
      <c r="D196" s="16">
        <f>DataSet!N51</f>
        <v>4499.95</v>
      </c>
    </row>
    <row r="197" spans="1:4" x14ac:dyDescent="0.3">
      <c r="A197" s="13" t="str">
        <f>DataSet!A52</f>
        <v>TRX0044</v>
      </c>
      <c r="B197" s="12" t="str">
        <f>DataSet!D52</f>
        <v>Edward Mitchell</v>
      </c>
      <c r="C197" s="12" t="str">
        <f>DataSet!F52</f>
        <v>Laptop</v>
      </c>
      <c r="D197" s="16">
        <f>DataSet!N52</f>
        <v>4499.95</v>
      </c>
    </row>
    <row r="198" spans="1:4" x14ac:dyDescent="0.3">
      <c r="A198" s="13" t="str">
        <f>DataSet!A53</f>
        <v>TRX0061</v>
      </c>
      <c r="B198" s="12" t="str">
        <f>DataSet!D53</f>
        <v>Betty Campbell</v>
      </c>
      <c r="C198" s="12" t="str">
        <f>DataSet!F53</f>
        <v>Blender</v>
      </c>
      <c r="D198" s="16">
        <f>DataSet!N53</f>
        <v>59.99</v>
      </c>
    </row>
    <row r="199" spans="1:4" x14ac:dyDescent="0.3">
      <c r="A199" s="13" t="str">
        <f>DataSet!A54</f>
        <v>TRX0150</v>
      </c>
      <c r="B199" s="12" t="str">
        <f>DataSet!D54</f>
        <v>Jennifer Taylor</v>
      </c>
      <c r="C199" s="12" t="str">
        <f>DataSet!F54</f>
        <v>Desk</v>
      </c>
      <c r="D199" s="16">
        <f>DataSet!N54</f>
        <v>599.98</v>
      </c>
    </row>
    <row r="200" spans="1:4" x14ac:dyDescent="0.3">
      <c r="A200" s="13" t="str">
        <f>DataSet!A55</f>
        <v>TRX0025</v>
      </c>
      <c r="B200" s="12" t="str">
        <f>DataSet!D55</f>
        <v>Raymond Ross</v>
      </c>
      <c r="C200" s="12" t="str">
        <f>DataSet!F55</f>
        <v>Keyboard</v>
      </c>
      <c r="D200" s="16">
        <f>DataSet!N55</f>
        <v>359.96</v>
      </c>
    </row>
    <row r="201" spans="1:4" x14ac:dyDescent="0.3">
      <c r="A201" s="13" t="str">
        <f>DataSet!A56</f>
        <v>TRX0078</v>
      </c>
      <c r="B201" s="12" t="str">
        <f>DataSet!D56</f>
        <v>Kevin Scott</v>
      </c>
      <c r="C201" s="12" t="str">
        <f>DataSet!F56</f>
        <v>Coffee Maker</v>
      </c>
      <c r="D201" s="16">
        <f>DataSet!N56</f>
        <v>79.989999999999995</v>
      </c>
    </row>
    <row r="202" spans="1:4" x14ac:dyDescent="0.3">
      <c r="A202" s="13" t="str">
        <f>DataSet!A57</f>
        <v>TRX0007</v>
      </c>
      <c r="B202" s="12" t="str">
        <f>DataSet!D57</f>
        <v>Robert Thomas</v>
      </c>
      <c r="C202" s="12" t="str">
        <f>DataSet!F57</f>
        <v>Keyboard</v>
      </c>
      <c r="D202" s="16">
        <f>DataSet!N57</f>
        <v>179.98</v>
      </c>
    </row>
    <row r="203" spans="1:4" x14ac:dyDescent="0.3">
      <c r="A203" s="13" t="str">
        <f>DataSet!A58</f>
        <v>TRX0184</v>
      </c>
      <c r="B203" s="12" t="str">
        <f>DataSet!D58</f>
        <v>Kathleen Bennett</v>
      </c>
      <c r="C203" s="12" t="str">
        <f>DataSet!F58</f>
        <v>Smartphone</v>
      </c>
      <c r="D203" s="16">
        <f>DataSet!N58</f>
        <v>2099.9699999999998</v>
      </c>
    </row>
    <row r="204" spans="1:4" x14ac:dyDescent="0.3">
      <c r="A204" s="13" t="str">
        <f>DataSet!A59</f>
        <v>TRX0104</v>
      </c>
      <c r="B204" s="12" t="str">
        <f>DataSet!D59</f>
        <v>Patricia Moore</v>
      </c>
      <c r="C204" s="12" t="str">
        <f>DataSet!F59</f>
        <v>Laptop</v>
      </c>
      <c r="D204" s="16">
        <f>DataSet!N59</f>
        <v>3599.96</v>
      </c>
    </row>
    <row r="205" spans="1:4" x14ac:dyDescent="0.3">
      <c r="A205" s="13" t="str">
        <f>DataSet!A60</f>
        <v>TRX0127</v>
      </c>
      <c r="B205" s="12" t="str">
        <f>DataSet!D60</f>
        <v>Helen Roberts</v>
      </c>
      <c r="C205" s="12" t="str">
        <f>DataSet!F60</f>
        <v>Bookshelf</v>
      </c>
      <c r="D205" s="16">
        <f>DataSet!N60</f>
        <v>149.99</v>
      </c>
    </row>
    <row r="206" spans="1:4" x14ac:dyDescent="0.3">
      <c r="A206" s="13" t="str">
        <f>DataSet!A61</f>
        <v>TRX0096</v>
      </c>
      <c r="B206" s="12" t="str">
        <f>DataSet!D61</f>
        <v>Emma Wilson</v>
      </c>
      <c r="C206" s="12" t="str">
        <f>DataSet!F61</f>
        <v>Keyboard</v>
      </c>
      <c r="D206" s="16">
        <f>DataSet!N61</f>
        <v>179.98</v>
      </c>
    </row>
    <row r="207" spans="1:4" x14ac:dyDescent="0.3">
      <c r="A207" s="13" t="str">
        <f>DataSet!A62</f>
        <v>TRX0192</v>
      </c>
      <c r="B207" s="12" t="str">
        <f>DataSet!D62</f>
        <v>Charles Allen</v>
      </c>
      <c r="C207" s="12" t="str">
        <f>DataSet!F62</f>
        <v>Keyboard</v>
      </c>
      <c r="D207" s="16">
        <f>DataSet!N62</f>
        <v>89.99</v>
      </c>
    </row>
    <row r="208" spans="1:4" x14ac:dyDescent="0.3">
      <c r="A208" s="13" t="str">
        <f>DataSet!A63</f>
        <v>TRX0052</v>
      </c>
      <c r="B208" s="12" t="str">
        <f>DataSet!D63</f>
        <v>Susan Green</v>
      </c>
      <c r="C208" s="12" t="str">
        <f>DataSet!F63</f>
        <v>Keyboard</v>
      </c>
      <c r="D208" s="16">
        <f>DataSet!N63</f>
        <v>89.99</v>
      </c>
    </row>
    <row r="209" spans="1:4" x14ac:dyDescent="0.3">
      <c r="A209" s="13" t="str">
        <f>DataSet!A64</f>
        <v>TRX0070</v>
      </c>
      <c r="B209" s="12" t="str">
        <f>DataSet!D64</f>
        <v>David Martinez</v>
      </c>
      <c r="C209" s="12" t="str">
        <f>DataSet!F64</f>
        <v>Coffee Maker</v>
      </c>
      <c r="D209" s="16">
        <f>DataSet!N64</f>
        <v>399.95</v>
      </c>
    </row>
    <row r="210" spans="1:4" x14ac:dyDescent="0.3">
      <c r="A210" s="13" t="str">
        <f>DataSet!A65</f>
        <v>TRX0086</v>
      </c>
      <c r="B210" s="12" t="str">
        <f>DataSet!D65</f>
        <v>Margaret Wright</v>
      </c>
      <c r="C210" s="12" t="str">
        <f>DataSet!F65</f>
        <v>Bookshelf</v>
      </c>
      <c r="D210" s="16">
        <f>DataSet!N65</f>
        <v>149.99</v>
      </c>
    </row>
    <row r="211" spans="1:4" x14ac:dyDescent="0.3">
      <c r="A211" s="13" t="str">
        <f>DataSet!A66</f>
        <v>TRX0113</v>
      </c>
      <c r="B211" s="12" t="str">
        <f>DataSet!D66</f>
        <v>Michael Brown</v>
      </c>
      <c r="C211" s="12" t="str">
        <f>DataSet!F66</f>
        <v>Smartphone</v>
      </c>
      <c r="D211" s="16">
        <f>DataSet!N66</f>
        <v>1399.98</v>
      </c>
    </row>
    <row r="212" spans="1:4" x14ac:dyDescent="0.3">
      <c r="A212" s="13" t="str">
        <f>DataSet!A67</f>
        <v>TRX0114</v>
      </c>
      <c r="B212" s="12" t="str">
        <f>DataSet!D67</f>
        <v>Barbara Young</v>
      </c>
      <c r="C212" s="12" t="str">
        <f>DataSet!F67</f>
        <v>Keyboard</v>
      </c>
      <c r="D212" s="16">
        <f>DataSet!N67</f>
        <v>449.95</v>
      </c>
    </row>
    <row r="213" spans="1:4" x14ac:dyDescent="0.3">
      <c r="A213" s="13" t="str">
        <f>DataSet!A68</f>
        <v>TRX0136</v>
      </c>
      <c r="B213" s="12" t="str">
        <f>DataSet!D68</f>
        <v>Raymond Ross</v>
      </c>
      <c r="C213" s="12" t="str">
        <f>DataSet!F68</f>
        <v>Blender</v>
      </c>
      <c r="D213" s="16">
        <f>DataSet!N68</f>
        <v>239.96</v>
      </c>
    </row>
    <row r="214" spans="1:4" x14ac:dyDescent="0.3">
      <c r="A214" s="13" t="str">
        <f>DataSet!A69</f>
        <v>TRX0018</v>
      </c>
      <c r="B214" s="12" t="str">
        <f>DataSet!D69</f>
        <v>Joseph Jackson</v>
      </c>
      <c r="C214" s="12" t="str">
        <f>DataSet!F69</f>
        <v>Headphones</v>
      </c>
      <c r="D214" s="16">
        <f>DataSet!N69</f>
        <v>149.99</v>
      </c>
    </row>
    <row r="215" spans="1:4" x14ac:dyDescent="0.3">
      <c r="A215" s="13" t="str">
        <f>DataSet!A70</f>
        <v>TRX0141</v>
      </c>
      <c r="B215" s="12" t="str">
        <f>DataSet!D70</f>
        <v>Frank Torres</v>
      </c>
      <c r="C215" s="12" t="str">
        <f>DataSet!F70</f>
        <v>Desk</v>
      </c>
      <c r="D215" s="16">
        <f>DataSet!N70</f>
        <v>299.99</v>
      </c>
    </row>
    <row r="216" spans="1:4" x14ac:dyDescent="0.3">
      <c r="A216" s="13" t="str">
        <f>DataSet!A71</f>
        <v>TRX0097</v>
      </c>
      <c r="B216" s="12" t="str">
        <f>DataSet!D71</f>
        <v>Frank Torres</v>
      </c>
      <c r="C216" s="12" t="str">
        <f>DataSet!F71</f>
        <v>Office Chair</v>
      </c>
      <c r="D216" s="16">
        <f>DataSet!N71</f>
        <v>399.98</v>
      </c>
    </row>
    <row r="217" spans="1:4" x14ac:dyDescent="0.3">
      <c r="A217" s="13" t="str">
        <f>DataSet!A72</f>
        <v>TRX0169</v>
      </c>
      <c r="B217" s="12" t="str">
        <f>DataSet!D72</f>
        <v>Gerald Murphy</v>
      </c>
      <c r="C217" s="12" t="str">
        <f>DataSet!F72</f>
        <v>Blender</v>
      </c>
      <c r="D217" s="16">
        <f>DataSet!N72</f>
        <v>179.97</v>
      </c>
    </row>
    <row r="218" spans="1:4" x14ac:dyDescent="0.3">
      <c r="A218" s="13" t="str">
        <f>DataSet!A73</f>
        <v>TRX0216</v>
      </c>
      <c r="B218" s="12" t="str">
        <f>DataSet!D73</f>
        <v>Peter Richardson</v>
      </c>
      <c r="C218" s="12" t="str">
        <f>DataSet!F73</f>
        <v>Bookshelf</v>
      </c>
      <c r="D218" s="16">
        <f>DataSet!N73</f>
        <v>449.97</v>
      </c>
    </row>
    <row r="219" spans="1:4" x14ac:dyDescent="0.3">
      <c r="A219" s="13" t="str">
        <f>DataSet!A74</f>
        <v>TRX0131</v>
      </c>
      <c r="B219" s="12" t="str">
        <f>DataSet!D74</f>
        <v>Karen Hill</v>
      </c>
      <c r="C219" s="12" t="str">
        <f>DataSet!F74</f>
        <v>Office Chair</v>
      </c>
      <c r="D219" s="16">
        <f>DataSet!N74</f>
        <v>599.97</v>
      </c>
    </row>
    <row r="220" spans="1:4" x14ac:dyDescent="0.3">
      <c r="A220" s="13" t="str">
        <f>DataSet!A75</f>
        <v>TRX0162</v>
      </c>
      <c r="B220" s="12" t="str">
        <f>DataSet!D75</f>
        <v>Sharon Butler</v>
      </c>
      <c r="C220" s="12" t="str">
        <f>DataSet!F75</f>
        <v>Laptop</v>
      </c>
      <c r="D220" s="16">
        <f>DataSet!N75</f>
        <v>899.99</v>
      </c>
    </row>
    <row r="221" spans="1:4" x14ac:dyDescent="0.3">
      <c r="A221" s="13" t="str">
        <f>DataSet!A76</f>
        <v>TRX0244</v>
      </c>
      <c r="B221" s="12" t="str">
        <f>DataSet!D76</f>
        <v>Joseph Jackson</v>
      </c>
      <c r="C221" s="12" t="str">
        <f>DataSet!F76</f>
        <v>Laptop</v>
      </c>
      <c r="D221" s="16">
        <f>DataSet!N76</f>
        <v>4499.95</v>
      </c>
    </row>
    <row r="222" spans="1:4" x14ac:dyDescent="0.3">
      <c r="A222" s="13" t="str">
        <f>DataSet!A77</f>
        <v>TRX0006</v>
      </c>
      <c r="B222" s="12" t="str">
        <f>DataSet!D77</f>
        <v>David Martinez</v>
      </c>
      <c r="C222" s="12" t="str">
        <f>DataSet!F77</f>
        <v>Blender</v>
      </c>
      <c r="D222" s="16">
        <f>DataSet!N77</f>
        <v>119.98</v>
      </c>
    </row>
    <row r="223" spans="1:4" x14ac:dyDescent="0.3">
      <c r="A223" s="13" t="str">
        <f>DataSet!A78</f>
        <v>TRX0215</v>
      </c>
      <c r="B223" s="12" t="str">
        <f>DataSet!D78</f>
        <v>Gerald Murphy</v>
      </c>
      <c r="C223" s="12" t="str">
        <f>DataSet!F78</f>
        <v>Monitor</v>
      </c>
      <c r="D223" s="16">
        <f>DataSet!N78</f>
        <v>999.96</v>
      </c>
    </row>
    <row r="224" spans="1:4" x14ac:dyDescent="0.3">
      <c r="A224" s="13" t="str">
        <f>DataSet!A79</f>
        <v>TRX0080</v>
      </c>
      <c r="B224" s="12" t="str">
        <f>DataSet!D79</f>
        <v>Barbara Young</v>
      </c>
      <c r="C224" s="12" t="str">
        <f>DataSet!F79</f>
        <v>Monitor</v>
      </c>
      <c r="D224" s="16">
        <f>DataSet!N79</f>
        <v>499.98</v>
      </c>
    </row>
    <row r="225" spans="1:4" x14ac:dyDescent="0.3">
      <c r="A225" s="13" t="str">
        <f>DataSet!A80</f>
        <v>TRX0228</v>
      </c>
      <c r="B225" s="12" t="str">
        <f>DataSet!D80</f>
        <v>Daniel King</v>
      </c>
      <c r="C225" s="12" t="str">
        <f>DataSet!F80</f>
        <v>Desk</v>
      </c>
      <c r="D225" s="16">
        <f>DataSet!N80</f>
        <v>299.99</v>
      </c>
    </row>
    <row r="226" spans="1:4" x14ac:dyDescent="0.3">
      <c r="A226" s="13" t="str">
        <f>DataSet!A81</f>
        <v>TRX0157</v>
      </c>
      <c r="B226" s="12" t="str">
        <f>DataSet!D81</f>
        <v>Mark Carter</v>
      </c>
      <c r="C226" s="12" t="str">
        <f>DataSet!F81</f>
        <v>Keyboard</v>
      </c>
      <c r="D226" s="16">
        <f>DataSet!N81</f>
        <v>179.98</v>
      </c>
    </row>
    <row r="227" spans="1:4" x14ac:dyDescent="0.3">
      <c r="A227" s="13" t="str">
        <f>DataSet!A82</f>
        <v>TRX0002</v>
      </c>
      <c r="B227" s="12" t="str">
        <f>DataSet!D82</f>
        <v>Daniel King</v>
      </c>
      <c r="C227" s="12" t="str">
        <f>DataSet!F82</f>
        <v>Desk</v>
      </c>
      <c r="D227" s="16">
        <f>DataSet!N82</f>
        <v>899.97</v>
      </c>
    </row>
    <row r="228" spans="1:4" x14ac:dyDescent="0.3">
      <c r="A228" s="13" t="str">
        <f>DataSet!A83</f>
        <v>TRX0217</v>
      </c>
      <c r="B228" s="12" t="str">
        <f>DataSet!D83</f>
        <v>Mark Carter</v>
      </c>
      <c r="C228" s="12" t="str">
        <f>DataSet!F83</f>
        <v>Smartphone</v>
      </c>
      <c r="D228" s="16">
        <f>DataSet!N83</f>
        <v>1399.98</v>
      </c>
    </row>
    <row r="229" spans="1:4" x14ac:dyDescent="0.3">
      <c r="A229" s="13" t="str">
        <f>DataSet!A84</f>
        <v>TRX0249</v>
      </c>
      <c r="B229" s="12" t="str">
        <f>DataSet!D84</f>
        <v>Helen Roberts</v>
      </c>
      <c r="C229" s="12" t="str">
        <f>DataSet!F84</f>
        <v>Laptop</v>
      </c>
      <c r="D229" s="16">
        <f>DataSet!N84</f>
        <v>3599.96</v>
      </c>
    </row>
    <row r="230" spans="1:4" x14ac:dyDescent="0.3">
      <c r="A230" s="13" t="str">
        <f>DataSet!A85</f>
        <v>TRX0065</v>
      </c>
      <c r="B230" s="12" t="str">
        <f>DataSet!D85</f>
        <v>Elizabeth Hall</v>
      </c>
      <c r="C230" s="12" t="str">
        <f>DataSet!F85</f>
        <v>Bookshelf</v>
      </c>
      <c r="D230" s="16">
        <f>DataSet!N85</f>
        <v>299.98</v>
      </c>
    </row>
    <row r="231" spans="1:4" x14ac:dyDescent="0.3">
      <c r="A231" s="13" t="str">
        <f>DataSet!A86</f>
        <v>TRX0176</v>
      </c>
      <c r="B231" s="12" t="str">
        <f>DataSet!D86</f>
        <v>Cynthia Price</v>
      </c>
      <c r="C231" s="12" t="str">
        <f>DataSet!F86</f>
        <v>Bookshelf</v>
      </c>
      <c r="D231" s="16">
        <f>DataSet!N86</f>
        <v>299.98</v>
      </c>
    </row>
    <row r="232" spans="1:4" x14ac:dyDescent="0.3">
      <c r="A232" s="13" t="str">
        <f>DataSet!A87</f>
        <v>TRX0101</v>
      </c>
      <c r="B232" s="12" t="str">
        <f>DataSet!D87</f>
        <v>Maria Garcia</v>
      </c>
      <c r="C232" s="12" t="str">
        <f>DataSet!F87</f>
        <v>Keyboard</v>
      </c>
      <c r="D232" s="16">
        <f>DataSet!N87</f>
        <v>89.99</v>
      </c>
    </row>
    <row r="233" spans="1:4" x14ac:dyDescent="0.3">
      <c r="A233" s="13" t="str">
        <f>DataSet!A88</f>
        <v>TRX0205</v>
      </c>
      <c r="B233" s="12" t="str">
        <f>DataSet!D88</f>
        <v>Mark Carter</v>
      </c>
      <c r="C233" s="12" t="str">
        <f>DataSet!F88</f>
        <v>Desk</v>
      </c>
      <c r="D233" s="16">
        <f>DataSet!N88</f>
        <v>1499.95</v>
      </c>
    </row>
    <row r="234" spans="1:4" x14ac:dyDescent="0.3">
      <c r="A234" s="13" t="str">
        <f>DataSet!A89</f>
        <v>TRX0020</v>
      </c>
      <c r="B234" s="12" t="str">
        <f>DataSet!D89</f>
        <v>David Martinez</v>
      </c>
      <c r="C234" s="12" t="str">
        <f>DataSet!F89</f>
        <v>Headphones</v>
      </c>
      <c r="D234" s="16">
        <f>DataSet!N89</f>
        <v>599.96</v>
      </c>
    </row>
    <row r="235" spans="1:4" x14ac:dyDescent="0.3">
      <c r="A235" s="13" t="str">
        <f>DataSet!A90</f>
        <v>TRX0075</v>
      </c>
      <c r="B235" s="12" t="str">
        <f>DataSet!D90</f>
        <v>Margaret Wright</v>
      </c>
      <c r="C235" s="12" t="str">
        <f>DataSet!F90</f>
        <v>Monitor</v>
      </c>
      <c r="D235" s="16">
        <f>DataSet!N90</f>
        <v>1249.95</v>
      </c>
    </row>
    <row r="236" spans="1:4" x14ac:dyDescent="0.3">
      <c r="A236" s="13" t="str">
        <f>DataSet!A91</f>
        <v>TRX0098</v>
      </c>
      <c r="B236" s="12" t="str">
        <f>DataSet!D91</f>
        <v>Karen Hill</v>
      </c>
      <c r="C236" s="12" t="str">
        <f>DataSet!F91</f>
        <v>Monitor</v>
      </c>
      <c r="D236" s="16">
        <f>DataSet!N91</f>
        <v>749.97</v>
      </c>
    </row>
    <row r="237" spans="1:4" x14ac:dyDescent="0.3">
      <c r="A237" s="13" t="str">
        <f>DataSet!A92</f>
        <v>TRX0247</v>
      </c>
      <c r="B237" s="12" t="str">
        <f>DataSet!D92</f>
        <v>Kathleen Bennett</v>
      </c>
      <c r="C237" s="12" t="str">
        <f>DataSet!F92</f>
        <v>Office Chair</v>
      </c>
      <c r="D237" s="16">
        <f>DataSet!N92</f>
        <v>799.96</v>
      </c>
    </row>
    <row r="238" spans="1:4" x14ac:dyDescent="0.3">
      <c r="A238" s="13" t="str">
        <f>DataSet!A93</f>
        <v>TRX0027</v>
      </c>
      <c r="B238" s="12" t="str">
        <f>DataSet!D93</f>
        <v>Betty Campbell</v>
      </c>
      <c r="C238" s="12" t="str">
        <f>DataSet!F93</f>
        <v>Office Chair</v>
      </c>
      <c r="D238" s="16">
        <f>DataSet!N93</f>
        <v>999.95</v>
      </c>
    </row>
    <row r="239" spans="1:4" x14ac:dyDescent="0.3">
      <c r="A239" s="13" t="str">
        <f>DataSet!A94</f>
        <v>TRX0140</v>
      </c>
      <c r="B239" s="12" t="str">
        <f>DataSet!D94</f>
        <v>Mark Carter</v>
      </c>
      <c r="C239" s="12" t="str">
        <f>DataSet!F94</f>
        <v>Keyboard</v>
      </c>
      <c r="D239" s="16">
        <f>DataSet!N94</f>
        <v>179.98</v>
      </c>
    </row>
    <row r="240" spans="1:4" x14ac:dyDescent="0.3">
      <c r="A240" s="13" t="str">
        <f>DataSet!A95</f>
        <v>TRX0132</v>
      </c>
      <c r="B240" s="12" t="str">
        <f>DataSet!D95</f>
        <v>Gerald Murphy</v>
      </c>
      <c r="C240" s="12" t="str">
        <f>DataSet!F95</f>
        <v>Laptop</v>
      </c>
      <c r="D240" s="16">
        <f>DataSet!N95</f>
        <v>4499.95</v>
      </c>
    </row>
    <row r="241" spans="1:4" x14ac:dyDescent="0.3">
      <c r="A241" s="13" t="str">
        <f>DataSet!A96</f>
        <v>TRX0031</v>
      </c>
      <c r="B241" s="12" t="str">
        <f>DataSet!D96</f>
        <v>Nancy Collins</v>
      </c>
      <c r="C241" s="12" t="str">
        <f>DataSet!F96</f>
        <v>Headphones</v>
      </c>
      <c r="D241" s="16">
        <f>DataSet!N96</f>
        <v>449.97</v>
      </c>
    </row>
    <row r="242" spans="1:4" x14ac:dyDescent="0.3">
      <c r="A242" s="13" t="str">
        <f>DataSet!A97</f>
        <v>TRX0236</v>
      </c>
      <c r="B242" s="12" t="str">
        <f>DataSet!D97</f>
        <v>Cynthia Price</v>
      </c>
      <c r="C242" s="12" t="str">
        <f>DataSet!F97</f>
        <v>Bookshelf</v>
      </c>
      <c r="D242" s="16">
        <f>DataSet!N97</f>
        <v>749.95</v>
      </c>
    </row>
    <row r="243" spans="1:4" x14ac:dyDescent="0.3">
      <c r="A243" s="13" t="str">
        <f>DataSet!A98</f>
        <v>TRX0001</v>
      </c>
      <c r="B243" s="12" t="str">
        <f>DataSet!D98</f>
        <v>Lawrence Reed</v>
      </c>
      <c r="C243" s="12" t="str">
        <f>DataSet!F98</f>
        <v>Coffee Maker</v>
      </c>
      <c r="D243" s="16">
        <f>DataSet!N98</f>
        <v>239.97</v>
      </c>
    </row>
    <row r="244" spans="1:4" x14ac:dyDescent="0.3">
      <c r="A244" s="13" t="str">
        <f>DataSet!A99</f>
        <v>TRX0037</v>
      </c>
      <c r="B244" s="12" t="str">
        <f>DataSet!D99</f>
        <v>Harry Morgan</v>
      </c>
      <c r="C244" s="12" t="str">
        <f>DataSet!F99</f>
        <v>Monitor</v>
      </c>
      <c r="D244" s="16">
        <f>DataSet!N99</f>
        <v>499.98</v>
      </c>
    </row>
    <row r="245" spans="1:4" x14ac:dyDescent="0.3">
      <c r="A245" s="13" t="str">
        <f>DataSet!A100</f>
        <v>TRX0058</v>
      </c>
      <c r="B245" s="12" t="str">
        <f>DataSet!D100</f>
        <v>Gerald Murphy</v>
      </c>
      <c r="C245" s="12" t="str">
        <f>DataSet!F100</f>
        <v>Smartphone</v>
      </c>
      <c r="D245" s="16">
        <f>DataSet!N100</f>
        <v>699.99</v>
      </c>
    </row>
    <row r="246" spans="1:4" x14ac:dyDescent="0.3">
      <c r="A246" s="13" t="str">
        <f>DataSet!A101</f>
        <v>TRX0170</v>
      </c>
      <c r="B246" s="12" t="str">
        <f>DataSet!D101</f>
        <v>Carol Evans</v>
      </c>
      <c r="C246" s="12" t="str">
        <f>DataSet!F101</f>
        <v>Headphones</v>
      </c>
      <c r="D246" s="16">
        <f>DataSet!N101</f>
        <v>449.97</v>
      </c>
    </row>
    <row r="247" spans="1:4" x14ac:dyDescent="0.3">
      <c r="A247" s="13" t="str">
        <f>DataSet!A102</f>
        <v>TRX0248</v>
      </c>
      <c r="B247" s="12" t="str">
        <f>DataSet!D102</f>
        <v>Sandra Phillips</v>
      </c>
      <c r="C247" s="12" t="str">
        <f>DataSet!F102</f>
        <v>Smartphone</v>
      </c>
      <c r="D247" s="16">
        <f>DataSet!N102</f>
        <v>1399.98</v>
      </c>
    </row>
    <row r="248" spans="1:4" x14ac:dyDescent="0.3">
      <c r="A248" s="13" t="str">
        <f>DataSet!A103</f>
        <v>TRX0099</v>
      </c>
      <c r="B248" s="12" t="str">
        <f>DataSet!D103</f>
        <v>Carol Evans</v>
      </c>
      <c r="C248" s="12" t="str">
        <f>DataSet!F103</f>
        <v>Monitor</v>
      </c>
      <c r="D248" s="16">
        <f>DataSet!N103</f>
        <v>249.99</v>
      </c>
    </row>
    <row r="249" spans="1:4" x14ac:dyDescent="0.3">
      <c r="A249" s="13" t="str">
        <f>DataSet!A104</f>
        <v>TRX0074</v>
      </c>
      <c r="B249" s="12" t="str">
        <f>DataSet!D104</f>
        <v>Paul Baker</v>
      </c>
      <c r="C249" s="12" t="str">
        <f>DataSet!F104</f>
        <v>Monitor</v>
      </c>
      <c r="D249" s="16">
        <f>DataSet!N104</f>
        <v>249.99</v>
      </c>
    </row>
    <row r="250" spans="1:4" x14ac:dyDescent="0.3">
      <c r="A250" s="13" t="str">
        <f>DataSet!A105</f>
        <v>TRX0225</v>
      </c>
      <c r="B250" s="12" t="str">
        <f>DataSet!D105</f>
        <v>Lawrence Reed</v>
      </c>
      <c r="C250" s="12" t="str">
        <f>DataSet!F105</f>
        <v>Smartphone</v>
      </c>
      <c r="D250" s="16">
        <f>DataSet!N105</f>
        <v>1399.98</v>
      </c>
    </row>
    <row r="251" spans="1:4" x14ac:dyDescent="0.3">
      <c r="A251" s="13" t="str">
        <f>DataSet!A106</f>
        <v>TRX0100</v>
      </c>
      <c r="B251" s="12" t="str">
        <f>DataSet!D106</f>
        <v>Steven Turner</v>
      </c>
      <c r="C251" s="12" t="str">
        <f>DataSet!F106</f>
        <v>Blender</v>
      </c>
      <c r="D251" s="16">
        <f>DataSet!N106</f>
        <v>179.97</v>
      </c>
    </row>
    <row r="252" spans="1:4" x14ac:dyDescent="0.3">
      <c r="A252" s="13" t="str">
        <f>DataSet!A107</f>
        <v>TRX0142</v>
      </c>
      <c r="B252" s="12" t="str">
        <f>DataSet!D107</f>
        <v>Emma Wilson</v>
      </c>
      <c r="C252" s="12" t="str">
        <f>DataSet!F107</f>
        <v>Blender</v>
      </c>
      <c r="D252" s="16">
        <f>DataSet!N107</f>
        <v>179.97</v>
      </c>
    </row>
    <row r="253" spans="1:4" x14ac:dyDescent="0.3">
      <c r="A253" s="13" t="str">
        <f>DataSet!A108</f>
        <v>TRX0112</v>
      </c>
      <c r="B253" s="12" t="str">
        <f>DataSet!D108</f>
        <v>Jennifer Taylor</v>
      </c>
      <c r="C253" s="12" t="str">
        <f>DataSet!F108</f>
        <v>Coffee Maker</v>
      </c>
      <c r="D253" s="16">
        <f>DataSet!N108</f>
        <v>319.95999999999998</v>
      </c>
    </row>
    <row r="254" spans="1:4" x14ac:dyDescent="0.3">
      <c r="A254" s="13" t="str">
        <f>DataSet!A109</f>
        <v>TRX0161</v>
      </c>
      <c r="B254" s="12" t="str">
        <f>DataSet!D109</f>
        <v>Charles Allen</v>
      </c>
      <c r="C254" s="12" t="str">
        <f>DataSet!F109</f>
        <v>Coffee Maker</v>
      </c>
      <c r="D254" s="16">
        <f>DataSet!N109</f>
        <v>79.989999999999995</v>
      </c>
    </row>
    <row r="255" spans="1:4" x14ac:dyDescent="0.3">
      <c r="A255" s="13" t="str">
        <f>DataSet!A110</f>
        <v>TRX0108</v>
      </c>
      <c r="B255" s="12" t="str">
        <f>DataSet!D110</f>
        <v>Dorothy Nelson</v>
      </c>
      <c r="C255" s="12" t="str">
        <f>DataSet!F110</f>
        <v>Desk</v>
      </c>
      <c r="D255" s="16">
        <f>DataSet!N110</f>
        <v>899.97</v>
      </c>
    </row>
    <row r="256" spans="1:4" x14ac:dyDescent="0.3">
      <c r="A256" s="13" t="str">
        <f>DataSet!A111</f>
        <v>TRX0211</v>
      </c>
      <c r="B256" s="12" t="str">
        <f>DataSet!D111</f>
        <v>Kathleen Bennett</v>
      </c>
      <c r="C256" s="12" t="str">
        <f>DataSet!F111</f>
        <v>Keyboard</v>
      </c>
      <c r="D256" s="16">
        <f>DataSet!N111</f>
        <v>179.98</v>
      </c>
    </row>
    <row r="257" spans="1:4" x14ac:dyDescent="0.3">
      <c r="A257" s="13" t="str">
        <f>DataSet!A112</f>
        <v>TRX0005</v>
      </c>
      <c r="B257" s="12" t="str">
        <f>DataSet!D112</f>
        <v>Ruth Brooks</v>
      </c>
      <c r="C257" s="12" t="str">
        <f>DataSet!F112</f>
        <v>Headphones</v>
      </c>
      <c r="D257" s="16">
        <f>DataSet!N112</f>
        <v>599.96</v>
      </c>
    </row>
    <row r="258" spans="1:4" x14ac:dyDescent="0.3">
      <c r="A258" s="13" t="str">
        <f>DataSet!A113</f>
        <v>TRX0195</v>
      </c>
      <c r="B258" s="12" t="str">
        <f>DataSet!D113</f>
        <v>Karen Hill</v>
      </c>
      <c r="C258" s="12" t="str">
        <f>DataSet!F113</f>
        <v>Monitor</v>
      </c>
      <c r="D258" s="16">
        <f>DataSet!N113</f>
        <v>499.98</v>
      </c>
    </row>
    <row r="259" spans="1:4" x14ac:dyDescent="0.3">
      <c r="A259" s="13" t="str">
        <f>DataSet!A114</f>
        <v>TRX0054</v>
      </c>
      <c r="B259" s="12" t="str">
        <f>DataSet!D114</f>
        <v>Sarah Davis</v>
      </c>
      <c r="C259" s="12" t="str">
        <f>DataSet!F114</f>
        <v>Office Chair</v>
      </c>
      <c r="D259" s="16">
        <f>DataSet!N114</f>
        <v>799.96</v>
      </c>
    </row>
    <row r="260" spans="1:4" x14ac:dyDescent="0.3">
      <c r="A260" s="13" t="str">
        <f>DataSet!A115</f>
        <v>TRX0077</v>
      </c>
      <c r="B260" s="12" t="str">
        <f>DataSet!D115</f>
        <v>Daniel King</v>
      </c>
      <c r="C260" s="12" t="str">
        <f>DataSet!F115</f>
        <v>Keyboard</v>
      </c>
      <c r="D260" s="16">
        <f>DataSet!N115</f>
        <v>449.95</v>
      </c>
    </row>
    <row r="261" spans="1:4" x14ac:dyDescent="0.3">
      <c r="A261" s="13" t="str">
        <f>DataSet!A116</f>
        <v>TRX0111</v>
      </c>
      <c r="B261" s="12" t="str">
        <f>DataSet!D116</f>
        <v>William White</v>
      </c>
      <c r="C261" s="12" t="str">
        <f>DataSet!F116</f>
        <v>Headphones</v>
      </c>
      <c r="D261" s="16">
        <f>DataSet!N116</f>
        <v>149.99</v>
      </c>
    </row>
    <row r="262" spans="1:4" x14ac:dyDescent="0.3">
      <c r="A262" s="13" t="str">
        <f>DataSet!A117</f>
        <v>TRX0123</v>
      </c>
      <c r="B262" s="12" t="str">
        <f>DataSet!D117</f>
        <v>Peter Richardson</v>
      </c>
      <c r="C262" s="12" t="str">
        <f>DataSet!F117</f>
        <v>Smartphone</v>
      </c>
      <c r="D262" s="16">
        <f>DataSet!N117</f>
        <v>2799.96</v>
      </c>
    </row>
    <row r="263" spans="1:4" x14ac:dyDescent="0.3">
      <c r="A263" s="13" t="str">
        <f>DataSet!A118</f>
        <v>TRX0177</v>
      </c>
      <c r="B263" s="12" t="str">
        <f>DataSet!D118</f>
        <v>Sandra Phillips</v>
      </c>
      <c r="C263" s="12" t="str">
        <f>DataSet!F118</f>
        <v>Laptop</v>
      </c>
      <c r="D263" s="16">
        <f>DataSet!N118</f>
        <v>2699.97</v>
      </c>
    </row>
    <row r="264" spans="1:4" x14ac:dyDescent="0.3">
      <c r="A264" s="13" t="str">
        <f>DataSet!A119</f>
        <v>TRX0119</v>
      </c>
      <c r="B264" s="12" t="str">
        <f>DataSet!D119</f>
        <v>Linda Martin</v>
      </c>
      <c r="C264" s="12" t="str">
        <f>DataSet!F119</f>
        <v>Bookshelf</v>
      </c>
      <c r="D264" s="16">
        <f>DataSet!N119</f>
        <v>449.97</v>
      </c>
    </row>
    <row r="265" spans="1:4" x14ac:dyDescent="0.3">
      <c r="A265" s="13" t="str">
        <f>DataSet!A120</f>
        <v>TRX0181</v>
      </c>
      <c r="B265" s="12" t="str">
        <f>DataSet!D120</f>
        <v>Patricia Moore</v>
      </c>
      <c r="C265" s="12" t="str">
        <f>DataSet!F120</f>
        <v>Desk</v>
      </c>
      <c r="D265" s="16">
        <f>DataSet!N120</f>
        <v>599.98</v>
      </c>
    </row>
    <row r="266" spans="1:4" x14ac:dyDescent="0.3">
      <c r="A266" s="13" t="str">
        <f>DataSet!A121</f>
        <v>TRX0129</v>
      </c>
      <c r="B266" s="12" t="str">
        <f>DataSet!D121</f>
        <v>Richard Lee</v>
      </c>
      <c r="C266" s="12" t="str">
        <f>DataSet!F121</f>
        <v>Office Chair</v>
      </c>
      <c r="D266" s="16">
        <f>DataSet!N121</f>
        <v>199.99</v>
      </c>
    </row>
    <row r="267" spans="1:4" x14ac:dyDescent="0.3">
      <c r="A267" s="13" t="str">
        <f>DataSet!A122</f>
        <v>TRX0174</v>
      </c>
      <c r="B267" s="12" t="str">
        <f>DataSet!D122</f>
        <v>Michael Brown</v>
      </c>
      <c r="C267" s="12" t="str">
        <f>DataSet!F122</f>
        <v>Desk</v>
      </c>
      <c r="D267" s="16">
        <f>DataSet!N122</f>
        <v>1199.96</v>
      </c>
    </row>
    <row r="268" spans="1:4" x14ac:dyDescent="0.3">
      <c r="A268" s="13" t="str">
        <f>DataSet!A123</f>
        <v>TRX0146</v>
      </c>
      <c r="B268" s="12" t="str">
        <f>DataSet!D123</f>
        <v>Maria Garcia</v>
      </c>
      <c r="C268" s="12" t="str">
        <f>DataSet!F123</f>
        <v>Blender</v>
      </c>
      <c r="D268" s="16">
        <f>DataSet!N123</f>
        <v>119.98</v>
      </c>
    </row>
    <row r="269" spans="1:4" x14ac:dyDescent="0.3">
      <c r="A269" s="13" t="str">
        <f>DataSet!A124</f>
        <v>TRX0203</v>
      </c>
      <c r="B269" s="12" t="str">
        <f>DataSet!D124</f>
        <v>Sandra Phillips</v>
      </c>
      <c r="C269" s="12" t="str">
        <f>DataSet!F124</f>
        <v>Headphones</v>
      </c>
      <c r="D269" s="16">
        <f>DataSet!N124</f>
        <v>599.96</v>
      </c>
    </row>
    <row r="270" spans="1:4" x14ac:dyDescent="0.3">
      <c r="A270" s="13" t="str">
        <f>DataSet!A125</f>
        <v>TRX0055</v>
      </c>
      <c r="B270" s="12" t="str">
        <f>DataSet!D125</f>
        <v>Elizabeth Hall</v>
      </c>
      <c r="C270" s="12" t="str">
        <f>DataSet!F125</f>
        <v>Smartphone</v>
      </c>
      <c r="D270" s="16">
        <f>DataSet!N125</f>
        <v>1399.98</v>
      </c>
    </row>
    <row r="271" spans="1:4" x14ac:dyDescent="0.3">
      <c r="A271" s="13" t="str">
        <f>DataSet!A126</f>
        <v>TRX0218</v>
      </c>
      <c r="B271" s="12" t="str">
        <f>DataSet!D126</f>
        <v>Carol Evans</v>
      </c>
      <c r="C271" s="12" t="str">
        <f>DataSet!F126</f>
        <v>Bookshelf</v>
      </c>
      <c r="D271" s="16">
        <f>DataSet!N126</f>
        <v>449.97</v>
      </c>
    </row>
    <row r="272" spans="1:4" x14ac:dyDescent="0.3">
      <c r="A272" s="13" t="str">
        <f>DataSet!A127</f>
        <v>TRX0085</v>
      </c>
      <c r="B272" s="12" t="str">
        <f>DataSet!D127</f>
        <v>Daniel King</v>
      </c>
      <c r="C272" s="12" t="str">
        <f>DataSet!F127</f>
        <v>Desk</v>
      </c>
      <c r="D272" s="16">
        <f>DataSet!N127</f>
        <v>899.97</v>
      </c>
    </row>
    <row r="273" spans="1:4" x14ac:dyDescent="0.3">
      <c r="A273" s="13" t="str">
        <f>DataSet!A128</f>
        <v>TRX0158</v>
      </c>
      <c r="B273" s="12" t="str">
        <f>DataSet!D128</f>
        <v>George Adams</v>
      </c>
      <c r="C273" s="12" t="str">
        <f>DataSet!F128</f>
        <v>Laptop</v>
      </c>
      <c r="D273" s="16">
        <f>DataSet!N128</f>
        <v>2699.97</v>
      </c>
    </row>
    <row r="274" spans="1:4" x14ac:dyDescent="0.3">
      <c r="A274" s="13" t="str">
        <f>DataSet!A129</f>
        <v>TRX0173</v>
      </c>
      <c r="B274" s="12" t="str">
        <f>DataSet!D129</f>
        <v>Barbara Young</v>
      </c>
      <c r="C274" s="12" t="str">
        <f>DataSet!F129</f>
        <v>Smartphone</v>
      </c>
      <c r="D274" s="16">
        <f>DataSet!N129</f>
        <v>3499.95</v>
      </c>
    </row>
    <row r="275" spans="1:4" x14ac:dyDescent="0.3">
      <c r="A275" s="13" t="str">
        <f>DataSet!A130</f>
        <v>TRX0034</v>
      </c>
      <c r="B275" s="12" t="str">
        <f>DataSet!D130</f>
        <v>Raymond Ross</v>
      </c>
      <c r="C275" s="12" t="str">
        <f>DataSet!F130</f>
        <v>Smartphone</v>
      </c>
      <c r="D275" s="16">
        <f>DataSet!N130</f>
        <v>2799.96</v>
      </c>
    </row>
    <row r="276" spans="1:4" x14ac:dyDescent="0.3">
      <c r="A276" s="13" t="str">
        <f>DataSet!A131</f>
        <v>TRX0189</v>
      </c>
      <c r="B276" s="12" t="str">
        <f>DataSet!D131</f>
        <v>Sharon Butler</v>
      </c>
      <c r="C276" s="12" t="str">
        <f>DataSet!F131</f>
        <v>Laptop</v>
      </c>
      <c r="D276" s="16">
        <f>DataSet!N131</f>
        <v>899.99</v>
      </c>
    </row>
    <row r="277" spans="1:4" x14ac:dyDescent="0.3">
      <c r="A277" s="13" t="str">
        <f>DataSet!A132</f>
        <v>TRX0190</v>
      </c>
      <c r="B277" s="12" t="str">
        <f>DataSet!D132</f>
        <v>Lawrence Reed</v>
      </c>
      <c r="C277" s="12" t="str">
        <f>DataSet!F132</f>
        <v>Headphones</v>
      </c>
      <c r="D277" s="16">
        <f>DataSet!N132</f>
        <v>299.98</v>
      </c>
    </row>
    <row r="278" spans="1:4" x14ac:dyDescent="0.3">
      <c r="A278" s="13" t="str">
        <f>DataSet!A133</f>
        <v>TRX0079</v>
      </c>
      <c r="B278" s="12" t="str">
        <f>DataSet!D133</f>
        <v>Lawrence Reed</v>
      </c>
      <c r="C278" s="12" t="str">
        <f>DataSet!F133</f>
        <v>Keyboard</v>
      </c>
      <c r="D278" s="16">
        <f>DataSet!N133</f>
        <v>269.97000000000003</v>
      </c>
    </row>
    <row r="279" spans="1:4" x14ac:dyDescent="0.3">
      <c r="A279" s="13" t="str">
        <f>DataSet!A134</f>
        <v>TRX0095</v>
      </c>
      <c r="B279" s="12" t="str">
        <f>DataSet!D134</f>
        <v>Kathleen Bennett</v>
      </c>
      <c r="C279" s="12" t="str">
        <f>DataSet!F134</f>
        <v>Headphones</v>
      </c>
      <c r="D279" s="16">
        <f>DataSet!N134</f>
        <v>299.98</v>
      </c>
    </row>
    <row r="280" spans="1:4" x14ac:dyDescent="0.3">
      <c r="A280" s="13" t="str">
        <f>DataSet!A135</f>
        <v>TRX0009</v>
      </c>
      <c r="B280" s="12" t="str">
        <f>DataSet!D135</f>
        <v>Sarah Davis</v>
      </c>
      <c r="C280" s="12" t="str">
        <f>DataSet!F135</f>
        <v>Smartphone</v>
      </c>
      <c r="D280" s="16">
        <f>DataSet!N135</f>
        <v>1399.98</v>
      </c>
    </row>
    <row r="281" spans="1:4" x14ac:dyDescent="0.3">
      <c r="A281" s="13" t="str">
        <f>DataSet!A136</f>
        <v>TRX0167</v>
      </c>
      <c r="B281" s="12" t="str">
        <f>DataSet!D136</f>
        <v>Betty Campbell</v>
      </c>
      <c r="C281" s="12" t="str">
        <f>DataSet!F136</f>
        <v>Smartphone</v>
      </c>
      <c r="D281" s="16">
        <f>DataSet!N136</f>
        <v>3499.95</v>
      </c>
    </row>
    <row r="282" spans="1:4" x14ac:dyDescent="0.3">
      <c r="A282" s="13" t="str">
        <f>DataSet!A137</f>
        <v>TRX0153</v>
      </c>
      <c r="B282" s="12" t="str">
        <f>DataSet!D137</f>
        <v>Raymond Ross</v>
      </c>
      <c r="C282" s="12" t="str">
        <f>DataSet!F137</f>
        <v>Keyboard</v>
      </c>
      <c r="D282" s="16">
        <f>DataSet!N137</f>
        <v>269.97000000000003</v>
      </c>
    </row>
    <row r="283" spans="1:4" x14ac:dyDescent="0.3">
      <c r="A283" s="13" t="str">
        <f>DataSet!A138</f>
        <v>TRX0057</v>
      </c>
      <c r="B283" s="12" t="str">
        <f>DataSet!D138</f>
        <v>Paul Baker</v>
      </c>
      <c r="C283" s="12" t="str">
        <f>DataSet!F138</f>
        <v>Monitor</v>
      </c>
      <c r="D283" s="16">
        <f>DataSet!N138</f>
        <v>1249.95</v>
      </c>
    </row>
    <row r="284" spans="1:4" x14ac:dyDescent="0.3">
      <c r="A284" s="13" t="str">
        <f>DataSet!A139</f>
        <v>TRX0017</v>
      </c>
      <c r="B284" s="12" t="str">
        <f>DataSet!D139</f>
        <v>Karen Hill</v>
      </c>
      <c r="C284" s="12" t="str">
        <f>DataSet!F139</f>
        <v>Desk</v>
      </c>
      <c r="D284" s="16">
        <f>DataSet!N139</f>
        <v>899.97</v>
      </c>
    </row>
    <row r="285" spans="1:4" x14ac:dyDescent="0.3">
      <c r="A285" s="13" t="str">
        <f>DataSet!A140</f>
        <v>TRX0060</v>
      </c>
      <c r="B285" s="12" t="str">
        <f>DataSet!D140</f>
        <v>Patricia Moore</v>
      </c>
      <c r="C285" s="12" t="str">
        <f>DataSet!F140</f>
        <v>Keyboard</v>
      </c>
      <c r="D285" s="16">
        <f>DataSet!N140</f>
        <v>269.97000000000003</v>
      </c>
    </row>
    <row r="286" spans="1:4" x14ac:dyDescent="0.3">
      <c r="A286" s="13" t="str">
        <f>DataSet!A141</f>
        <v>TRX0109</v>
      </c>
      <c r="B286" s="12" t="str">
        <f>DataSet!D141</f>
        <v>Maria Garcia</v>
      </c>
      <c r="C286" s="12" t="str">
        <f>DataSet!F141</f>
        <v>Bookshelf</v>
      </c>
      <c r="D286" s="16">
        <f>DataSet!N141</f>
        <v>299.98</v>
      </c>
    </row>
    <row r="287" spans="1:4" x14ac:dyDescent="0.3">
      <c r="A287" s="13" t="str">
        <f>DataSet!A142</f>
        <v>TRX0090</v>
      </c>
      <c r="B287" s="12" t="str">
        <f>DataSet!D142</f>
        <v>Margaret Wright</v>
      </c>
      <c r="C287" s="12" t="str">
        <f>DataSet!F142</f>
        <v>Monitor</v>
      </c>
      <c r="D287" s="16">
        <f>DataSet!N142</f>
        <v>249.99</v>
      </c>
    </row>
    <row r="288" spans="1:4" x14ac:dyDescent="0.3">
      <c r="A288" s="13" t="str">
        <f>DataSet!A143</f>
        <v>TRX0035</v>
      </c>
      <c r="B288" s="12" t="str">
        <f>DataSet!D143</f>
        <v>Peter Richardson</v>
      </c>
      <c r="C288" s="12" t="str">
        <f>DataSet!F143</f>
        <v>Headphones</v>
      </c>
      <c r="D288" s="16">
        <f>DataSet!N143</f>
        <v>449.97</v>
      </c>
    </row>
    <row r="289" spans="1:4" x14ac:dyDescent="0.3">
      <c r="A289" s="13" t="str">
        <f>DataSet!A144</f>
        <v>TRX0172</v>
      </c>
      <c r="B289" s="12" t="str">
        <f>DataSet!D144</f>
        <v>Paul Baker</v>
      </c>
      <c r="C289" s="12" t="str">
        <f>DataSet!F144</f>
        <v>Blender</v>
      </c>
      <c r="D289" s="16">
        <f>DataSet!N144</f>
        <v>299.95</v>
      </c>
    </row>
    <row r="290" spans="1:4" x14ac:dyDescent="0.3">
      <c r="A290" s="13" t="str">
        <f>DataSet!A145</f>
        <v>TRX0076</v>
      </c>
      <c r="B290" s="12" t="str">
        <f>DataSet!D145</f>
        <v>Patricia Moore</v>
      </c>
      <c r="C290" s="12" t="str">
        <f>DataSet!F145</f>
        <v>Monitor</v>
      </c>
      <c r="D290" s="16">
        <f>DataSet!N145</f>
        <v>999.96</v>
      </c>
    </row>
    <row r="291" spans="1:4" x14ac:dyDescent="0.3">
      <c r="A291" s="13" t="str">
        <f>DataSet!A146</f>
        <v>TRX0210</v>
      </c>
      <c r="B291" s="12" t="str">
        <f>DataSet!D146</f>
        <v>Sarah Davis</v>
      </c>
      <c r="C291" s="12" t="str">
        <f>DataSet!F146</f>
        <v>Bookshelf</v>
      </c>
      <c r="D291" s="16">
        <f>DataSet!N146</f>
        <v>749.95</v>
      </c>
    </row>
    <row r="292" spans="1:4" x14ac:dyDescent="0.3">
      <c r="A292" s="13" t="str">
        <f>DataSet!A147</f>
        <v>TRX0149</v>
      </c>
      <c r="B292" s="12" t="str">
        <f>DataSet!D147</f>
        <v>George Adams</v>
      </c>
      <c r="C292" s="12" t="str">
        <f>DataSet!F147</f>
        <v>Blender</v>
      </c>
      <c r="D292" s="16">
        <f>DataSet!N147</f>
        <v>179.97</v>
      </c>
    </row>
    <row r="293" spans="1:4" x14ac:dyDescent="0.3">
      <c r="A293" s="13" t="str">
        <f>DataSet!A148</f>
        <v>TRX0073</v>
      </c>
      <c r="B293" s="12" t="str">
        <f>DataSet!D148</f>
        <v>Sandra Phillips</v>
      </c>
      <c r="C293" s="12" t="str">
        <f>DataSet!F148</f>
        <v>Bookshelf</v>
      </c>
      <c r="D293" s="16">
        <f>DataSet!N148</f>
        <v>749.95</v>
      </c>
    </row>
    <row r="294" spans="1:4" x14ac:dyDescent="0.3">
      <c r="A294" s="13" t="str">
        <f>DataSet!A149</f>
        <v>TRX0033</v>
      </c>
      <c r="B294" s="12" t="str">
        <f>DataSet!D149</f>
        <v>Mark Carter</v>
      </c>
      <c r="C294" s="12" t="str">
        <f>DataSet!F149</f>
        <v>Smartphone</v>
      </c>
      <c r="D294" s="16">
        <f>DataSet!N149</f>
        <v>1399.98</v>
      </c>
    </row>
    <row r="295" spans="1:4" x14ac:dyDescent="0.3">
      <c r="A295" s="13" t="str">
        <f>DataSet!A150</f>
        <v>TRX0160</v>
      </c>
      <c r="B295" s="12" t="str">
        <f>DataSet!D150</f>
        <v>Edward Mitchell</v>
      </c>
      <c r="C295" s="12" t="str">
        <f>DataSet!F150</f>
        <v>Office Chair</v>
      </c>
      <c r="D295" s="16">
        <f>DataSet!N150</f>
        <v>799.96</v>
      </c>
    </row>
    <row r="296" spans="1:4" x14ac:dyDescent="0.3">
      <c r="A296" s="13" t="str">
        <f>DataSet!A151</f>
        <v>TRX0145</v>
      </c>
      <c r="B296" s="12" t="str">
        <f>DataSet!D151</f>
        <v>Frank Torres</v>
      </c>
      <c r="C296" s="12" t="str">
        <f>DataSet!F151</f>
        <v>Blender</v>
      </c>
      <c r="D296" s="16">
        <f>DataSet!N151</f>
        <v>59.99</v>
      </c>
    </row>
    <row r="297" spans="1:4" x14ac:dyDescent="0.3">
      <c r="A297" s="13" t="str">
        <f>DataSet!A152</f>
        <v>TRX0148</v>
      </c>
      <c r="B297" s="12" t="str">
        <f>DataSet!D152</f>
        <v>Sarah Davis</v>
      </c>
      <c r="C297" s="12" t="str">
        <f>DataSet!F152</f>
        <v>Smartphone</v>
      </c>
      <c r="D297" s="16">
        <f>DataSet!N152</f>
        <v>2099.9699999999998</v>
      </c>
    </row>
    <row r="298" spans="1:4" x14ac:dyDescent="0.3">
      <c r="A298" s="13" t="str">
        <f>DataSet!A153</f>
        <v>TRX0012</v>
      </c>
      <c r="B298" s="12" t="str">
        <f>DataSet!D153</f>
        <v>Douglas Watson</v>
      </c>
      <c r="C298" s="12" t="str">
        <f>DataSet!F153</f>
        <v>Monitor</v>
      </c>
      <c r="D298" s="16">
        <f>DataSet!N153</f>
        <v>1249.95</v>
      </c>
    </row>
    <row r="299" spans="1:4" x14ac:dyDescent="0.3">
      <c r="A299" s="13" t="str">
        <f>DataSet!A154</f>
        <v>TRX0206</v>
      </c>
      <c r="B299" s="12" t="str">
        <f>DataSet!D154</f>
        <v>Linda Martin</v>
      </c>
      <c r="C299" s="12" t="str">
        <f>DataSet!F154</f>
        <v>Bookshelf</v>
      </c>
      <c r="D299" s="16">
        <f>DataSet!N154</f>
        <v>299.98</v>
      </c>
    </row>
    <row r="300" spans="1:4" x14ac:dyDescent="0.3">
      <c r="A300" s="13" t="str">
        <f>DataSet!A155</f>
        <v>TRX0045</v>
      </c>
      <c r="B300" s="12" t="str">
        <f>DataSet!D155</f>
        <v>Kevin Scott</v>
      </c>
      <c r="C300" s="12" t="str">
        <f>DataSet!F155</f>
        <v>Desk</v>
      </c>
      <c r="D300" s="16">
        <f>DataSet!N155</f>
        <v>899.97</v>
      </c>
    </row>
    <row r="301" spans="1:4" x14ac:dyDescent="0.3">
      <c r="A301" s="13" t="str">
        <f>DataSet!A156</f>
        <v>TRX0094</v>
      </c>
      <c r="B301" s="12" t="str">
        <f>DataSet!D156</f>
        <v>Charles Allen</v>
      </c>
      <c r="C301" s="12" t="str">
        <f>DataSet!F156</f>
        <v>Monitor</v>
      </c>
      <c r="D301" s="16">
        <f>DataSet!N156</f>
        <v>1249.95</v>
      </c>
    </row>
    <row r="302" spans="1:4" x14ac:dyDescent="0.3">
      <c r="A302" s="13" t="str">
        <f>DataSet!A157</f>
        <v>TRX0133</v>
      </c>
      <c r="B302" s="12" t="str">
        <f>DataSet!D157</f>
        <v>Joseph Jackson</v>
      </c>
      <c r="C302" s="12" t="str">
        <f>DataSet!F157</f>
        <v>Headphones</v>
      </c>
      <c r="D302" s="16">
        <f>DataSet!N157</f>
        <v>299.98</v>
      </c>
    </row>
    <row r="303" spans="1:4" x14ac:dyDescent="0.3">
      <c r="A303" s="13" t="str">
        <f>DataSet!A158</f>
        <v>TRX0201</v>
      </c>
      <c r="B303" s="12" t="str">
        <f>DataSet!D158</f>
        <v>Mark Carter</v>
      </c>
      <c r="C303" s="12" t="str">
        <f>DataSet!F158</f>
        <v>Smartphone</v>
      </c>
      <c r="D303" s="16">
        <f>DataSet!N158</f>
        <v>3499.95</v>
      </c>
    </row>
    <row r="304" spans="1:4" x14ac:dyDescent="0.3">
      <c r="A304" s="13" t="str">
        <f>DataSet!A159</f>
        <v>TRX0137</v>
      </c>
      <c r="B304" s="12" t="str">
        <f>DataSet!D159</f>
        <v>William White</v>
      </c>
      <c r="C304" s="12" t="str">
        <f>DataSet!F159</f>
        <v>Monitor</v>
      </c>
      <c r="D304" s="16">
        <f>DataSet!N159</f>
        <v>999.96</v>
      </c>
    </row>
    <row r="305" spans="1:4" x14ac:dyDescent="0.3">
      <c r="A305" s="13" t="str">
        <f>DataSet!A160</f>
        <v>TRX0066</v>
      </c>
      <c r="B305" s="12" t="str">
        <f>DataSet!D160</f>
        <v>Dorothy Nelson</v>
      </c>
      <c r="C305" s="12" t="str">
        <f>DataSet!F160</f>
        <v>Smartphone</v>
      </c>
      <c r="D305" s="16">
        <f>DataSet!N160</f>
        <v>2799.96</v>
      </c>
    </row>
    <row r="306" spans="1:4" x14ac:dyDescent="0.3">
      <c r="A306" s="13" t="str">
        <f>DataSet!A161</f>
        <v>TRX0180</v>
      </c>
      <c r="B306" s="12" t="str">
        <f>DataSet!D161</f>
        <v>Nancy Collins</v>
      </c>
      <c r="C306" s="12" t="str">
        <f>DataSet!F161</f>
        <v>Monitor</v>
      </c>
      <c r="D306" s="16">
        <f>DataSet!N161</f>
        <v>499.98</v>
      </c>
    </row>
    <row r="307" spans="1:4" x14ac:dyDescent="0.3">
      <c r="A307" s="13" t="str">
        <f>DataSet!A162</f>
        <v>TRX0082</v>
      </c>
      <c r="B307" s="12" t="str">
        <f>DataSet!D162</f>
        <v>James Johnson</v>
      </c>
      <c r="C307" s="12" t="str">
        <f>DataSet!F162</f>
        <v>Blender</v>
      </c>
      <c r="D307" s="16">
        <f>DataSet!N162</f>
        <v>179.97</v>
      </c>
    </row>
    <row r="308" spans="1:4" x14ac:dyDescent="0.3">
      <c r="A308" s="13" t="str">
        <f>DataSet!A163</f>
        <v>TRX0036</v>
      </c>
      <c r="B308" s="12" t="str">
        <f>DataSet!D163</f>
        <v>Jennifer Taylor</v>
      </c>
      <c r="C308" s="12" t="str">
        <f>DataSet!F163</f>
        <v>Coffee Maker</v>
      </c>
      <c r="D308" s="16">
        <f>DataSet!N163</f>
        <v>319.95999999999998</v>
      </c>
    </row>
    <row r="309" spans="1:4" x14ac:dyDescent="0.3">
      <c r="A309" s="13" t="str">
        <f>DataSet!A164</f>
        <v>TRX0198</v>
      </c>
      <c r="B309" s="12" t="str">
        <f>DataSet!D164</f>
        <v>Helen Roberts</v>
      </c>
      <c r="C309" s="12" t="str">
        <f>DataSet!F164</f>
        <v>Coffee Maker</v>
      </c>
      <c r="D309" s="16">
        <f>DataSet!N164</f>
        <v>239.97</v>
      </c>
    </row>
    <row r="310" spans="1:4" x14ac:dyDescent="0.3">
      <c r="A310" s="13" t="str">
        <f>DataSet!A165</f>
        <v>TRX0032</v>
      </c>
      <c r="B310" s="12" t="str">
        <f>DataSet!D165</f>
        <v>Peter Richardson</v>
      </c>
      <c r="C310" s="12" t="str">
        <f>DataSet!F165</f>
        <v>Laptop</v>
      </c>
      <c r="D310" s="16">
        <f>DataSet!N165</f>
        <v>1799.98</v>
      </c>
    </row>
    <row r="311" spans="1:4" x14ac:dyDescent="0.3">
      <c r="A311" s="13" t="str">
        <f>DataSet!A166</f>
        <v>TRX0081</v>
      </c>
      <c r="B311" s="12" t="str">
        <f>DataSet!D166</f>
        <v>David Martinez</v>
      </c>
      <c r="C311" s="12" t="str">
        <f>DataSet!F166</f>
        <v>Bookshelf</v>
      </c>
      <c r="D311" s="16">
        <f>DataSet!N166</f>
        <v>149.99</v>
      </c>
    </row>
    <row r="312" spans="1:4" x14ac:dyDescent="0.3">
      <c r="A312" s="13" t="str">
        <f>DataSet!A167</f>
        <v>TRX0224</v>
      </c>
      <c r="B312" s="12" t="str">
        <f>DataSet!D167</f>
        <v>Steven Turner</v>
      </c>
      <c r="C312" s="12" t="str">
        <f>DataSet!F167</f>
        <v>Desk</v>
      </c>
      <c r="D312" s="16">
        <f>DataSet!N167</f>
        <v>599.98</v>
      </c>
    </row>
    <row r="313" spans="1:4" x14ac:dyDescent="0.3">
      <c r="A313" s="13" t="str">
        <f>DataSet!A168</f>
        <v>TRX0028</v>
      </c>
      <c r="B313" s="12" t="str">
        <f>DataSet!D168</f>
        <v>Emma Wilson</v>
      </c>
      <c r="C313" s="12" t="str">
        <f>DataSet!F168</f>
        <v>Blender</v>
      </c>
      <c r="D313" s="16">
        <f>DataSet!N168</f>
        <v>119.98</v>
      </c>
    </row>
    <row r="314" spans="1:4" x14ac:dyDescent="0.3">
      <c r="A314" s="13" t="str">
        <f>DataSet!A169</f>
        <v>TRX0183</v>
      </c>
      <c r="B314" s="12" t="str">
        <f>DataSet!D169</f>
        <v>David Martinez</v>
      </c>
      <c r="C314" s="12" t="str">
        <f>DataSet!F169</f>
        <v>Keyboard</v>
      </c>
      <c r="D314" s="16">
        <f>DataSet!N169</f>
        <v>89.99</v>
      </c>
    </row>
    <row r="315" spans="1:4" x14ac:dyDescent="0.3">
      <c r="A315" s="13" t="str">
        <f>DataSet!A170</f>
        <v>TRX0163</v>
      </c>
      <c r="B315" s="12" t="str">
        <f>DataSet!D170</f>
        <v>Daniel King</v>
      </c>
      <c r="C315" s="12" t="str">
        <f>DataSet!F170</f>
        <v>Laptop</v>
      </c>
      <c r="D315" s="16">
        <f>DataSet!N170</f>
        <v>4499.95</v>
      </c>
    </row>
    <row r="316" spans="1:4" x14ac:dyDescent="0.3">
      <c r="A316" s="13" t="str">
        <f>DataSet!A171</f>
        <v>TRX0046</v>
      </c>
      <c r="B316" s="12" t="str">
        <f>DataSet!D171</f>
        <v>Michael Brown</v>
      </c>
      <c r="C316" s="12" t="str">
        <f>DataSet!F171</f>
        <v>Bookshelf</v>
      </c>
      <c r="D316" s="16">
        <f>DataSet!N171</f>
        <v>299.98</v>
      </c>
    </row>
    <row r="317" spans="1:4" x14ac:dyDescent="0.3">
      <c r="A317" s="13" t="str">
        <f>DataSet!A172</f>
        <v>TRX0164</v>
      </c>
      <c r="B317" s="12" t="str">
        <f>DataSet!D172</f>
        <v>Linda Martin</v>
      </c>
      <c r="C317" s="12" t="str">
        <f>DataSet!F172</f>
        <v>Headphones</v>
      </c>
      <c r="D317" s="16">
        <f>DataSet!N172</f>
        <v>299.98</v>
      </c>
    </row>
    <row r="318" spans="1:4" x14ac:dyDescent="0.3">
      <c r="A318" s="13" t="str">
        <f>DataSet!A173</f>
        <v>TRX0008</v>
      </c>
      <c r="B318" s="12" t="str">
        <f>DataSet!D173</f>
        <v>David Martinez</v>
      </c>
      <c r="C318" s="12" t="str">
        <f>DataSet!F173</f>
        <v>Bookshelf</v>
      </c>
      <c r="D318" s="16">
        <f>DataSet!N173</f>
        <v>449.97</v>
      </c>
    </row>
    <row r="319" spans="1:4" x14ac:dyDescent="0.3">
      <c r="A319" s="13" t="str">
        <f>DataSet!A174</f>
        <v>TRX0171</v>
      </c>
      <c r="B319" s="12" t="str">
        <f>DataSet!D174</f>
        <v>Kevin Scott</v>
      </c>
      <c r="C319" s="12" t="str">
        <f>DataSet!F174</f>
        <v>Desk</v>
      </c>
      <c r="D319" s="16">
        <f>DataSet!N174</f>
        <v>599.98</v>
      </c>
    </row>
    <row r="320" spans="1:4" x14ac:dyDescent="0.3">
      <c r="A320" s="13" t="str">
        <f>DataSet!A175</f>
        <v>TRX0143</v>
      </c>
      <c r="B320" s="12" t="str">
        <f>DataSet!D175</f>
        <v>Michael Brown</v>
      </c>
      <c r="C320" s="12" t="str">
        <f>DataSet!F175</f>
        <v>Desk</v>
      </c>
      <c r="D320" s="16">
        <f>DataSet!N175</f>
        <v>599.98</v>
      </c>
    </row>
    <row r="321" spans="1:4" x14ac:dyDescent="0.3">
      <c r="A321" s="13" t="str">
        <f>DataSet!A176</f>
        <v>TRX0165</v>
      </c>
      <c r="B321" s="12" t="str">
        <f>DataSet!D176</f>
        <v>Helen Roberts</v>
      </c>
      <c r="C321" s="12" t="str">
        <f>DataSet!F176</f>
        <v>Office Chair</v>
      </c>
      <c r="D321" s="16">
        <f>DataSet!N176</f>
        <v>799.96</v>
      </c>
    </row>
    <row r="322" spans="1:4" x14ac:dyDescent="0.3">
      <c r="A322" s="13" t="str">
        <f>DataSet!A177</f>
        <v>TRX0156</v>
      </c>
      <c r="B322" s="12" t="str">
        <f>DataSet!D177</f>
        <v>Robert Thomas</v>
      </c>
      <c r="C322" s="12" t="str">
        <f>DataSet!F177</f>
        <v>Keyboard</v>
      </c>
      <c r="D322" s="16">
        <f>DataSet!N177</f>
        <v>89.99</v>
      </c>
    </row>
    <row r="323" spans="1:4" x14ac:dyDescent="0.3">
      <c r="A323" s="13" t="str">
        <f>DataSet!A178</f>
        <v>TRX0147</v>
      </c>
      <c r="B323" s="12" t="str">
        <f>DataSet!D178</f>
        <v>Nancy Collins</v>
      </c>
      <c r="C323" s="12" t="str">
        <f>DataSet!F178</f>
        <v>Bookshelf</v>
      </c>
      <c r="D323" s="16">
        <f>DataSet!N178</f>
        <v>749.95</v>
      </c>
    </row>
    <row r="324" spans="1:4" x14ac:dyDescent="0.3">
      <c r="A324" s="13" t="str">
        <f>DataSet!A179</f>
        <v>TRX0207</v>
      </c>
      <c r="B324" s="12" t="str">
        <f>DataSet!D179</f>
        <v>Mark Carter</v>
      </c>
      <c r="C324" s="12" t="str">
        <f>DataSet!F179</f>
        <v>Laptop</v>
      </c>
      <c r="D324" s="16">
        <f>DataSet!N179</f>
        <v>899.99</v>
      </c>
    </row>
    <row r="325" spans="1:4" x14ac:dyDescent="0.3">
      <c r="A325" s="13" t="str">
        <f>DataSet!A180</f>
        <v>TRX0056</v>
      </c>
      <c r="B325" s="12" t="str">
        <f>DataSet!D180</f>
        <v>Daniel King</v>
      </c>
      <c r="C325" s="12" t="str">
        <f>DataSet!F180</f>
        <v>Keyboard</v>
      </c>
      <c r="D325" s="16">
        <f>DataSet!N180</f>
        <v>179.98</v>
      </c>
    </row>
    <row r="326" spans="1:4" x14ac:dyDescent="0.3">
      <c r="A326" s="13" t="str">
        <f>DataSet!A181</f>
        <v>TRX0026</v>
      </c>
      <c r="B326" s="12" t="str">
        <f>DataSet!D181</f>
        <v>Arthur Edwards</v>
      </c>
      <c r="C326" s="12" t="str">
        <f>DataSet!F181</f>
        <v>Laptop</v>
      </c>
      <c r="D326" s="16">
        <f>DataSet!N181</f>
        <v>899.99</v>
      </c>
    </row>
    <row r="327" spans="1:4" x14ac:dyDescent="0.3">
      <c r="A327" s="13" t="str">
        <f>DataSet!A182</f>
        <v>TRX0237</v>
      </c>
      <c r="B327" s="12" t="str">
        <f>DataSet!D182</f>
        <v>Lisa Anderson</v>
      </c>
      <c r="C327" s="12" t="str">
        <f>DataSet!F182</f>
        <v>Headphones</v>
      </c>
      <c r="D327" s="16">
        <f>DataSet!N182</f>
        <v>749.95</v>
      </c>
    </row>
    <row r="328" spans="1:4" x14ac:dyDescent="0.3">
      <c r="A328" s="13" t="str">
        <f>DataSet!A183</f>
        <v>TRX0091</v>
      </c>
      <c r="B328" s="12" t="str">
        <f>DataSet!D183</f>
        <v>Michael Brown</v>
      </c>
      <c r="C328" s="12" t="str">
        <f>DataSet!F183</f>
        <v>Desk</v>
      </c>
      <c r="D328" s="16">
        <f>DataSet!N183</f>
        <v>899.97</v>
      </c>
    </row>
    <row r="329" spans="1:4" x14ac:dyDescent="0.3">
      <c r="A329" s="13" t="str">
        <f>DataSet!A184</f>
        <v>TRX0125</v>
      </c>
      <c r="B329" s="12" t="str">
        <f>DataSet!D184</f>
        <v>Karen Hill</v>
      </c>
      <c r="C329" s="12" t="str">
        <f>DataSet!F184</f>
        <v>Smartphone</v>
      </c>
      <c r="D329" s="16">
        <f>DataSet!N184</f>
        <v>2099.9699999999998</v>
      </c>
    </row>
    <row r="330" spans="1:4" x14ac:dyDescent="0.3">
      <c r="A330" s="13" t="str">
        <f>DataSet!A185</f>
        <v>TRX0223</v>
      </c>
      <c r="B330" s="12" t="str">
        <f>DataSet!D185</f>
        <v>Nancy Collins</v>
      </c>
      <c r="C330" s="12" t="str">
        <f>DataSet!F185</f>
        <v>Office Chair</v>
      </c>
      <c r="D330" s="16">
        <f>DataSet!N185</f>
        <v>999.95</v>
      </c>
    </row>
    <row r="331" spans="1:4" x14ac:dyDescent="0.3">
      <c r="A331" s="13" t="str">
        <f>DataSet!A186</f>
        <v>TRX0243</v>
      </c>
      <c r="B331" s="12" t="str">
        <f>DataSet!D186</f>
        <v>Virginia Sanders</v>
      </c>
      <c r="C331" s="12" t="str">
        <f>DataSet!F186</f>
        <v>Monitor</v>
      </c>
      <c r="D331" s="16">
        <f>DataSet!N186</f>
        <v>1249.95</v>
      </c>
    </row>
    <row r="332" spans="1:4" x14ac:dyDescent="0.3">
      <c r="A332" s="13" t="str">
        <f>DataSet!A187</f>
        <v>TRX0084</v>
      </c>
      <c r="B332" s="12" t="str">
        <f>DataSet!D187</f>
        <v>Steven Turner</v>
      </c>
      <c r="C332" s="12" t="str">
        <f>DataSet!F187</f>
        <v>Headphones</v>
      </c>
      <c r="D332" s="16">
        <f>DataSet!N187</f>
        <v>599.96</v>
      </c>
    </row>
    <row r="333" spans="1:4" x14ac:dyDescent="0.3">
      <c r="A333" s="13" t="str">
        <f>DataSet!A188</f>
        <v>TRX0238</v>
      </c>
      <c r="B333" s="12" t="str">
        <f>DataSet!D188</f>
        <v>Michelle Rogers</v>
      </c>
      <c r="C333" s="12" t="str">
        <f>DataSet!F188</f>
        <v>Smartphone</v>
      </c>
      <c r="D333" s="16">
        <f>DataSet!N188</f>
        <v>2099.9699999999998</v>
      </c>
    </row>
    <row r="334" spans="1:4" x14ac:dyDescent="0.3">
      <c r="A334" s="13" t="str">
        <f>DataSet!A189</f>
        <v>TRX0102</v>
      </c>
      <c r="B334" s="12" t="str">
        <f>DataSet!D189</f>
        <v>Douglas Watson</v>
      </c>
      <c r="C334" s="12" t="str">
        <f>DataSet!F189</f>
        <v>Coffee Maker</v>
      </c>
      <c r="D334" s="16">
        <f>DataSet!N189</f>
        <v>79.989999999999995</v>
      </c>
    </row>
    <row r="335" spans="1:4" x14ac:dyDescent="0.3">
      <c r="A335" s="13" t="str">
        <f>DataSet!A190</f>
        <v>TRX0022</v>
      </c>
      <c r="B335" s="12" t="str">
        <f>DataSet!D190</f>
        <v>Mark Carter</v>
      </c>
      <c r="C335" s="12" t="str">
        <f>DataSet!F190</f>
        <v>Desk</v>
      </c>
      <c r="D335" s="16">
        <f>DataSet!N190</f>
        <v>299.99</v>
      </c>
    </row>
    <row r="336" spans="1:4" x14ac:dyDescent="0.3">
      <c r="A336" s="13" t="str">
        <f>DataSet!A191</f>
        <v>TRX0087</v>
      </c>
      <c r="B336" s="12" t="str">
        <f>DataSet!D191</f>
        <v>Betty Campbell</v>
      </c>
      <c r="C336" s="12" t="str">
        <f>DataSet!F191</f>
        <v>Monitor</v>
      </c>
      <c r="D336" s="16">
        <f>DataSet!N191</f>
        <v>999.96</v>
      </c>
    </row>
    <row r="337" spans="1:4" x14ac:dyDescent="0.3">
      <c r="A337" s="13" t="str">
        <f>DataSet!A192</f>
        <v>TRX0107</v>
      </c>
      <c r="B337" s="12" t="str">
        <f>DataSet!D192</f>
        <v>Helen Roberts</v>
      </c>
      <c r="C337" s="12" t="str">
        <f>DataSet!F192</f>
        <v>Headphones</v>
      </c>
      <c r="D337" s="16">
        <f>DataSet!N192</f>
        <v>299.98</v>
      </c>
    </row>
    <row r="338" spans="1:4" x14ac:dyDescent="0.3">
      <c r="A338" s="13" t="str">
        <f>DataSet!A193</f>
        <v>TRX0051</v>
      </c>
      <c r="B338" s="12" t="str">
        <f>DataSet!D193</f>
        <v>Sandra Phillips</v>
      </c>
      <c r="C338" s="12" t="str">
        <f>DataSet!F193</f>
        <v>Desk</v>
      </c>
      <c r="D338" s="16">
        <f>DataSet!N193</f>
        <v>899.97</v>
      </c>
    </row>
    <row r="339" spans="1:4" x14ac:dyDescent="0.3">
      <c r="A339" s="13" t="str">
        <f>DataSet!A194</f>
        <v>TRX0106</v>
      </c>
      <c r="B339" s="12" t="str">
        <f>DataSet!D194</f>
        <v>Lawrence Reed</v>
      </c>
      <c r="C339" s="12" t="str">
        <f>DataSet!F194</f>
        <v>Office Chair</v>
      </c>
      <c r="D339" s="16">
        <f>DataSet!N194</f>
        <v>799.96</v>
      </c>
    </row>
    <row r="340" spans="1:4" x14ac:dyDescent="0.3">
      <c r="A340" s="13" t="str">
        <f>DataSet!A195</f>
        <v>TRX0059</v>
      </c>
      <c r="B340" s="12" t="str">
        <f>DataSet!D195</f>
        <v>Elizabeth Hall</v>
      </c>
      <c r="C340" s="12" t="str">
        <f>DataSet!F195</f>
        <v>Desk</v>
      </c>
      <c r="D340" s="16">
        <f>DataSet!N195</f>
        <v>1499.95</v>
      </c>
    </row>
    <row r="341" spans="1:4" x14ac:dyDescent="0.3">
      <c r="A341" s="13" t="str">
        <f>DataSet!A196</f>
        <v>TRX0072</v>
      </c>
      <c r="B341" s="12" t="str">
        <f>DataSet!D196</f>
        <v>Robert Thomas</v>
      </c>
      <c r="C341" s="12" t="str">
        <f>DataSet!F196</f>
        <v>Bookshelf</v>
      </c>
      <c r="D341" s="16">
        <f>DataSet!N196</f>
        <v>449.97</v>
      </c>
    </row>
    <row r="342" spans="1:4" x14ac:dyDescent="0.3">
      <c r="A342" s="13" t="str">
        <f>DataSet!A197</f>
        <v>TRX0110</v>
      </c>
      <c r="B342" s="12" t="str">
        <f>DataSet!D197</f>
        <v>Lisa Anderson</v>
      </c>
      <c r="C342" s="12" t="str">
        <f>DataSet!F197</f>
        <v>Blender</v>
      </c>
      <c r="D342" s="16">
        <f>DataSet!N197</f>
        <v>299.95</v>
      </c>
    </row>
    <row r="343" spans="1:4" x14ac:dyDescent="0.3">
      <c r="A343" s="13" t="str">
        <f>DataSet!A198</f>
        <v>TRX0126</v>
      </c>
      <c r="B343" s="12" t="str">
        <f>DataSet!D198</f>
        <v>Susan Green</v>
      </c>
      <c r="C343" s="12" t="str">
        <f>DataSet!F198</f>
        <v>Blender</v>
      </c>
      <c r="D343" s="16">
        <f>DataSet!N198</f>
        <v>239.96</v>
      </c>
    </row>
    <row r="344" spans="1:4" x14ac:dyDescent="0.3">
      <c r="A344" s="13" t="str">
        <f>DataSet!A199</f>
        <v>TRX0159</v>
      </c>
      <c r="B344" s="12" t="str">
        <f>DataSet!D199</f>
        <v>Dorothy Nelson</v>
      </c>
      <c r="C344" s="12" t="str">
        <f>DataSet!F199</f>
        <v>Monitor</v>
      </c>
      <c r="D344" s="16">
        <f>DataSet!N199</f>
        <v>999.96</v>
      </c>
    </row>
    <row r="345" spans="1:4" x14ac:dyDescent="0.3">
      <c r="A345" s="13" t="str">
        <f>DataSet!A200</f>
        <v>TRX0030</v>
      </c>
      <c r="B345" s="12" t="str">
        <f>DataSet!D200</f>
        <v>William White</v>
      </c>
      <c r="C345" s="12" t="str">
        <f>DataSet!F200</f>
        <v>Laptop</v>
      </c>
      <c r="D345" s="16">
        <f>DataSet!N200</f>
        <v>3599.96</v>
      </c>
    </row>
    <row r="346" spans="1:4" x14ac:dyDescent="0.3">
      <c r="A346" s="13" t="str">
        <f>DataSet!A201</f>
        <v>TRX0178</v>
      </c>
      <c r="B346" s="12" t="str">
        <f>DataSet!D201</f>
        <v>Mark Carter</v>
      </c>
      <c r="C346" s="12" t="str">
        <f>DataSet!F201</f>
        <v>Desk</v>
      </c>
      <c r="D346" s="16">
        <f>DataSet!N201</f>
        <v>899.97</v>
      </c>
    </row>
    <row r="347" spans="1:4" x14ac:dyDescent="0.3">
      <c r="A347" s="13" t="str">
        <f>DataSet!A202</f>
        <v>TRX0188</v>
      </c>
      <c r="B347" s="12" t="str">
        <f>DataSet!D202</f>
        <v>Douglas Watson</v>
      </c>
      <c r="C347" s="12" t="str">
        <f>DataSet!F202</f>
        <v>Smartphone</v>
      </c>
      <c r="D347" s="16">
        <f>DataSet!N202</f>
        <v>1399.98</v>
      </c>
    </row>
    <row r="348" spans="1:4" x14ac:dyDescent="0.3">
      <c r="A348" s="13" t="str">
        <f>DataSet!A203</f>
        <v>TRX0010</v>
      </c>
      <c r="B348" s="12" t="str">
        <f>DataSet!D203</f>
        <v>Karen Hill</v>
      </c>
      <c r="C348" s="12" t="str">
        <f>DataSet!F203</f>
        <v>Smartphone</v>
      </c>
      <c r="D348" s="16">
        <f>DataSet!N203</f>
        <v>2799.96</v>
      </c>
    </row>
    <row r="349" spans="1:4" x14ac:dyDescent="0.3">
      <c r="A349" s="13" t="str">
        <f>DataSet!A204</f>
        <v>TRX0069</v>
      </c>
      <c r="B349" s="12" t="str">
        <f>DataSet!D204</f>
        <v>Edward Mitchell</v>
      </c>
      <c r="C349" s="12" t="str">
        <f>DataSet!F204</f>
        <v>Keyboard</v>
      </c>
      <c r="D349" s="16">
        <f>DataSet!N204</f>
        <v>179.98</v>
      </c>
    </row>
    <row r="350" spans="1:4" x14ac:dyDescent="0.3">
      <c r="A350" s="13" t="str">
        <f>DataSet!A205</f>
        <v>TRX0166</v>
      </c>
      <c r="B350" s="12" t="str">
        <f>DataSet!D205</f>
        <v>Michael Brown</v>
      </c>
      <c r="C350" s="12" t="str">
        <f>DataSet!F205</f>
        <v>Keyboard</v>
      </c>
      <c r="D350" s="16">
        <f>DataSet!N205</f>
        <v>269.97000000000003</v>
      </c>
    </row>
    <row r="351" spans="1:4" x14ac:dyDescent="0.3">
      <c r="A351" s="13" t="str">
        <f>DataSet!A206</f>
        <v>TRX0219</v>
      </c>
      <c r="B351" s="12" t="str">
        <f>DataSet!D206</f>
        <v>Arthur Edwards</v>
      </c>
      <c r="C351" s="12" t="str">
        <f>DataSet!F206</f>
        <v>Blender</v>
      </c>
      <c r="D351" s="16">
        <f>DataSet!N206</f>
        <v>59.99</v>
      </c>
    </row>
    <row r="352" spans="1:4" x14ac:dyDescent="0.3">
      <c r="A352" s="13" t="str">
        <f>DataSet!A207</f>
        <v>TRX0024</v>
      </c>
      <c r="B352" s="12" t="str">
        <f>DataSet!D207</f>
        <v>Ruth Brooks</v>
      </c>
      <c r="C352" s="12" t="str">
        <f>DataSet!F207</f>
        <v>Bookshelf</v>
      </c>
      <c r="D352" s="16">
        <f>DataSet!N207</f>
        <v>449.97</v>
      </c>
    </row>
    <row r="353" spans="1:4" x14ac:dyDescent="0.3">
      <c r="A353" s="13" t="str">
        <f>DataSet!A208</f>
        <v>TRX0105</v>
      </c>
      <c r="B353" s="12" t="str">
        <f>DataSet!D208</f>
        <v>Virginia Sanders</v>
      </c>
      <c r="C353" s="12" t="str">
        <f>DataSet!F208</f>
        <v>Desk</v>
      </c>
      <c r="D353" s="16">
        <f>DataSet!N208</f>
        <v>1499.95</v>
      </c>
    </row>
    <row r="354" spans="1:4" x14ac:dyDescent="0.3">
      <c r="A354" s="13" t="str">
        <f>DataSet!A209</f>
        <v>TRX0011</v>
      </c>
      <c r="B354" s="12" t="str">
        <f>DataSet!D209</f>
        <v>Sharon Butler</v>
      </c>
      <c r="C354" s="12" t="str">
        <f>DataSet!F209</f>
        <v>Blender</v>
      </c>
      <c r="D354" s="16">
        <f>DataSet!N209</f>
        <v>299.95</v>
      </c>
    </row>
    <row r="355" spans="1:4" x14ac:dyDescent="0.3">
      <c r="A355" s="13" t="str">
        <f>DataSet!A210</f>
        <v>TRX0187</v>
      </c>
      <c r="B355" s="12" t="str">
        <f>DataSet!D210</f>
        <v>Nancy Collins</v>
      </c>
      <c r="C355" s="12" t="str">
        <f>DataSet!F210</f>
        <v>Coffee Maker</v>
      </c>
      <c r="D355" s="16">
        <f>DataSet!N210</f>
        <v>239.97</v>
      </c>
    </row>
    <row r="356" spans="1:4" x14ac:dyDescent="0.3">
      <c r="A356" s="13" t="str">
        <f>DataSet!A211</f>
        <v>TRX0089</v>
      </c>
      <c r="B356" s="12" t="str">
        <f>DataSet!D211</f>
        <v>Kevin Scott</v>
      </c>
      <c r="C356" s="12" t="str">
        <f>DataSet!F211</f>
        <v>Office Chair</v>
      </c>
      <c r="D356" s="16">
        <f>DataSet!N211</f>
        <v>599.97</v>
      </c>
    </row>
    <row r="357" spans="1:4" x14ac:dyDescent="0.3">
      <c r="A357" s="13" t="str">
        <f>DataSet!A212</f>
        <v>TRX0196</v>
      </c>
      <c r="B357" s="12" t="str">
        <f>DataSet!D212</f>
        <v>Paul Baker</v>
      </c>
      <c r="C357" s="12" t="str">
        <f>DataSet!F212</f>
        <v>Keyboard</v>
      </c>
      <c r="D357" s="16">
        <f>DataSet!N212</f>
        <v>179.98</v>
      </c>
    </row>
    <row r="358" spans="1:4" x14ac:dyDescent="0.3">
      <c r="A358" s="13" t="str">
        <f>DataSet!A213</f>
        <v>TRX0118</v>
      </c>
      <c r="B358" s="12" t="str">
        <f>DataSet!D213</f>
        <v>Richard Lee</v>
      </c>
      <c r="C358" s="12" t="str">
        <f>DataSet!F213</f>
        <v>Bookshelf</v>
      </c>
      <c r="D358" s="16">
        <f>DataSet!N213</f>
        <v>299.98</v>
      </c>
    </row>
    <row r="359" spans="1:4" x14ac:dyDescent="0.3">
      <c r="A359" s="13" t="str">
        <f>DataSet!A214</f>
        <v>TRX0179</v>
      </c>
      <c r="B359" s="12" t="str">
        <f>DataSet!D214</f>
        <v>Edward Mitchell</v>
      </c>
      <c r="C359" s="12" t="str">
        <f>DataSet!F214</f>
        <v>Smartphone</v>
      </c>
      <c r="D359" s="16">
        <f>DataSet!N214</f>
        <v>3499.95</v>
      </c>
    </row>
    <row r="360" spans="1:4" x14ac:dyDescent="0.3">
      <c r="A360" s="13" t="str">
        <f>DataSet!A215</f>
        <v>TRX0168</v>
      </c>
      <c r="B360" s="12" t="str">
        <f>DataSet!D215</f>
        <v>Michael Brown</v>
      </c>
      <c r="C360" s="12" t="str">
        <f>DataSet!F215</f>
        <v>Bookshelf</v>
      </c>
      <c r="D360" s="16">
        <f>DataSet!N215</f>
        <v>449.97</v>
      </c>
    </row>
    <row r="361" spans="1:4" x14ac:dyDescent="0.3">
      <c r="A361" s="13" t="str">
        <f>DataSet!A216</f>
        <v>TRX0214</v>
      </c>
      <c r="B361" s="12" t="str">
        <f>DataSet!D216</f>
        <v>Barbara Young</v>
      </c>
      <c r="C361" s="12" t="str">
        <f>DataSet!F216</f>
        <v>Laptop</v>
      </c>
      <c r="D361" s="16">
        <f>DataSet!N216</f>
        <v>2699.97</v>
      </c>
    </row>
    <row r="362" spans="1:4" x14ac:dyDescent="0.3">
      <c r="A362" s="13" t="str">
        <f>DataSet!A217</f>
        <v>TRX0221</v>
      </c>
      <c r="B362" s="12" t="str">
        <f>DataSet!D217</f>
        <v>Frank Torres</v>
      </c>
      <c r="C362" s="12" t="str">
        <f>DataSet!F217</f>
        <v>Office Chair</v>
      </c>
      <c r="D362" s="16">
        <f>DataSet!N217</f>
        <v>599.97</v>
      </c>
    </row>
    <row r="363" spans="1:4" x14ac:dyDescent="0.3">
      <c r="A363" s="13" t="str">
        <f>DataSet!A218</f>
        <v>TRX0083</v>
      </c>
      <c r="B363" s="12" t="str">
        <f>DataSet!D218</f>
        <v>Charles Allen</v>
      </c>
      <c r="C363" s="12" t="str">
        <f>DataSet!F218</f>
        <v>Desk</v>
      </c>
      <c r="D363" s="16">
        <f>DataSet!N218</f>
        <v>1499.95</v>
      </c>
    </row>
    <row r="364" spans="1:4" x14ac:dyDescent="0.3">
      <c r="A364" s="13" t="str">
        <f>DataSet!A219</f>
        <v>TRX0151</v>
      </c>
      <c r="B364" s="12" t="str">
        <f>DataSet!D219</f>
        <v>Sharon Butler</v>
      </c>
      <c r="C364" s="12" t="str">
        <f>DataSet!F219</f>
        <v>Smartphone</v>
      </c>
      <c r="D364" s="16">
        <f>DataSet!N219</f>
        <v>699.99</v>
      </c>
    </row>
    <row r="365" spans="1:4" x14ac:dyDescent="0.3">
      <c r="A365" s="13" t="str">
        <f>DataSet!A220</f>
        <v>TRX0047</v>
      </c>
      <c r="B365" s="12" t="str">
        <f>DataSet!D220</f>
        <v>Ruth Brooks</v>
      </c>
      <c r="C365" s="12" t="str">
        <f>DataSet!F220</f>
        <v>Smartphone</v>
      </c>
      <c r="D365" s="16">
        <f>DataSet!N220</f>
        <v>699.99</v>
      </c>
    </row>
    <row r="366" spans="1:4" x14ac:dyDescent="0.3">
      <c r="A366" s="13" t="str">
        <f>DataSet!A221</f>
        <v>TRX0200</v>
      </c>
      <c r="B366" s="12" t="str">
        <f>DataSet!D221</f>
        <v>Arthur Edwards</v>
      </c>
      <c r="C366" s="12" t="str">
        <f>DataSet!F221</f>
        <v>Bookshelf</v>
      </c>
      <c r="D366" s="16">
        <f>DataSet!N221</f>
        <v>599.96</v>
      </c>
    </row>
    <row r="367" spans="1:4" x14ac:dyDescent="0.3">
      <c r="A367" s="13" t="str">
        <f>DataSet!A222</f>
        <v>TRX0062</v>
      </c>
      <c r="B367" s="12" t="str">
        <f>DataSet!D222</f>
        <v>Elizabeth Hall</v>
      </c>
      <c r="C367" s="12" t="str">
        <f>DataSet!F222</f>
        <v>Keyboard</v>
      </c>
      <c r="D367" s="16">
        <f>DataSet!N222</f>
        <v>449.95</v>
      </c>
    </row>
    <row r="368" spans="1:4" x14ac:dyDescent="0.3">
      <c r="A368" s="13" t="str">
        <f>DataSet!A223</f>
        <v>TRX0182</v>
      </c>
      <c r="B368" s="12" t="str">
        <f>DataSet!D223</f>
        <v>Steven Turner</v>
      </c>
      <c r="C368" s="12" t="str">
        <f>DataSet!F223</f>
        <v>Office Chair</v>
      </c>
      <c r="D368" s="16">
        <f>DataSet!N223</f>
        <v>399.98</v>
      </c>
    </row>
    <row r="369" spans="1:4" x14ac:dyDescent="0.3">
      <c r="A369" s="13" t="str">
        <f>DataSet!A224</f>
        <v>TRX0229</v>
      </c>
      <c r="B369" s="12" t="str">
        <f>DataSet!D224</f>
        <v>Richard Lee</v>
      </c>
      <c r="C369" s="12" t="str">
        <f>DataSet!F224</f>
        <v>Blender</v>
      </c>
      <c r="D369" s="16">
        <f>DataSet!N224</f>
        <v>239.96</v>
      </c>
    </row>
    <row r="370" spans="1:4" x14ac:dyDescent="0.3">
      <c r="A370" s="13" t="str">
        <f>DataSet!A225</f>
        <v>TRX0048</v>
      </c>
      <c r="B370" s="12" t="str">
        <f>DataSet!D225</f>
        <v>Virginia Sanders</v>
      </c>
      <c r="C370" s="12" t="str">
        <f>DataSet!F225</f>
        <v>Desk</v>
      </c>
      <c r="D370" s="16">
        <f>DataSet!N225</f>
        <v>599.98</v>
      </c>
    </row>
    <row r="371" spans="1:4" x14ac:dyDescent="0.3">
      <c r="A371" s="13" t="str">
        <f>DataSet!A226</f>
        <v>TRX0227</v>
      </c>
      <c r="B371" s="12" t="str">
        <f>DataSet!D226</f>
        <v>Charles Allen</v>
      </c>
      <c r="C371" s="12" t="str">
        <f>DataSet!F226</f>
        <v>Bookshelf</v>
      </c>
      <c r="D371" s="16">
        <f>DataSet!N226</f>
        <v>299.98</v>
      </c>
    </row>
    <row r="372" spans="1:4" x14ac:dyDescent="0.3">
      <c r="A372" s="13" t="str">
        <f>DataSet!A227</f>
        <v>TRX0226</v>
      </c>
      <c r="B372" s="12" t="str">
        <f>DataSet!D227</f>
        <v>Lawrence Reed</v>
      </c>
      <c r="C372" s="12" t="str">
        <f>DataSet!F227</f>
        <v>Smartphone</v>
      </c>
      <c r="D372" s="16">
        <f>DataSet!N227</f>
        <v>3499.95</v>
      </c>
    </row>
    <row r="373" spans="1:4" x14ac:dyDescent="0.3">
      <c r="A373" s="13" t="str">
        <f>DataSet!A228</f>
        <v>TRX0053</v>
      </c>
      <c r="B373" s="12" t="str">
        <f>DataSet!D228</f>
        <v>Dennis Gray</v>
      </c>
      <c r="C373" s="12" t="str">
        <f>DataSet!F228</f>
        <v>Blender</v>
      </c>
      <c r="D373" s="16">
        <f>DataSet!N228</f>
        <v>299.95</v>
      </c>
    </row>
    <row r="374" spans="1:4" x14ac:dyDescent="0.3">
      <c r="A374" s="13" t="str">
        <f>DataSet!A229</f>
        <v>TRX0233</v>
      </c>
      <c r="B374" s="12" t="str">
        <f>DataSet!D229</f>
        <v>Paul Baker</v>
      </c>
      <c r="C374" s="12" t="str">
        <f>DataSet!F229</f>
        <v>Keyboard</v>
      </c>
      <c r="D374" s="16">
        <f>DataSet!N229</f>
        <v>179.98</v>
      </c>
    </row>
    <row r="375" spans="1:4" x14ac:dyDescent="0.3">
      <c r="A375" s="13" t="str">
        <f>DataSet!A230</f>
        <v>TRX0175</v>
      </c>
      <c r="B375" s="12" t="str">
        <f>DataSet!D230</f>
        <v>Helen Roberts</v>
      </c>
      <c r="C375" s="12" t="str">
        <f>DataSet!F230</f>
        <v>Monitor</v>
      </c>
      <c r="D375" s="16">
        <f>DataSet!N230</f>
        <v>1249.95</v>
      </c>
    </row>
    <row r="376" spans="1:4" x14ac:dyDescent="0.3">
      <c r="A376" s="13" t="str">
        <f>DataSet!A231</f>
        <v>TRX0186</v>
      </c>
      <c r="B376" s="12" t="str">
        <f>DataSet!D231</f>
        <v>Lawrence Reed</v>
      </c>
      <c r="C376" s="12" t="str">
        <f>DataSet!F231</f>
        <v>Bookshelf</v>
      </c>
      <c r="D376" s="16">
        <f>DataSet!N231</f>
        <v>299.98</v>
      </c>
    </row>
    <row r="377" spans="1:4" x14ac:dyDescent="0.3">
      <c r="A377" s="13" t="str">
        <f>DataSet!A232</f>
        <v>TRX0016</v>
      </c>
      <c r="B377" s="12" t="str">
        <f>DataSet!D232</f>
        <v>Harry Morgan</v>
      </c>
      <c r="C377" s="12" t="str">
        <f>DataSet!F232</f>
        <v>Laptop</v>
      </c>
      <c r="D377" s="16">
        <f>DataSet!N232</f>
        <v>4499.95</v>
      </c>
    </row>
    <row r="378" spans="1:4" x14ac:dyDescent="0.3">
      <c r="A378" s="13" t="str">
        <f>DataSet!A233</f>
        <v>TRX0199</v>
      </c>
      <c r="B378" s="12" t="str">
        <f>DataSet!D233</f>
        <v>Charles Allen</v>
      </c>
      <c r="C378" s="12" t="str">
        <f>DataSet!F233</f>
        <v>Bookshelf</v>
      </c>
      <c r="D378" s="16">
        <f>DataSet!N233</f>
        <v>599.96</v>
      </c>
    </row>
    <row r="379" spans="1:4" x14ac:dyDescent="0.3">
      <c r="A379" s="13" t="str">
        <f>DataSet!A234</f>
        <v>TRX0038</v>
      </c>
      <c r="B379" s="12" t="str">
        <f>DataSet!D234</f>
        <v>Harry Morgan</v>
      </c>
      <c r="C379" s="12" t="str">
        <f>DataSet!F234</f>
        <v>Monitor</v>
      </c>
      <c r="D379" s="16">
        <f>DataSet!N234</f>
        <v>249.99</v>
      </c>
    </row>
    <row r="380" spans="1:4" x14ac:dyDescent="0.3">
      <c r="A380" s="13" t="str">
        <f>DataSet!A235</f>
        <v>TRX0014</v>
      </c>
      <c r="B380" s="12" t="str">
        <f>DataSet!D235</f>
        <v>Frank Torres</v>
      </c>
      <c r="C380" s="12" t="str">
        <f>DataSet!F235</f>
        <v>Blender</v>
      </c>
      <c r="D380" s="16">
        <f>DataSet!N235</f>
        <v>119.98</v>
      </c>
    </row>
    <row r="381" spans="1:4" x14ac:dyDescent="0.3">
      <c r="A381" s="13" t="str">
        <f>DataSet!A236</f>
        <v>TRX0003</v>
      </c>
      <c r="B381" s="12" t="str">
        <f>DataSet!D236</f>
        <v>Emma Wilson</v>
      </c>
      <c r="C381" s="12" t="str">
        <f>DataSet!F236</f>
        <v>Bookshelf</v>
      </c>
      <c r="D381" s="16">
        <f>DataSet!N236</f>
        <v>299.98</v>
      </c>
    </row>
    <row r="382" spans="1:4" x14ac:dyDescent="0.3">
      <c r="A382" s="13" t="str">
        <f>DataSet!A237</f>
        <v>TRX0124</v>
      </c>
      <c r="B382" s="12" t="str">
        <f>DataSet!D237</f>
        <v>Sharon Butler</v>
      </c>
      <c r="C382" s="12" t="str">
        <f>DataSet!F237</f>
        <v>Laptop</v>
      </c>
      <c r="D382" s="16">
        <f>DataSet!N237</f>
        <v>2699.97</v>
      </c>
    </row>
    <row r="383" spans="1:4" x14ac:dyDescent="0.3">
      <c r="A383" s="13" t="str">
        <f>DataSet!A238</f>
        <v>TRX0013</v>
      </c>
      <c r="B383" s="12" t="str">
        <f>DataSet!D238</f>
        <v>Dorothy Nelson</v>
      </c>
      <c r="C383" s="12" t="str">
        <f>DataSet!F238</f>
        <v>Laptop</v>
      </c>
      <c r="D383" s="16">
        <f>DataSet!N238</f>
        <v>2699.97</v>
      </c>
    </row>
    <row r="384" spans="1:4" x14ac:dyDescent="0.3">
      <c r="A384" s="13" t="str">
        <f>DataSet!A239</f>
        <v>TRX0019</v>
      </c>
      <c r="B384" s="12" t="str">
        <f>DataSet!D239</f>
        <v>Paul Baker</v>
      </c>
      <c r="C384" s="12" t="str">
        <f>DataSet!F239</f>
        <v>Desk</v>
      </c>
      <c r="D384" s="16">
        <f>DataSet!N239</f>
        <v>899.97</v>
      </c>
    </row>
    <row r="385" spans="1:4" x14ac:dyDescent="0.3">
      <c r="A385" s="13" t="str">
        <f>DataSet!A240</f>
        <v>TRX0050</v>
      </c>
      <c r="B385" s="12" t="str">
        <f>DataSet!D240</f>
        <v>John Smith</v>
      </c>
      <c r="C385" s="12" t="str">
        <f>DataSet!F240</f>
        <v>Bookshelf</v>
      </c>
      <c r="D385" s="16">
        <f>DataSet!N240</f>
        <v>599.96</v>
      </c>
    </row>
    <row r="386" spans="1:4" x14ac:dyDescent="0.3">
      <c r="A386" s="13" t="str">
        <f>DataSet!A241</f>
        <v>TRX0152</v>
      </c>
      <c r="B386" s="12" t="str">
        <f>DataSet!D241</f>
        <v>Cynthia Price</v>
      </c>
      <c r="C386" s="12" t="str">
        <f>DataSet!F241</f>
        <v>Coffee Maker</v>
      </c>
      <c r="D386" s="16">
        <f>DataSet!N241</f>
        <v>319.95999999999998</v>
      </c>
    </row>
    <row r="387" spans="1:4" x14ac:dyDescent="0.3">
      <c r="A387" s="13" t="str">
        <f>DataSet!A242</f>
        <v>TRX0213</v>
      </c>
      <c r="B387" s="12" t="str">
        <f>DataSet!D242</f>
        <v>Margaret Wright</v>
      </c>
      <c r="C387" s="12" t="str">
        <f>DataSet!F242</f>
        <v>Keyboard</v>
      </c>
      <c r="D387" s="16">
        <f>DataSet!N242</f>
        <v>449.95</v>
      </c>
    </row>
    <row r="388" spans="1:4" x14ac:dyDescent="0.3">
      <c r="A388" s="13" t="str">
        <f>DataSet!A243</f>
        <v>TRX0197</v>
      </c>
      <c r="B388" s="12" t="str">
        <f>DataSet!D243</f>
        <v>Virginia Sanders</v>
      </c>
      <c r="C388" s="12" t="str">
        <f>DataSet!F243</f>
        <v>Bookshelf</v>
      </c>
      <c r="D388" s="16">
        <f>DataSet!N243</f>
        <v>449.97</v>
      </c>
    </row>
    <row r="389" spans="1:4" x14ac:dyDescent="0.3">
      <c r="A389" s="13" t="str">
        <f>DataSet!A244</f>
        <v>TRX0250</v>
      </c>
      <c r="B389" s="12" t="str">
        <f>DataSet!D244</f>
        <v>Karen Hill</v>
      </c>
      <c r="C389" s="12" t="str">
        <f>DataSet!F244</f>
        <v>Keyboard</v>
      </c>
      <c r="D389" s="16">
        <f>DataSet!N244</f>
        <v>179.98</v>
      </c>
    </row>
    <row r="390" spans="1:4" x14ac:dyDescent="0.3">
      <c r="A390" s="13" t="str">
        <f>DataSet!A245</f>
        <v>TRX0068</v>
      </c>
      <c r="B390" s="12" t="str">
        <f>DataSet!D245</f>
        <v>Cynthia Price</v>
      </c>
      <c r="C390" s="12" t="str">
        <f>DataSet!F245</f>
        <v>Smartphone</v>
      </c>
      <c r="D390" s="16">
        <f>DataSet!N245</f>
        <v>1399.98</v>
      </c>
    </row>
    <row r="391" spans="1:4" x14ac:dyDescent="0.3">
      <c r="A391" s="13" t="str">
        <f>DataSet!A246</f>
        <v>TRX0144</v>
      </c>
      <c r="B391" s="12" t="str">
        <f>DataSet!D246</f>
        <v>Edward Mitchell</v>
      </c>
      <c r="C391" s="12" t="str">
        <f>DataSet!F246</f>
        <v>Laptop</v>
      </c>
      <c r="D391" s="16">
        <f>DataSet!N246</f>
        <v>2699.97</v>
      </c>
    </row>
    <row r="392" spans="1:4" x14ac:dyDescent="0.3">
      <c r="A392" s="13" t="str">
        <f>DataSet!A247</f>
        <v>TRX0039</v>
      </c>
      <c r="B392" s="12" t="str">
        <f>DataSet!D247</f>
        <v>Virginia Sanders</v>
      </c>
      <c r="C392" s="12" t="str">
        <f>DataSet!F247</f>
        <v>Coffee Maker</v>
      </c>
      <c r="D392" s="16">
        <f>DataSet!N247</f>
        <v>239.97</v>
      </c>
    </row>
    <row r="393" spans="1:4" x14ac:dyDescent="0.3">
      <c r="A393" s="13" t="str">
        <f>DataSet!A248</f>
        <v>TRX0116</v>
      </c>
      <c r="B393" s="12" t="str">
        <f>DataSet!D248</f>
        <v>Robert Thomas</v>
      </c>
      <c r="C393" s="12" t="str">
        <f>DataSet!F248</f>
        <v>Keyboard</v>
      </c>
      <c r="D393" s="16">
        <f>DataSet!N248</f>
        <v>89.99</v>
      </c>
    </row>
    <row r="394" spans="1:4" x14ac:dyDescent="0.3">
      <c r="A394" s="13" t="str">
        <f>DataSet!A249</f>
        <v>TRX0120</v>
      </c>
      <c r="B394" s="12" t="str">
        <f>DataSet!D249</f>
        <v>Douglas Watson</v>
      </c>
      <c r="C394" s="12" t="str">
        <f>DataSet!F249</f>
        <v>Smartphone</v>
      </c>
      <c r="D394" s="16">
        <f>DataSet!N249</f>
        <v>2099.9699999999998</v>
      </c>
    </row>
    <row r="395" spans="1:4" x14ac:dyDescent="0.3">
      <c r="A395" s="13" t="str">
        <f>DataSet!A250</f>
        <v>TRX0103</v>
      </c>
      <c r="B395" s="12" t="str">
        <f>DataSet!D250</f>
        <v>Lawrence Reed</v>
      </c>
      <c r="C395" s="12" t="str">
        <f>DataSet!F250</f>
        <v>Keyboard</v>
      </c>
      <c r="D395" s="16">
        <f>DataSet!N250</f>
        <v>179.98</v>
      </c>
    </row>
    <row r="396" spans="1:4" ht="15" thickBot="1" x14ac:dyDescent="0.35">
      <c r="A396" s="17" t="str">
        <f>DataSet!A251</f>
        <v>TRX0064</v>
      </c>
      <c r="B396" s="22" t="str">
        <f>DataSet!D251</f>
        <v>Steven Turner</v>
      </c>
      <c r="C396" s="22" t="str">
        <f>DataSet!F251</f>
        <v>Keyboard</v>
      </c>
      <c r="D396" s="18">
        <f>DataSet!N251</f>
        <v>269.97000000000003</v>
      </c>
    </row>
    <row r="399" spans="1:4" ht="15" thickBot="1" x14ac:dyDescent="0.35"/>
    <row r="400" spans="1:4" ht="18.600000000000001" thickBot="1" x14ac:dyDescent="0.4">
      <c r="A400" s="58" t="s">
        <v>409</v>
      </c>
      <c r="B400" s="59"/>
    </row>
    <row r="401" spans="1:12" ht="15" thickBot="1" x14ac:dyDescent="0.35"/>
    <row r="402" spans="1:12" ht="15" thickBot="1" x14ac:dyDescent="0.35">
      <c r="A402" s="30" t="s">
        <v>410</v>
      </c>
      <c r="B402" s="29">
        <f ca="1">NOW()</f>
        <v>46286.527024189818</v>
      </c>
    </row>
    <row r="404" spans="1:12" ht="15" thickBot="1" x14ac:dyDescent="0.35"/>
    <row r="405" spans="1:12" ht="18.600000000000001" thickBot="1" x14ac:dyDescent="0.4">
      <c r="A405" s="58" t="s">
        <v>456</v>
      </c>
      <c r="B405" s="60"/>
      <c r="C405" s="59"/>
    </row>
    <row r="406" spans="1:12" ht="15" thickBot="1" x14ac:dyDescent="0.35"/>
    <row r="407" spans="1:12" ht="15" thickBot="1" x14ac:dyDescent="0.35">
      <c r="A407" s="26" t="s">
        <v>411</v>
      </c>
      <c r="B407" s="28" t="s">
        <v>412</v>
      </c>
    </row>
    <row r="408" spans="1:12" x14ac:dyDescent="0.3">
      <c r="A408" s="23" t="s">
        <v>7</v>
      </c>
      <c r="B408" s="25">
        <v>20</v>
      </c>
    </row>
    <row r="409" spans="1:12" x14ac:dyDescent="0.3">
      <c r="A409" s="13" t="s">
        <v>413</v>
      </c>
      <c r="B409" s="16">
        <v>100</v>
      </c>
    </row>
    <row r="410" spans="1:12" ht="15" thickBot="1" x14ac:dyDescent="0.35">
      <c r="A410" s="17" t="s">
        <v>414</v>
      </c>
      <c r="B410" s="18">
        <f>B408*B409</f>
        <v>2000</v>
      </c>
    </row>
    <row r="411" spans="1:12" ht="15" thickBot="1" x14ac:dyDescent="0.35"/>
    <row r="412" spans="1:12" ht="18.600000000000001" thickBot="1" x14ac:dyDescent="0.4">
      <c r="A412" s="58" t="s">
        <v>429</v>
      </c>
      <c r="B412" s="60"/>
      <c r="C412" s="59"/>
    </row>
    <row r="413" spans="1:12" ht="15" thickBot="1" x14ac:dyDescent="0.35"/>
    <row r="414" spans="1:12" ht="15" thickBot="1" x14ac:dyDescent="0.35">
      <c r="A414" s="41" t="s">
        <v>430</v>
      </c>
      <c r="D414" s="44" t="s">
        <v>432</v>
      </c>
      <c r="E414" s="46"/>
      <c r="F414" s="42"/>
      <c r="G414" s="42"/>
      <c r="H414" s="42"/>
      <c r="I414" s="42"/>
      <c r="J414" s="42"/>
      <c r="K414" s="42"/>
      <c r="L414" s="42"/>
    </row>
    <row r="415" spans="1:12" ht="18.600000000000001" thickBot="1" x14ac:dyDescent="0.4">
      <c r="A415" s="43"/>
      <c r="B415" s="43"/>
      <c r="D415" s="42"/>
      <c r="E415" s="42"/>
      <c r="F415" s="42"/>
      <c r="G415" s="42"/>
      <c r="H415" s="42"/>
      <c r="I415" s="42"/>
      <c r="J415" s="42"/>
      <c r="K415" s="42"/>
      <c r="L415" s="42"/>
    </row>
    <row r="416" spans="1:12" ht="15" thickBot="1" x14ac:dyDescent="0.35">
      <c r="A416" s="26" t="s">
        <v>7</v>
      </c>
      <c r="B416" s="28" t="s">
        <v>431</v>
      </c>
      <c r="D416" s="56" t="s">
        <v>433</v>
      </c>
      <c r="E416" s="57"/>
      <c r="F416" s="42"/>
      <c r="G416" s="42"/>
      <c r="H416" s="42"/>
      <c r="I416" s="42"/>
      <c r="J416" s="42"/>
      <c r="K416" s="42"/>
      <c r="L416" s="42"/>
    </row>
    <row r="417" spans="1:12" x14ac:dyDescent="0.3">
      <c r="A417" s="23">
        <f>DataSet!H2</f>
        <v>3</v>
      </c>
      <c r="B417" s="25">
        <f>DataSet!N2</f>
        <v>749.97</v>
      </c>
      <c r="D417" s="23" t="s">
        <v>434</v>
      </c>
      <c r="E417" s="25">
        <v>0.45808036093237842</v>
      </c>
      <c r="F417" s="42"/>
      <c r="G417" s="42"/>
      <c r="H417" s="42"/>
      <c r="I417" s="42"/>
      <c r="J417" s="42"/>
      <c r="K417" s="42"/>
      <c r="L417" s="42"/>
    </row>
    <row r="418" spans="1:12" x14ac:dyDescent="0.3">
      <c r="A418" s="13">
        <f>DataSet!H3</f>
        <v>3</v>
      </c>
      <c r="B418" s="16">
        <f>DataSet!N3</f>
        <v>749.97</v>
      </c>
      <c r="D418" s="13" t="s">
        <v>435</v>
      </c>
      <c r="E418" s="16">
        <v>0.2098376170719381</v>
      </c>
      <c r="F418" s="42"/>
      <c r="G418" s="42"/>
      <c r="H418" s="42"/>
      <c r="I418" s="42"/>
      <c r="J418" s="42"/>
      <c r="K418" s="42"/>
      <c r="L418" s="42"/>
    </row>
    <row r="419" spans="1:12" x14ac:dyDescent="0.3">
      <c r="A419" s="13">
        <f>DataSet!H4</f>
        <v>3</v>
      </c>
      <c r="B419" s="16">
        <f>DataSet!N4</f>
        <v>179.97</v>
      </c>
      <c r="D419" s="13" t="s">
        <v>436</v>
      </c>
      <c r="E419" s="16">
        <v>0.20665147843109913</v>
      </c>
      <c r="F419" s="42"/>
      <c r="G419" s="42"/>
      <c r="H419" s="42"/>
      <c r="I419" s="42"/>
      <c r="J419" s="42"/>
      <c r="K419" s="42"/>
      <c r="L419" s="42"/>
    </row>
    <row r="420" spans="1:12" x14ac:dyDescent="0.3">
      <c r="A420" s="13">
        <f>DataSet!H5</f>
        <v>3</v>
      </c>
      <c r="B420" s="16">
        <f>DataSet!N5</f>
        <v>179.97</v>
      </c>
      <c r="D420" s="13" t="s">
        <v>437</v>
      </c>
      <c r="E420" s="16">
        <v>919.60715349471081</v>
      </c>
      <c r="F420" s="42"/>
      <c r="G420" s="42"/>
      <c r="H420" s="42"/>
      <c r="I420" s="42"/>
      <c r="J420" s="42"/>
      <c r="K420" s="42"/>
      <c r="L420" s="42"/>
    </row>
    <row r="421" spans="1:12" ht="15" thickBot="1" x14ac:dyDescent="0.35">
      <c r="A421" s="13">
        <f>DataSet!H6</f>
        <v>5</v>
      </c>
      <c r="B421" s="16">
        <f>DataSet!N6</f>
        <v>749.95</v>
      </c>
      <c r="D421" s="17" t="s">
        <v>438</v>
      </c>
      <c r="E421" s="18">
        <v>250</v>
      </c>
      <c r="F421" s="42"/>
      <c r="G421" s="42"/>
      <c r="H421" s="42"/>
      <c r="I421" s="42"/>
      <c r="J421" s="42"/>
      <c r="K421" s="42"/>
      <c r="L421" s="42"/>
    </row>
    <row r="422" spans="1:12" ht="15" thickBot="1" x14ac:dyDescent="0.35">
      <c r="A422" s="13">
        <f>DataSet!H7</f>
        <v>2</v>
      </c>
      <c r="B422" s="16">
        <f>DataSet!N7</f>
        <v>119.98</v>
      </c>
      <c r="C422" s="42"/>
      <c r="D422" s="42"/>
      <c r="E422" s="42"/>
      <c r="F422" s="42"/>
      <c r="G422" s="42"/>
      <c r="H422" s="42"/>
      <c r="I422" s="42"/>
      <c r="J422" s="42"/>
      <c r="K422" s="42"/>
      <c r="L422" s="42"/>
    </row>
    <row r="423" spans="1:12" ht="15" thickBot="1" x14ac:dyDescent="0.35">
      <c r="A423" s="13">
        <f>DataSet!H8</f>
        <v>5</v>
      </c>
      <c r="B423" s="16">
        <f>DataSet!N8</f>
        <v>749.95</v>
      </c>
      <c r="C423" s="42"/>
      <c r="D423" s="44" t="s">
        <v>439</v>
      </c>
      <c r="E423" s="45"/>
      <c r="F423" s="45"/>
      <c r="G423" s="45"/>
      <c r="H423" s="45"/>
      <c r="I423" s="46"/>
      <c r="J423" s="42"/>
      <c r="K423" s="42"/>
      <c r="L423" s="42"/>
    </row>
    <row r="424" spans="1:12" ht="15" thickBot="1" x14ac:dyDescent="0.35">
      <c r="A424" s="13">
        <f>DataSet!H9</f>
        <v>3</v>
      </c>
      <c r="B424" s="16">
        <f>DataSet!N9</f>
        <v>179.97</v>
      </c>
      <c r="C424" s="42"/>
      <c r="D424" s="50"/>
      <c r="E424" s="47" t="s">
        <v>444</v>
      </c>
      <c r="F424" s="48" t="s">
        <v>445</v>
      </c>
      <c r="G424" s="48" t="s">
        <v>446</v>
      </c>
      <c r="H424" s="48" t="s">
        <v>447</v>
      </c>
      <c r="I424" s="49" t="s">
        <v>448</v>
      </c>
      <c r="J424" s="42"/>
      <c r="K424" s="42"/>
      <c r="L424" s="42"/>
    </row>
    <row r="425" spans="1:12" x14ac:dyDescent="0.3">
      <c r="A425" s="13">
        <f>DataSet!H10</f>
        <v>3</v>
      </c>
      <c r="B425" s="16">
        <f>DataSet!N10</f>
        <v>2699.97</v>
      </c>
      <c r="C425" s="42"/>
      <c r="D425" s="52" t="s">
        <v>440</v>
      </c>
      <c r="E425" s="23">
        <v>1</v>
      </c>
      <c r="F425" s="24">
        <v>55695916.896352619</v>
      </c>
      <c r="G425" s="24">
        <v>55695916.896352619</v>
      </c>
      <c r="H425" s="24">
        <v>65.859537429508919</v>
      </c>
      <c r="I425" s="25">
        <v>2.2586478953134677E-14</v>
      </c>
      <c r="J425" s="42"/>
      <c r="K425" s="42"/>
      <c r="L425" s="42"/>
    </row>
    <row r="426" spans="1:12" x14ac:dyDescent="0.3">
      <c r="A426" s="13">
        <f>DataSet!H11</f>
        <v>3</v>
      </c>
      <c r="B426" s="16">
        <f>DataSet!N11</f>
        <v>179.97</v>
      </c>
      <c r="C426" s="42"/>
      <c r="D426" s="52" t="s">
        <v>441</v>
      </c>
      <c r="E426" s="13">
        <v>248</v>
      </c>
      <c r="F426" s="12">
        <v>209727974.55614385</v>
      </c>
      <c r="G426" s="12">
        <v>845677.31675864453</v>
      </c>
      <c r="H426" s="12"/>
      <c r="I426" s="16"/>
      <c r="J426" s="42"/>
      <c r="K426" s="42"/>
      <c r="L426" s="42"/>
    </row>
    <row r="427" spans="1:12" ht="15" thickBot="1" x14ac:dyDescent="0.35">
      <c r="A427" s="13">
        <f>DataSet!H12</f>
        <v>1</v>
      </c>
      <c r="B427" s="16">
        <f>DataSet!N12</f>
        <v>149.99</v>
      </c>
      <c r="C427" s="42"/>
      <c r="D427" s="53" t="s">
        <v>442</v>
      </c>
      <c r="E427" s="17">
        <v>249</v>
      </c>
      <c r="F427" s="22">
        <v>265423891.45249647</v>
      </c>
      <c r="G427" s="22"/>
      <c r="H427" s="22"/>
      <c r="I427" s="18"/>
      <c r="J427" s="42"/>
      <c r="K427" s="42"/>
      <c r="L427" s="42"/>
    </row>
    <row r="428" spans="1:12" ht="15" thickBot="1" x14ac:dyDescent="0.35">
      <c r="A428" s="13">
        <f>DataSet!H13</f>
        <v>5</v>
      </c>
      <c r="B428" s="16">
        <f>DataSet!N13</f>
        <v>749.95</v>
      </c>
      <c r="C428" s="42"/>
      <c r="D428" s="42"/>
      <c r="E428" s="42"/>
      <c r="F428" s="42"/>
      <c r="G428" s="42"/>
      <c r="H428" s="42"/>
      <c r="I428" s="42"/>
      <c r="J428" s="42"/>
      <c r="K428" s="42"/>
      <c r="L428" s="42"/>
    </row>
    <row r="429" spans="1:12" ht="15" thickBot="1" x14ac:dyDescent="0.35">
      <c r="A429" s="13">
        <f>DataSet!H14</f>
        <v>3</v>
      </c>
      <c r="B429" s="16">
        <f>DataSet!N14</f>
        <v>449.97</v>
      </c>
      <c r="C429" s="42"/>
      <c r="D429" s="51"/>
      <c r="E429" s="47" t="s">
        <v>449</v>
      </c>
      <c r="F429" s="48" t="s">
        <v>437</v>
      </c>
      <c r="G429" s="48" t="s">
        <v>450</v>
      </c>
      <c r="H429" s="48" t="s">
        <v>451</v>
      </c>
      <c r="I429" s="48" t="s">
        <v>452</v>
      </c>
      <c r="J429" s="48" t="s">
        <v>453</v>
      </c>
      <c r="K429" s="48" t="s">
        <v>454</v>
      </c>
      <c r="L429" s="49" t="s">
        <v>455</v>
      </c>
    </row>
    <row r="430" spans="1:12" x14ac:dyDescent="0.3">
      <c r="A430" s="13">
        <f>DataSet!H15</f>
        <v>3</v>
      </c>
      <c r="B430" s="16">
        <f>DataSet!N15</f>
        <v>179.97</v>
      </c>
      <c r="C430" s="42"/>
      <c r="D430" s="54" t="s">
        <v>443</v>
      </c>
      <c r="E430" s="23">
        <v>-148.85464891541903</v>
      </c>
      <c r="F430" s="24">
        <v>143.61334429876464</v>
      </c>
      <c r="G430" s="24">
        <v>-1.0364959443166415</v>
      </c>
      <c r="H430" s="24">
        <v>0.30098040367911694</v>
      </c>
      <c r="I430" s="24">
        <v>-431.71199538208884</v>
      </c>
      <c r="J430" s="24">
        <v>134.00269755125078</v>
      </c>
      <c r="K430" s="24">
        <v>-431.71199538208884</v>
      </c>
      <c r="L430" s="25">
        <v>134.00269755125078</v>
      </c>
    </row>
    <row r="431" spans="1:12" ht="15" thickBot="1" x14ac:dyDescent="0.35">
      <c r="A431" s="13">
        <f>DataSet!H16</f>
        <v>3</v>
      </c>
      <c r="B431" s="16">
        <f>DataSet!N16</f>
        <v>2099.9699999999998</v>
      </c>
      <c r="C431" s="42"/>
      <c r="D431" s="55" t="s">
        <v>7</v>
      </c>
      <c r="E431" s="17">
        <v>353.7930042879882</v>
      </c>
      <c r="F431" s="22">
        <v>43.595323340526868</v>
      </c>
      <c r="G431" s="22">
        <v>8.1153889265708674</v>
      </c>
      <c r="H431" s="22">
        <v>2.2586478953133775E-14</v>
      </c>
      <c r="I431" s="22">
        <v>267.92871682452869</v>
      </c>
      <c r="J431" s="22">
        <v>439.6572917514477</v>
      </c>
      <c r="K431" s="22">
        <v>267.92871682452869</v>
      </c>
      <c r="L431" s="18">
        <v>439.6572917514477</v>
      </c>
    </row>
    <row r="432" spans="1:12" x14ac:dyDescent="0.3">
      <c r="A432" s="13">
        <f>DataSet!H17</f>
        <v>1</v>
      </c>
      <c r="B432" s="16">
        <f>DataSet!N17</f>
        <v>899.99</v>
      </c>
      <c r="C432" s="42"/>
    </row>
    <row r="433" spans="1:6" ht="15" thickBot="1" x14ac:dyDescent="0.35">
      <c r="A433" s="13">
        <f>DataSet!H18</f>
        <v>4</v>
      </c>
      <c r="B433" s="16">
        <f>DataSet!N18</f>
        <v>599.96</v>
      </c>
      <c r="C433" s="42"/>
    </row>
    <row r="434" spans="1:6" ht="18.600000000000001" thickBot="1" x14ac:dyDescent="0.4">
      <c r="A434" s="13">
        <f>DataSet!H19</f>
        <v>2</v>
      </c>
      <c r="B434" s="16">
        <f>DataSet!N19</f>
        <v>1399.98</v>
      </c>
      <c r="C434" s="42"/>
      <c r="D434" s="58" t="s">
        <v>457</v>
      </c>
      <c r="E434" s="59"/>
    </row>
    <row r="435" spans="1:6" x14ac:dyDescent="0.3">
      <c r="A435" s="13">
        <f>DataSet!H20</f>
        <v>4</v>
      </c>
      <c r="B435" s="16">
        <f>DataSet!N20</f>
        <v>3599.96</v>
      </c>
      <c r="C435" s="42"/>
    </row>
    <row r="436" spans="1:6" ht="15" thickBot="1" x14ac:dyDescent="0.35">
      <c r="A436" s="13">
        <f>DataSet!H21</f>
        <v>3</v>
      </c>
      <c r="B436" s="16">
        <f>DataSet!N21</f>
        <v>749.97</v>
      </c>
      <c r="C436" s="42"/>
    </row>
    <row r="437" spans="1:6" ht="15" thickBot="1" x14ac:dyDescent="0.35">
      <c r="A437" s="13">
        <f>DataSet!H22</f>
        <v>5</v>
      </c>
      <c r="B437" s="16">
        <f>DataSet!N22</f>
        <v>3499.95</v>
      </c>
      <c r="C437" s="42"/>
      <c r="D437" s="62" t="s">
        <v>458</v>
      </c>
      <c r="E437" s="63" t="s">
        <v>401</v>
      </c>
    </row>
    <row r="438" spans="1:6" x14ac:dyDescent="0.3">
      <c r="A438" s="13">
        <f>DataSet!H23</f>
        <v>4</v>
      </c>
      <c r="B438" s="16">
        <f>DataSet!N23</f>
        <v>2799.96</v>
      </c>
      <c r="C438" s="42"/>
      <c r="D438" s="64" t="s">
        <v>459</v>
      </c>
      <c r="E438" s="65">
        <f>SUM(DataSet!N2:N251)</f>
        <v>229192.47000000032</v>
      </c>
      <c r="F438" s="42"/>
    </row>
    <row r="439" spans="1:6" x14ac:dyDescent="0.3">
      <c r="A439" s="13">
        <f>DataSet!H24</f>
        <v>4</v>
      </c>
      <c r="B439" s="16">
        <f>DataSet!N24</f>
        <v>999.96</v>
      </c>
      <c r="C439" s="42"/>
      <c r="D439" s="13" t="s">
        <v>460</v>
      </c>
      <c r="E439" s="16">
        <f>COUNTA(DataSet!A2:A251)</f>
        <v>250</v>
      </c>
      <c r="F439" s="42"/>
    </row>
    <row r="440" spans="1:6" x14ac:dyDescent="0.3">
      <c r="A440" s="13">
        <f>DataSet!H25</f>
        <v>4</v>
      </c>
      <c r="B440" s="16">
        <f>DataSet!N25</f>
        <v>1199.96</v>
      </c>
      <c r="C440" s="42"/>
      <c r="D440" s="13" t="s">
        <v>461</v>
      </c>
      <c r="E440" s="16">
        <f>+SUM(DataSet!H2:H251)</f>
        <v>753</v>
      </c>
      <c r="F440" s="42"/>
    </row>
    <row r="441" spans="1:6" x14ac:dyDescent="0.3">
      <c r="A441" s="13">
        <f>DataSet!H26</f>
        <v>5</v>
      </c>
      <c r="B441" s="16">
        <f>DataSet!N26</f>
        <v>1249.95</v>
      </c>
      <c r="C441" s="42"/>
      <c r="D441" s="13" t="s">
        <v>462</v>
      </c>
      <c r="E441" s="16">
        <f>AVERAGE(DataSet!N2:N251)</f>
        <v>916.76988000000131</v>
      </c>
      <c r="F441" s="42"/>
    </row>
    <row r="442" spans="1:6" x14ac:dyDescent="0.3">
      <c r="A442" s="13">
        <f>DataSet!H27</f>
        <v>5</v>
      </c>
      <c r="B442" s="16">
        <f>DataSet!N27</f>
        <v>1499.95</v>
      </c>
      <c r="C442" s="42"/>
      <c r="D442" s="13" t="s">
        <v>463</v>
      </c>
      <c r="E442" s="16">
        <f>AVERAGE(DataSet!H2:H251)</f>
        <v>3.012</v>
      </c>
      <c r="F442" s="42"/>
    </row>
    <row r="443" spans="1:6" ht="15" thickBot="1" x14ac:dyDescent="0.35">
      <c r="A443" s="13">
        <f>DataSet!H28</f>
        <v>3</v>
      </c>
      <c r="B443" s="16">
        <f>DataSet!N28</f>
        <v>239.97</v>
      </c>
      <c r="C443" s="42"/>
      <c r="D443" s="17"/>
      <c r="E443" s="18"/>
      <c r="F443" s="42"/>
    </row>
    <row r="444" spans="1:6" ht="15" thickBot="1" x14ac:dyDescent="0.35">
      <c r="A444" s="13">
        <f>DataSet!H29</f>
        <v>5</v>
      </c>
      <c r="B444" s="16">
        <f>DataSet!N29</f>
        <v>449.95</v>
      </c>
      <c r="C444" s="42"/>
      <c r="D444" s="42"/>
      <c r="E444" s="42"/>
      <c r="F444" s="42"/>
    </row>
    <row r="445" spans="1:6" ht="18.600000000000001" thickBot="1" x14ac:dyDescent="0.4">
      <c r="A445" s="13">
        <f>DataSet!H30</f>
        <v>2</v>
      </c>
      <c r="B445" s="16">
        <f>DataSet!N30</f>
        <v>119.98</v>
      </c>
      <c r="C445" s="42"/>
      <c r="D445" s="66" t="s">
        <v>464</v>
      </c>
      <c r="E445" s="42"/>
      <c r="F445" s="42"/>
    </row>
    <row r="446" spans="1:6" x14ac:dyDescent="0.3">
      <c r="A446" s="13">
        <f>DataSet!H31</f>
        <v>4</v>
      </c>
      <c r="B446" s="16">
        <f>DataSet!N31</f>
        <v>239.96</v>
      </c>
      <c r="C446" s="42"/>
      <c r="D446" s="42"/>
      <c r="E446" s="42"/>
      <c r="F446" s="42"/>
    </row>
    <row r="447" spans="1:6" ht="15" thickBot="1" x14ac:dyDescent="0.35">
      <c r="A447" s="13">
        <f>DataSet!H32</f>
        <v>5</v>
      </c>
      <c r="B447" s="16">
        <f>DataSet!N32</f>
        <v>999.95</v>
      </c>
      <c r="C447" s="42"/>
      <c r="D447" s="42"/>
      <c r="E447" s="42"/>
      <c r="F447" s="42"/>
    </row>
    <row r="448" spans="1:6" x14ac:dyDescent="0.3">
      <c r="A448" s="13">
        <f>DataSet!H33</f>
        <v>2</v>
      </c>
      <c r="B448" s="16">
        <f>DataSet!N33</f>
        <v>299.98</v>
      </c>
      <c r="C448" s="42"/>
      <c r="D448" s="64" t="s">
        <v>465</v>
      </c>
      <c r="E448" s="65" t="s">
        <v>401</v>
      </c>
      <c r="F448" s="42"/>
    </row>
    <row r="449" spans="1:6" ht="15" thickBot="1" x14ac:dyDescent="0.35">
      <c r="A449" s="13">
        <f>DataSet!H34</f>
        <v>3</v>
      </c>
      <c r="B449" s="16">
        <f>DataSet!N34</f>
        <v>449.97</v>
      </c>
      <c r="C449" s="42"/>
      <c r="D449" s="17" t="s">
        <v>466</v>
      </c>
      <c r="E449" s="18" t="str" cm="1">
        <f t="array" ref="E449">_xlfn.LET(_xlpm.names,_xlfn.UNIQUE(DataSet!D2:D251),_xlpm.totals,SUMIF(DataSet!D2:D251,_xlpm.names,DataSet!N2:N251),INDEX(_xlpm.names,MATCH(MAX(_xlpm.totals),_xlpm.totals,0)))</f>
        <v>Mark Carter</v>
      </c>
      <c r="F449" s="42"/>
    </row>
    <row r="450" spans="1:6" x14ac:dyDescent="0.3">
      <c r="A450" s="13">
        <f>DataSet!H35</f>
        <v>1</v>
      </c>
      <c r="B450" s="16">
        <f>DataSet!N35</f>
        <v>899.99</v>
      </c>
      <c r="C450" s="42"/>
      <c r="D450" s="42"/>
      <c r="E450" s="67"/>
      <c r="F450" s="42"/>
    </row>
    <row r="451" spans="1:6" ht="15" thickBot="1" x14ac:dyDescent="0.35">
      <c r="A451" s="13">
        <f>DataSet!H36</f>
        <v>3</v>
      </c>
      <c r="B451" s="16">
        <f>DataSet!N36</f>
        <v>899.97</v>
      </c>
      <c r="C451" s="42"/>
      <c r="D451" s="42"/>
      <c r="E451" s="67"/>
      <c r="F451" s="42"/>
    </row>
    <row r="452" spans="1:6" ht="18.600000000000001" thickBot="1" x14ac:dyDescent="0.4">
      <c r="A452" s="13">
        <f>DataSet!H37</f>
        <v>3</v>
      </c>
      <c r="B452" s="16">
        <f>DataSet!N37</f>
        <v>239.97</v>
      </c>
      <c r="C452" s="42"/>
      <c r="D452" s="66" t="s">
        <v>467</v>
      </c>
      <c r="E452" s="42"/>
      <c r="F452" s="42"/>
    </row>
    <row r="453" spans="1:6" x14ac:dyDescent="0.3">
      <c r="A453" s="13">
        <f>DataSet!H38</f>
        <v>3</v>
      </c>
      <c r="B453" s="16">
        <f>DataSet!N38</f>
        <v>599.97</v>
      </c>
      <c r="C453" s="42"/>
      <c r="D453" s="42"/>
      <c r="E453" s="42"/>
      <c r="F453" s="42"/>
    </row>
    <row r="454" spans="1:6" ht="15" thickBot="1" x14ac:dyDescent="0.35">
      <c r="A454" s="13">
        <f>DataSet!H39</f>
        <v>5</v>
      </c>
      <c r="B454" s="16">
        <f>DataSet!N39</f>
        <v>3499.95</v>
      </c>
      <c r="C454" s="42"/>
      <c r="D454" s="42"/>
      <c r="E454" s="42"/>
      <c r="F454" s="42"/>
    </row>
    <row r="455" spans="1:6" x14ac:dyDescent="0.3">
      <c r="A455" s="13">
        <f>DataSet!H40</f>
        <v>3</v>
      </c>
      <c r="B455" s="16">
        <f>DataSet!N40</f>
        <v>269.97000000000003</v>
      </c>
      <c r="C455" s="42"/>
      <c r="D455" s="64" t="s">
        <v>468</v>
      </c>
      <c r="E455" s="65" t="s">
        <v>401</v>
      </c>
      <c r="F455" s="42"/>
    </row>
    <row r="456" spans="1:6" ht="15" thickBot="1" x14ac:dyDescent="0.35">
      <c r="A456" s="13">
        <f>DataSet!H41</f>
        <v>1</v>
      </c>
      <c r="B456" s="16">
        <f>DataSet!N41</f>
        <v>79.989999999999995</v>
      </c>
      <c r="C456" s="42"/>
      <c r="D456" s="17" t="s">
        <v>469</v>
      </c>
      <c r="E456" s="18" t="str" cm="1">
        <f t="array" ref="E456">_xlfn.LET(_xlpm.products,_xlfn.UNIQUE(DataSet!F2:F251),_xlpm.qty,SUMIF(DataSet!F2:F251,_xlpm.products,DataSet!H2:H251),INDEX(_xlpm.products,MATCH(MAX(_xlpm.qty),_xlpm.qty,0)))</f>
        <v>Bookshelf</v>
      </c>
      <c r="F456" s="42"/>
    </row>
    <row r="457" spans="1:6" x14ac:dyDescent="0.3">
      <c r="A457" s="13">
        <f>DataSet!H42</f>
        <v>2</v>
      </c>
      <c r="B457" s="16">
        <f>DataSet!N42</f>
        <v>119.98</v>
      </c>
      <c r="C457" s="42"/>
      <c r="D457" s="42"/>
      <c r="E457" s="42"/>
      <c r="F457" s="42"/>
    </row>
    <row r="458" spans="1:6" ht="15" thickBot="1" x14ac:dyDescent="0.35">
      <c r="A458" s="13">
        <f>DataSet!H43</f>
        <v>1</v>
      </c>
      <c r="B458" s="16">
        <f>DataSet!N43</f>
        <v>89.99</v>
      </c>
      <c r="C458" s="42"/>
      <c r="D458" s="42"/>
      <c r="E458" s="42"/>
      <c r="F458" s="42"/>
    </row>
    <row r="459" spans="1:6" ht="18.600000000000001" thickBot="1" x14ac:dyDescent="0.4">
      <c r="A459" s="13">
        <f>DataSet!H44</f>
        <v>5</v>
      </c>
      <c r="B459" s="16">
        <f>DataSet!N44</f>
        <v>449.95</v>
      </c>
      <c r="C459" s="42"/>
      <c r="D459" s="66" t="s">
        <v>470</v>
      </c>
      <c r="E459" s="42"/>
      <c r="F459" s="42"/>
    </row>
    <row r="460" spans="1:6" x14ac:dyDescent="0.3">
      <c r="A460" s="13">
        <f>DataSet!H45</f>
        <v>5</v>
      </c>
      <c r="B460" s="16">
        <f>DataSet!N45</f>
        <v>1249.95</v>
      </c>
      <c r="C460" s="42"/>
      <c r="D460" s="42"/>
      <c r="E460" s="42"/>
      <c r="F460" s="42"/>
    </row>
    <row r="461" spans="1:6" ht="15" thickBot="1" x14ac:dyDescent="0.35">
      <c r="A461" s="13">
        <f>DataSet!H46</f>
        <v>1</v>
      </c>
      <c r="B461" s="16">
        <f>DataSet!N46</f>
        <v>89.99</v>
      </c>
      <c r="C461" s="42"/>
      <c r="D461" s="42"/>
      <c r="E461" s="42"/>
      <c r="F461" s="42"/>
    </row>
    <row r="462" spans="1:6" ht="15" thickBot="1" x14ac:dyDescent="0.35">
      <c r="A462" s="13">
        <f>DataSet!H47</f>
        <v>2</v>
      </c>
      <c r="B462" s="16">
        <f>DataSet!N47</f>
        <v>299.98</v>
      </c>
      <c r="C462" s="42"/>
      <c r="D462" s="26" t="s">
        <v>10</v>
      </c>
      <c r="E462" s="28" t="s">
        <v>414</v>
      </c>
      <c r="F462" s="42"/>
    </row>
    <row r="463" spans="1:6" x14ac:dyDescent="0.3">
      <c r="A463" s="13">
        <f>DataSet!H48</f>
        <v>4</v>
      </c>
      <c r="B463" s="16">
        <f>DataSet!N48</f>
        <v>239.96</v>
      </c>
      <c r="C463" s="42"/>
      <c r="D463" s="23" t="s">
        <v>40</v>
      </c>
      <c r="E463" s="25">
        <f>SUMIF(DataSet!K$2:K$251,D463,DataSet!N$2:N$251)</f>
        <v>50808.310000000012</v>
      </c>
      <c r="F463" s="42"/>
    </row>
    <row r="464" spans="1:6" x14ac:dyDescent="0.3">
      <c r="A464" s="13">
        <f>DataSet!H49</f>
        <v>5</v>
      </c>
      <c r="B464" s="16">
        <f>DataSet!N49</f>
        <v>449.95</v>
      </c>
      <c r="C464" s="42"/>
      <c r="D464" s="13" t="s">
        <v>35</v>
      </c>
      <c r="E464" s="16">
        <f>SUMIF(DataSet!K$2:K$251,D464,DataSet!N$2:N$251)</f>
        <v>36398.750000000007</v>
      </c>
      <c r="F464" s="42"/>
    </row>
    <row r="465" spans="1:6" x14ac:dyDescent="0.3">
      <c r="A465" s="13">
        <f>DataSet!H50</f>
        <v>2</v>
      </c>
      <c r="B465" s="16">
        <f>DataSet!N50</f>
        <v>179.98</v>
      </c>
      <c r="C465" s="42"/>
      <c r="D465" s="13" t="s">
        <v>63</v>
      </c>
      <c r="E465" s="16">
        <f>SUMIF(DataSet!K$2:K$251,D465,DataSet!N$2:N$251)</f>
        <v>59288.389999999992</v>
      </c>
      <c r="F465" s="42"/>
    </row>
    <row r="466" spans="1:6" x14ac:dyDescent="0.3">
      <c r="A466" s="13">
        <f>DataSet!H51</f>
        <v>5</v>
      </c>
      <c r="B466" s="16">
        <f>DataSet!N51</f>
        <v>4499.95</v>
      </c>
      <c r="C466" s="42"/>
      <c r="D466" s="13" t="s">
        <v>50</v>
      </c>
      <c r="E466" s="16">
        <f>SUMIF(DataSet!K$2:K$251,D466,DataSet!N$2:N$251)</f>
        <v>41408.680000000015</v>
      </c>
      <c r="F466" s="42"/>
    </row>
    <row r="467" spans="1:6" ht="15" thickBot="1" x14ac:dyDescent="0.35">
      <c r="A467" s="13">
        <f>DataSet!H52</f>
        <v>5</v>
      </c>
      <c r="B467" s="16">
        <f>DataSet!N52</f>
        <v>4499.95</v>
      </c>
      <c r="C467" s="42"/>
      <c r="D467" s="17" t="s">
        <v>21</v>
      </c>
      <c r="E467" s="18">
        <f>SUMIF(DataSet!K$2:K$251,D467,DataSet!N$2:N$251)</f>
        <v>41288.340000000018</v>
      </c>
      <c r="F467" s="42"/>
    </row>
    <row r="468" spans="1:6" x14ac:dyDescent="0.3">
      <c r="A468" s="13">
        <f>DataSet!H53</f>
        <v>1</v>
      </c>
      <c r="B468" s="16">
        <f>DataSet!N53</f>
        <v>59.99</v>
      </c>
      <c r="C468" s="42"/>
      <c r="D468" s="42"/>
      <c r="E468" s="42"/>
      <c r="F468" s="42"/>
    </row>
    <row r="469" spans="1:6" ht="15" thickBot="1" x14ac:dyDescent="0.35">
      <c r="A469" s="13">
        <f>DataSet!H54</f>
        <v>2</v>
      </c>
      <c r="B469" s="16">
        <f>DataSet!N54</f>
        <v>599.98</v>
      </c>
      <c r="C469" s="42"/>
      <c r="D469" s="42"/>
      <c r="E469" s="42"/>
      <c r="F469" s="42"/>
    </row>
    <row r="470" spans="1:6" ht="18.600000000000001" thickBot="1" x14ac:dyDescent="0.4">
      <c r="A470" s="13">
        <f>DataSet!H55</f>
        <v>4</v>
      </c>
      <c r="B470" s="16">
        <f>DataSet!N55</f>
        <v>359.96</v>
      </c>
      <c r="C470" s="42"/>
      <c r="D470" s="66" t="s">
        <v>471</v>
      </c>
      <c r="E470" s="42"/>
      <c r="F470" s="42"/>
    </row>
    <row r="471" spans="1:6" ht="15" thickBot="1" x14ac:dyDescent="0.35">
      <c r="A471" s="13">
        <f>DataSet!H56</f>
        <v>1</v>
      </c>
      <c r="B471" s="16">
        <f>DataSet!N56</f>
        <v>79.989999999999995</v>
      </c>
      <c r="C471" s="42"/>
      <c r="D471" s="42"/>
      <c r="E471" s="42"/>
      <c r="F471" s="42"/>
    </row>
    <row r="472" spans="1:6" ht="15" thickBot="1" x14ac:dyDescent="0.35">
      <c r="A472" s="13">
        <f>DataSet!H57</f>
        <v>2</v>
      </c>
      <c r="B472" s="16">
        <f>DataSet!N57</f>
        <v>179.98</v>
      </c>
      <c r="C472" s="42"/>
      <c r="D472" s="26" t="s">
        <v>466</v>
      </c>
      <c r="E472" s="27" t="s">
        <v>472</v>
      </c>
      <c r="F472" s="28" t="s">
        <v>473</v>
      </c>
    </row>
    <row r="473" spans="1:6" x14ac:dyDescent="0.3">
      <c r="A473" s="13">
        <f>DataSet!H58</f>
        <v>3</v>
      </c>
      <c r="B473" s="16">
        <f>DataSet!N58</f>
        <v>2099.9699999999998</v>
      </c>
      <c r="C473" s="42"/>
      <c r="D473" s="23" t="str" cm="1">
        <f t="array" ref="D473:D522">_xlfn.UNIQUE(DataSet!D2:D251)</f>
        <v>Paul Baker</v>
      </c>
      <c r="E473" s="24" cm="1">
        <f t="array" ref="E473:E522">SUMIF(DataSet!D2:D251,_xlfn.ANCHORARRAY(D473),DataSet!N2:N251)</f>
        <v>8309.739999999998</v>
      </c>
      <c r="F473" s="25" t="str" cm="1">
        <f t="array" ref="F473:F522">IF(_xlfn.ANCHORARRAY(E473)&gt;AVERAGE(_xlfn.ANCHORARRAY(E473)),"High-Value","Regular")</f>
        <v>High-Value</v>
      </c>
    </row>
    <row r="474" spans="1:6" x14ac:dyDescent="0.3">
      <c r="A474" s="13">
        <f>DataSet!H59</f>
        <v>4</v>
      </c>
      <c r="B474" s="16">
        <f>DataSet!N59</f>
        <v>3599.96</v>
      </c>
      <c r="C474" s="42"/>
      <c r="D474" s="13" t="str">
        <v>Joseph Jackson</v>
      </c>
      <c r="E474" s="12">
        <v>6949.84</v>
      </c>
      <c r="F474" s="16" t="str">
        <v>High-Value</v>
      </c>
    </row>
    <row r="475" spans="1:6" x14ac:dyDescent="0.3">
      <c r="A475" s="13">
        <f>DataSet!H60</f>
        <v>1</v>
      </c>
      <c r="B475" s="16">
        <f>DataSet!N60</f>
        <v>149.99</v>
      </c>
      <c r="C475" s="42"/>
      <c r="D475" s="13" t="str">
        <v>Kevin Scott</v>
      </c>
      <c r="E475" s="12">
        <v>3259.87</v>
      </c>
      <c r="F475" s="16" t="str">
        <v>Regular</v>
      </c>
    </row>
    <row r="476" spans="1:6" x14ac:dyDescent="0.3">
      <c r="A476" s="13">
        <f>DataSet!H61</f>
        <v>2</v>
      </c>
      <c r="B476" s="16">
        <f>DataSet!N61</f>
        <v>179.98</v>
      </c>
      <c r="C476" s="42"/>
      <c r="D476" s="13" t="str">
        <v>Kathleen Bennett</v>
      </c>
      <c r="E476" s="12">
        <v>4309.8099999999995</v>
      </c>
      <c r="F476" s="16" t="str">
        <v>Regular</v>
      </c>
    </row>
    <row r="477" spans="1:6" x14ac:dyDescent="0.3">
      <c r="A477" s="13">
        <f>DataSet!H62</f>
        <v>1</v>
      </c>
      <c r="B477" s="16">
        <f>DataSet!N62</f>
        <v>89.99</v>
      </c>
      <c r="C477" s="42"/>
      <c r="D477" s="13" t="str">
        <v>Michael Brown</v>
      </c>
      <c r="E477" s="12">
        <v>6169.7400000000007</v>
      </c>
      <c r="F477" s="16" t="str">
        <v>High-Value</v>
      </c>
    </row>
    <row r="478" spans="1:6" x14ac:dyDescent="0.3">
      <c r="A478" s="13">
        <f>DataSet!H63</f>
        <v>1</v>
      </c>
      <c r="B478" s="16">
        <f>DataSet!N63</f>
        <v>89.99</v>
      </c>
      <c r="C478" s="42"/>
      <c r="D478" s="13" t="str">
        <v>Dorothy Nelson</v>
      </c>
      <c r="E478" s="12">
        <v>8269.7900000000009</v>
      </c>
      <c r="F478" s="16" t="str">
        <v>High-Value</v>
      </c>
    </row>
    <row r="479" spans="1:6" x14ac:dyDescent="0.3">
      <c r="A479" s="13">
        <f>DataSet!H64</f>
        <v>5</v>
      </c>
      <c r="B479" s="16">
        <f>DataSet!N64</f>
        <v>399.95</v>
      </c>
      <c r="C479" s="42"/>
      <c r="D479" s="13" t="str">
        <v>Charles Allen</v>
      </c>
      <c r="E479" s="12">
        <v>5089.7300000000005</v>
      </c>
      <c r="F479" s="16" t="str">
        <v>High-Value</v>
      </c>
    </row>
    <row r="480" spans="1:6" x14ac:dyDescent="0.3">
      <c r="A480" s="13">
        <f>DataSet!H65</f>
        <v>1</v>
      </c>
      <c r="B480" s="16">
        <f>DataSet!N65</f>
        <v>149.99</v>
      </c>
      <c r="C480" s="42"/>
      <c r="D480" s="13" t="str">
        <v>Robert Thomas</v>
      </c>
      <c r="E480" s="12">
        <v>3509.8999999999996</v>
      </c>
      <c r="F480" s="16" t="str">
        <v>Regular</v>
      </c>
    </row>
    <row r="481" spans="1:6" x14ac:dyDescent="0.3">
      <c r="A481" s="13">
        <f>DataSet!H66</f>
        <v>2</v>
      </c>
      <c r="B481" s="16">
        <f>DataSet!N66</f>
        <v>1399.98</v>
      </c>
      <c r="C481" s="42"/>
      <c r="D481" s="13" t="str">
        <v>Karen Hill</v>
      </c>
      <c r="E481" s="12">
        <v>8009.7699999999995</v>
      </c>
      <c r="F481" s="16" t="str">
        <v>High-Value</v>
      </c>
    </row>
    <row r="482" spans="1:6" x14ac:dyDescent="0.3">
      <c r="A482" s="13">
        <f>DataSet!H67</f>
        <v>5</v>
      </c>
      <c r="B482" s="16">
        <f>DataSet!N67</f>
        <v>449.95</v>
      </c>
      <c r="C482" s="42"/>
      <c r="D482" s="13" t="str">
        <v>Susan Green</v>
      </c>
      <c r="E482" s="12">
        <v>1979.89</v>
      </c>
      <c r="F482" s="16" t="str">
        <v>Regular</v>
      </c>
    </row>
    <row r="483" spans="1:6" x14ac:dyDescent="0.3">
      <c r="A483" s="13">
        <f>DataSet!H68</f>
        <v>4</v>
      </c>
      <c r="B483" s="16">
        <f>DataSet!N68</f>
        <v>239.96</v>
      </c>
      <c r="C483" s="42"/>
      <c r="D483" s="13" t="str">
        <v>Peter Richardson</v>
      </c>
      <c r="E483" s="12">
        <v>5949.85</v>
      </c>
      <c r="F483" s="16" t="str">
        <v>High-Value</v>
      </c>
    </row>
    <row r="484" spans="1:6" x14ac:dyDescent="0.3">
      <c r="A484" s="13">
        <f>DataSet!H69</f>
        <v>1</v>
      </c>
      <c r="B484" s="16">
        <f>DataSet!N69</f>
        <v>149.99</v>
      </c>
      <c r="C484" s="42"/>
      <c r="D484" s="13" t="str">
        <v>Dennis Gray</v>
      </c>
      <c r="E484" s="12">
        <v>479.91999999999996</v>
      </c>
      <c r="F484" s="16" t="str">
        <v>Regular</v>
      </c>
    </row>
    <row r="485" spans="1:6" x14ac:dyDescent="0.3">
      <c r="A485" s="13">
        <f>DataSet!H70</f>
        <v>1</v>
      </c>
      <c r="B485" s="16">
        <f>DataSet!N70</f>
        <v>299.99</v>
      </c>
      <c r="C485" s="42"/>
      <c r="D485" s="13" t="str">
        <v>Michelle Rogers</v>
      </c>
      <c r="E485" s="12">
        <v>4199.9399999999996</v>
      </c>
      <c r="F485" s="16" t="str">
        <v>Regular</v>
      </c>
    </row>
    <row r="486" spans="1:6" x14ac:dyDescent="0.3">
      <c r="A486" s="13">
        <f>DataSet!H71</f>
        <v>2</v>
      </c>
      <c r="B486" s="16">
        <f>DataSet!N71</f>
        <v>399.98</v>
      </c>
      <c r="C486" s="42"/>
      <c r="D486" s="13" t="str">
        <v>George Adams</v>
      </c>
      <c r="E486" s="12">
        <v>3779.93</v>
      </c>
      <c r="F486" s="16" t="str">
        <v>Regular</v>
      </c>
    </row>
    <row r="487" spans="1:6" x14ac:dyDescent="0.3">
      <c r="A487" s="13">
        <f>DataSet!H72</f>
        <v>3</v>
      </c>
      <c r="B487" s="16">
        <f>DataSet!N72</f>
        <v>179.97</v>
      </c>
      <c r="C487" s="42"/>
      <c r="D487" s="13" t="str">
        <v>Mark Carter</v>
      </c>
      <c r="E487" s="12">
        <v>15659.65</v>
      </c>
      <c r="F487" s="16" t="str">
        <v>High-Value</v>
      </c>
    </row>
    <row r="488" spans="1:6" x14ac:dyDescent="0.3">
      <c r="A488" s="13">
        <f>DataSet!H73</f>
        <v>3</v>
      </c>
      <c r="B488" s="16">
        <f>DataSet!N73</f>
        <v>449.97</v>
      </c>
      <c r="C488" s="42"/>
      <c r="D488" s="13" t="str">
        <v>Maria Garcia</v>
      </c>
      <c r="E488" s="12">
        <v>1909.93</v>
      </c>
      <c r="F488" s="16" t="str">
        <v>Regular</v>
      </c>
    </row>
    <row r="489" spans="1:6" x14ac:dyDescent="0.3">
      <c r="A489" s="13">
        <f>DataSet!H74</f>
        <v>3</v>
      </c>
      <c r="B489" s="16">
        <f>DataSet!N74</f>
        <v>599.97</v>
      </c>
      <c r="C489" s="42"/>
      <c r="D489" s="13" t="str">
        <v>Virginia Sanders</v>
      </c>
      <c r="E489" s="12">
        <v>4789.7900000000009</v>
      </c>
      <c r="F489" s="16" t="str">
        <v>High-Value</v>
      </c>
    </row>
    <row r="490" spans="1:6" x14ac:dyDescent="0.3">
      <c r="A490" s="13">
        <f>DataSet!H75</f>
        <v>1</v>
      </c>
      <c r="B490" s="16">
        <f>DataSet!N75</f>
        <v>899.99</v>
      </c>
      <c r="C490" s="42"/>
      <c r="D490" s="13" t="str">
        <v>Barbara Young</v>
      </c>
      <c r="E490" s="12">
        <v>10649.8</v>
      </c>
      <c r="F490" s="16" t="str">
        <v>High-Value</v>
      </c>
    </row>
    <row r="491" spans="1:6" x14ac:dyDescent="0.3">
      <c r="A491" s="13">
        <f>DataSet!H76</f>
        <v>5</v>
      </c>
      <c r="B491" s="16">
        <f>DataSet!N76</f>
        <v>4499.95</v>
      </c>
      <c r="C491" s="42"/>
      <c r="D491" s="13" t="str">
        <v>Patricia Moore</v>
      </c>
      <c r="E491" s="12">
        <v>9799.73</v>
      </c>
      <c r="F491" s="16" t="str">
        <v>High-Value</v>
      </c>
    </row>
    <row r="492" spans="1:6" x14ac:dyDescent="0.3">
      <c r="A492" s="13">
        <f>DataSet!H77</f>
        <v>2</v>
      </c>
      <c r="B492" s="16">
        <f>DataSet!N77</f>
        <v>119.98</v>
      </c>
      <c r="C492" s="42"/>
      <c r="D492" s="13" t="str">
        <v>Cynthia Price</v>
      </c>
      <c r="E492" s="12">
        <v>3769.8300000000004</v>
      </c>
      <c r="F492" s="16" t="str">
        <v>Regular</v>
      </c>
    </row>
    <row r="493" spans="1:6" x14ac:dyDescent="0.3">
      <c r="A493" s="13">
        <f>DataSet!H78</f>
        <v>4</v>
      </c>
      <c r="B493" s="16">
        <f>DataSet!N78</f>
        <v>999.96</v>
      </c>
      <c r="C493" s="42"/>
      <c r="D493" s="13" t="str">
        <v>Nancy Collins</v>
      </c>
      <c r="E493" s="12">
        <v>4189.7700000000004</v>
      </c>
      <c r="F493" s="16" t="str">
        <v>Regular</v>
      </c>
    </row>
    <row r="494" spans="1:6" x14ac:dyDescent="0.3">
      <c r="A494" s="13">
        <f>DataSet!H79</f>
        <v>2</v>
      </c>
      <c r="B494" s="16">
        <f>DataSet!N79</f>
        <v>499.98</v>
      </c>
      <c r="C494" s="42"/>
      <c r="D494" s="13" t="str">
        <v>Linda Martin</v>
      </c>
      <c r="E494" s="12">
        <v>1289.9000000000001</v>
      </c>
      <c r="F494" s="16" t="str">
        <v>Regular</v>
      </c>
    </row>
    <row r="495" spans="1:6" x14ac:dyDescent="0.3">
      <c r="A495" s="13">
        <f>DataSet!H80</f>
        <v>1</v>
      </c>
      <c r="B495" s="16">
        <f>DataSet!N80</f>
        <v>299.99</v>
      </c>
      <c r="C495" s="42"/>
      <c r="D495" s="13" t="str">
        <v>Helen Roberts</v>
      </c>
      <c r="E495" s="12">
        <v>6459.79</v>
      </c>
      <c r="F495" s="16" t="str">
        <v>High-Value</v>
      </c>
    </row>
    <row r="496" spans="1:6" x14ac:dyDescent="0.3">
      <c r="A496" s="13">
        <f>DataSet!H81</f>
        <v>2</v>
      </c>
      <c r="B496" s="16">
        <f>DataSet!N81</f>
        <v>179.98</v>
      </c>
      <c r="C496" s="42"/>
      <c r="D496" s="13" t="str">
        <v>Edward Mitchell</v>
      </c>
      <c r="E496" s="12">
        <v>11919.769999999999</v>
      </c>
      <c r="F496" s="16" t="str">
        <v>High-Value</v>
      </c>
    </row>
    <row r="497" spans="1:6" x14ac:dyDescent="0.3">
      <c r="A497" s="13">
        <f>DataSet!H82</f>
        <v>3</v>
      </c>
      <c r="B497" s="16">
        <f>DataSet!N82</f>
        <v>899.97</v>
      </c>
      <c r="C497" s="42"/>
      <c r="D497" s="13" t="str">
        <v>Lisa Anderson</v>
      </c>
      <c r="E497" s="12">
        <v>2039.8000000000002</v>
      </c>
      <c r="F497" s="16" t="str">
        <v>Regular</v>
      </c>
    </row>
    <row r="498" spans="1:6" x14ac:dyDescent="0.3">
      <c r="A498" s="13">
        <f>DataSet!H83</f>
        <v>2</v>
      </c>
      <c r="B498" s="16">
        <f>DataSet!N83</f>
        <v>1399.98</v>
      </c>
      <c r="C498" s="42"/>
      <c r="D498" s="13" t="str">
        <v>Emma Wilson</v>
      </c>
      <c r="E498" s="12">
        <v>1229.8800000000001</v>
      </c>
      <c r="F498" s="16" t="str">
        <v>Regular</v>
      </c>
    </row>
    <row r="499" spans="1:6" x14ac:dyDescent="0.3">
      <c r="A499" s="13">
        <f>DataSet!H84</f>
        <v>4</v>
      </c>
      <c r="B499" s="16">
        <f>DataSet!N84</f>
        <v>3599.96</v>
      </c>
      <c r="C499" s="42"/>
      <c r="D499" s="13" t="str">
        <v>Steven Turner</v>
      </c>
      <c r="E499" s="12">
        <v>2649.83</v>
      </c>
      <c r="F499" s="16" t="str">
        <v>Regular</v>
      </c>
    </row>
    <row r="500" spans="1:6" x14ac:dyDescent="0.3">
      <c r="A500" s="13">
        <f>DataSet!H85</f>
        <v>2</v>
      </c>
      <c r="B500" s="16">
        <f>DataSet!N85</f>
        <v>299.98</v>
      </c>
      <c r="C500" s="42"/>
      <c r="D500" s="13" t="str">
        <v>Jennifer Taylor</v>
      </c>
      <c r="E500" s="12">
        <v>4739.8500000000004</v>
      </c>
      <c r="F500" s="16" t="str">
        <v>High-Value</v>
      </c>
    </row>
    <row r="501" spans="1:6" x14ac:dyDescent="0.3">
      <c r="A501" s="13">
        <f>DataSet!H86</f>
        <v>2</v>
      </c>
      <c r="B501" s="16">
        <f>DataSet!N86</f>
        <v>299.98</v>
      </c>
      <c r="C501" s="42"/>
      <c r="D501" s="13" t="str">
        <v>Harry Morgan</v>
      </c>
      <c r="E501" s="12">
        <v>5519.8899999999994</v>
      </c>
      <c r="F501" s="16" t="str">
        <v>High-Value</v>
      </c>
    </row>
    <row r="502" spans="1:6" x14ac:dyDescent="0.3">
      <c r="A502" s="13">
        <f>DataSet!H87</f>
        <v>1</v>
      </c>
      <c r="B502" s="16">
        <f>DataSet!N87</f>
        <v>89.99</v>
      </c>
      <c r="C502" s="42"/>
      <c r="D502" s="13" t="str">
        <v>Daniel King</v>
      </c>
      <c r="E502" s="12">
        <v>7309.7999999999993</v>
      </c>
      <c r="F502" s="16" t="str">
        <v>High-Value</v>
      </c>
    </row>
    <row r="503" spans="1:6" x14ac:dyDescent="0.3">
      <c r="A503" s="13">
        <f>DataSet!H88</f>
        <v>5</v>
      </c>
      <c r="B503" s="16">
        <f>DataSet!N88</f>
        <v>1499.95</v>
      </c>
      <c r="C503" s="42"/>
      <c r="D503" s="13" t="str">
        <v>Sharon Butler</v>
      </c>
      <c r="E503" s="12">
        <v>5619.869999999999</v>
      </c>
      <c r="F503" s="16" t="str">
        <v>High-Value</v>
      </c>
    </row>
    <row r="504" spans="1:6" x14ac:dyDescent="0.3">
      <c r="A504" s="13">
        <f>DataSet!H89</f>
        <v>4</v>
      </c>
      <c r="B504" s="16">
        <f>DataSet!N89</f>
        <v>599.96</v>
      </c>
      <c r="C504" s="42"/>
      <c r="D504" s="13" t="str">
        <v>Sarah Davis</v>
      </c>
      <c r="E504" s="12">
        <v>5499.8099999999995</v>
      </c>
      <c r="F504" s="16" t="str">
        <v>High-Value</v>
      </c>
    </row>
    <row r="505" spans="1:6" x14ac:dyDescent="0.3">
      <c r="A505" s="13">
        <f>DataSet!H90</f>
        <v>5</v>
      </c>
      <c r="B505" s="16">
        <f>DataSet!N90</f>
        <v>1249.95</v>
      </c>
      <c r="C505" s="42"/>
      <c r="D505" s="13" t="str">
        <v>Betty Campbell</v>
      </c>
      <c r="E505" s="12">
        <v>5649.84</v>
      </c>
      <c r="F505" s="16" t="str">
        <v>High-Value</v>
      </c>
    </row>
    <row r="506" spans="1:6" x14ac:dyDescent="0.3">
      <c r="A506" s="13">
        <f>DataSet!H91</f>
        <v>3</v>
      </c>
      <c r="B506" s="16">
        <f>DataSet!N91</f>
        <v>749.97</v>
      </c>
      <c r="C506" s="42"/>
      <c r="D506" s="13" t="str">
        <v>Julie Foster</v>
      </c>
      <c r="E506" s="12">
        <v>239.96</v>
      </c>
      <c r="F506" s="16" t="str">
        <v>Regular</v>
      </c>
    </row>
    <row r="507" spans="1:6" x14ac:dyDescent="0.3">
      <c r="A507" s="13">
        <f>DataSet!H92</f>
        <v>4</v>
      </c>
      <c r="B507" s="16">
        <f>DataSet!N92</f>
        <v>799.96</v>
      </c>
      <c r="C507" s="42"/>
      <c r="D507" s="13" t="str">
        <v>Raymond Ross</v>
      </c>
      <c r="E507" s="12">
        <v>3669.8500000000004</v>
      </c>
      <c r="F507" s="16" t="str">
        <v>Regular</v>
      </c>
    </row>
    <row r="508" spans="1:6" x14ac:dyDescent="0.3">
      <c r="A508" s="13">
        <f>DataSet!H93</f>
        <v>5</v>
      </c>
      <c r="B508" s="16">
        <f>DataSet!N93</f>
        <v>999.95</v>
      </c>
      <c r="C508" s="42"/>
      <c r="D508" s="13" t="str">
        <v>David Martinez</v>
      </c>
      <c r="E508" s="12">
        <v>1809.84</v>
      </c>
      <c r="F508" s="16" t="str">
        <v>Regular</v>
      </c>
    </row>
    <row r="509" spans="1:6" x14ac:dyDescent="0.3">
      <c r="A509" s="13">
        <f>DataSet!H94</f>
        <v>2</v>
      </c>
      <c r="B509" s="16">
        <f>DataSet!N94</f>
        <v>179.98</v>
      </c>
      <c r="C509" s="42"/>
      <c r="D509" s="13" t="str">
        <v>Margaret Wright</v>
      </c>
      <c r="E509" s="12">
        <v>2099.88</v>
      </c>
      <c r="F509" s="16" t="str">
        <v>Regular</v>
      </c>
    </row>
    <row r="510" spans="1:6" x14ac:dyDescent="0.3">
      <c r="A510" s="13">
        <f>DataSet!H95</f>
        <v>5</v>
      </c>
      <c r="B510" s="16">
        <f>DataSet!N95</f>
        <v>4499.95</v>
      </c>
      <c r="C510" s="42"/>
      <c r="D510" s="13" t="str">
        <v>Frank Torres</v>
      </c>
      <c r="E510" s="12">
        <v>1479.91</v>
      </c>
      <c r="F510" s="16" t="str">
        <v>Regular</v>
      </c>
    </row>
    <row r="511" spans="1:6" x14ac:dyDescent="0.3">
      <c r="A511" s="13">
        <f>DataSet!H96</f>
        <v>3</v>
      </c>
      <c r="B511" s="16">
        <f>DataSet!N96</f>
        <v>449.97</v>
      </c>
      <c r="C511" s="42"/>
      <c r="D511" s="13" t="str">
        <v>Gerald Murphy</v>
      </c>
      <c r="E511" s="12">
        <v>6379.87</v>
      </c>
      <c r="F511" s="16" t="str">
        <v>High-Value</v>
      </c>
    </row>
    <row r="512" spans="1:6" x14ac:dyDescent="0.3">
      <c r="A512" s="13">
        <f>DataSet!H97</f>
        <v>5</v>
      </c>
      <c r="B512" s="16">
        <f>DataSet!N97</f>
        <v>749.95</v>
      </c>
      <c r="C512" s="42"/>
      <c r="D512" s="13" t="str">
        <v>Elizabeth Hall</v>
      </c>
      <c r="E512" s="12">
        <v>3649.8599999999997</v>
      </c>
      <c r="F512" s="16" t="str">
        <v>Regular</v>
      </c>
    </row>
    <row r="513" spans="1:6" x14ac:dyDescent="0.3">
      <c r="A513" s="13">
        <f>DataSet!H98</f>
        <v>3</v>
      </c>
      <c r="B513" s="16">
        <f>DataSet!N98</f>
        <v>239.97</v>
      </c>
      <c r="C513" s="42"/>
      <c r="D513" s="13" t="str">
        <v>Lawrence Reed</v>
      </c>
      <c r="E513" s="12">
        <v>6989.7699999999986</v>
      </c>
      <c r="F513" s="16" t="str">
        <v>High-Value</v>
      </c>
    </row>
    <row r="514" spans="1:6" x14ac:dyDescent="0.3">
      <c r="A514" s="13">
        <f>DataSet!H99</f>
        <v>2</v>
      </c>
      <c r="B514" s="16">
        <f>DataSet!N99</f>
        <v>499.98</v>
      </c>
      <c r="C514" s="42"/>
      <c r="D514" s="13" t="str">
        <v>Carol Evans</v>
      </c>
      <c r="E514" s="12">
        <v>1149.93</v>
      </c>
      <c r="F514" s="16" t="str">
        <v>Regular</v>
      </c>
    </row>
    <row r="515" spans="1:6" x14ac:dyDescent="0.3">
      <c r="A515" s="13">
        <f>DataSet!H100</f>
        <v>1</v>
      </c>
      <c r="B515" s="16">
        <f>DataSet!N100</f>
        <v>699.99</v>
      </c>
      <c r="C515" s="42"/>
      <c r="D515" s="13" t="str">
        <v>Sandra Phillips</v>
      </c>
      <c r="E515" s="12">
        <v>6349.83</v>
      </c>
      <c r="F515" s="16" t="str">
        <v>High-Value</v>
      </c>
    </row>
    <row r="516" spans="1:6" x14ac:dyDescent="0.3">
      <c r="A516" s="13">
        <f>DataSet!H101</f>
        <v>3</v>
      </c>
      <c r="B516" s="16">
        <f>DataSet!N101</f>
        <v>449.97</v>
      </c>
      <c r="C516" s="42"/>
      <c r="D516" s="13" t="str">
        <v>Ruth Brooks</v>
      </c>
      <c r="E516" s="12">
        <v>1749.92</v>
      </c>
      <c r="F516" s="16" t="str">
        <v>Regular</v>
      </c>
    </row>
    <row r="517" spans="1:6" x14ac:dyDescent="0.3">
      <c r="A517" s="13">
        <f>DataSet!H102</f>
        <v>2</v>
      </c>
      <c r="B517" s="16">
        <f>DataSet!N102</f>
        <v>1399.98</v>
      </c>
      <c r="C517" s="42"/>
      <c r="D517" s="13" t="str">
        <v>William White</v>
      </c>
      <c r="E517" s="12">
        <v>4749.91</v>
      </c>
      <c r="F517" s="16" t="str">
        <v>High-Value</v>
      </c>
    </row>
    <row r="518" spans="1:6" x14ac:dyDescent="0.3">
      <c r="A518" s="13">
        <f>DataSet!H103</f>
        <v>1</v>
      </c>
      <c r="B518" s="16">
        <f>DataSet!N103</f>
        <v>249.99</v>
      </c>
      <c r="C518" s="42"/>
      <c r="D518" s="13" t="str">
        <v>Richard Lee</v>
      </c>
      <c r="E518" s="12">
        <v>739.93000000000006</v>
      </c>
      <c r="F518" s="16" t="str">
        <v>Regular</v>
      </c>
    </row>
    <row r="519" spans="1:6" x14ac:dyDescent="0.3">
      <c r="A519" s="13">
        <f>DataSet!H104</f>
        <v>1</v>
      </c>
      <c r="B519" s="16">
        <f>DataSet!N104</f>
        <v>249.99</v>
      </c>
      <c r="C519" s="42"/>
      <c r="D519" s="13" t="str">
        <v>Douglas Watson</v>
      </c>
      <c r="E519" s="12">
        <v>4829.8899999999994</v>
      </c>
      <c r="F519" s="16" t="str">
        <v>High-Value</v>
      </c>
    </row>
    <row r="520" spans="1:6" x14ac:dyDescent="0.3">
      <c r="A520" s="13">
        <f>DataSet!H105</f>
        <v>2</v>
      </c>
      <c r="B520" s="16">
        <f>DataSet!N105</f>
        <v>1399.98</v>
      </c>
      <c r="C520" s="42"/>
      <c r="D520" s="13" t="str">
        <v>James Johnson</v>
      </c>
      <c r="E520" s="12">
        <v>179.97</v>
      </c>
      <c r="F520" s="16" t="str">
        <v>Regular</v>
      </c>
    </row>
    <row r="521" spans="1:6" x14ac:dyDescent="0.3">
      <c r="A521" s="13">
        <f>DataSet!H106</f>
        <v>3</v>
      </c>
      <c r="B521" s="16">
        <f>DataSet!N106</f>
        <v>179.97</v>
      </c>
      <c r="C521" s="42"/>
      <c r="D521" s="13" t="str">
        <v>Arthur Edwards</v>
      </c>
      <c r="E521" s="12">
        <v>1559.94</v>
      </c>
      <c r="F521" s="16" t="str">
        <v>Regular</v>
      </c>
    </row>
    <row r="522" spans="1:6" ht="15" thickBot="1" x14ac:dyDescent="0.35">
      <c r="A522" s="13">
        <f>DataSet!H107</f>
        <v>3</v>
      </c>
      <c r="B522" s="16">
        <f>DataSet!N107</f>
        <v>179.97</v>
      </c>
      <c r="C522" s="42"/>
      <c r="D522" s="17" t="str">
        <v>John Smith</v>
      </c>
      <c r="E522" s="22">
        <v>599.96</v>
      </c>
      <c r="F522" s="18" t="str">
        <v>Regular</v>
      </c>
    </row>
    <row r="523" spans="1:6" x14ac:dyDescent="0.3">
      <c r="A523" s="13">
        <f>DataSet!H108</f>
        <v>4</v>
      </c>
      <c r="B523" s="16">
        <f>DataSet!N108</f>
        <v>319.95999999999998</v>
      </c>
      <c r="C523" s="42"/>
      <c r="D523" s="42"/>
      <c r="E523" s="42"/>
      <c r="F523" s="42"/>
    </row>
    <row r="524" spans="1:6" ht="15" thickBot="1" x14ac:dyDescent="0.35">
      <c r="A524" s="13">
        <f>DataSet!H109</f>
        <v>1</v>
      </c>
      <c r="B524" s="16">
        <f>DataSet!N109</f>
        <v>79.989999999999995</v>
      </c>
      <c r="C524" s="42"/>
      <c r="D524" s="42"/>
      <c r="E524" s="42"/>
      <c r="F524" s="42"/>
    </row>
    <row r="525" spans="1:6" ht="18.600000000000001" thickBot="1" x14ac:dyDescent="0.4">
      <c r="A525" s="13">
        <f>DataSet!H110</f>
        <v>3</v>
      </c>
      <c r="B525" s="16">
        <f>DataSet!N110</f>
        <v>899.97</v>
      </c>
      <c r="C525" s="42"/>
      <c r="D525" s="61" t="s">
        <v>474</v>
      </c>
      <c r="E525" s="42"/>
      <c r="F525" s="42"/>
    </row>
    <row r="526" spans="1:6" ht="15" thickBot="1" x14ac:dyDescent="0.35">
      <c r="A526" s="13">
        <f>DataSet!H111</f>
        <v>2</v>
      </c>
      <c r="B526" s="16">
        <f>DataSet!N111</f>
        <v>179.98</v>
      </c>
      <c r="C526" s="42"/>
      <c r="D526" s="42"/>
      <c r="E526" s="42"/>
      <c r="F526" s="42"/>
    </row>
    <row r="527" spans="1:6" ht="15" thickBot="1" x14ac:dyDescent="0.35">
      <c r="A527" s="13">
        <f>DataSet!H112</f>
        <v>4</v>
      </c>
      <c r="B527" s="16">
        <f>DataSet!N112</f>
        <v>599.96</v>
      </c>
      <c r="C527" s="42"/>
      <c r="D527" s="26" t="s">
        <v>469</v>
      </c>
      <c r="E527" s="27" t="s">
        <v>475</v>
      </c>
      <c r="F527" s="28" t="s">
        <v>476</v>
      </c>
    </row>
    <row r="528" spans="1:6" x14ac:dyDescent="0.3">
      <c r="A528" s="13">
        <f>DataSet!H113</f>
        <v>2</v>
      </c>
      <c r="B528" s="16">
        <f>DataSet!N113</f>
        <v>499.98</v>
      </c>
      <c r="C528" s="42"/>
      <c r="D528" s="23" t="str" cm="1">
        <f t="array" ref="D528:D537">_xlfn.UNIQUE(DataSet!F2:F251)</f>
        <v>Monitor</v>
      </c>
      <c r="E528" s="24" cm="1">
        <f t="array" ref="E528:E537">COUNTIF(DataSet!F2:F251,_xlfn.ANCHORARRAY(D528))</f>
        <v>26</v>
      </c>
      <c r="F528" s="25" t="str" cm="1">
        <f t="array" ref="F528:F537">IF(_xlfn.ANCHORARRAY(E528)=MAX(_xlfn.ANCHORARRAY(E528)),"Most Frequent","")</f>
        <v/>
      </c>
    </row>
    <row r="529" spans="1:6" x14ac:dyDescent="0.3">
      <c r="A529" s="13">
        <f>DataSet!H114</f>
        <v>4</v>
      </c>
      <c r="B529" s="16">
        <f>DataSet!N114</f>
        <v>799.96</v>
      </c>
      <c r="C529" s="42"/>
      <c r="D529" s="13" t="str">
        <v>Blender</v>
      </c>
      <c r="E529" s="12">
        <v>29</v>
      </c>
      <c r="F529" s="16" t="str">
        <v/>
      </c>
    </row>
    <row r="530" spans="1:6" x14ac:dyDescent="0.3">
      <c r="A530" s="13">
        <f>DataSet!H115</f>
        <v>5</v>
      </c>
      <c r="B530" s="16">
        <f>DataSet!N115</f>
        <v>449.95</v>
      </c>
      <c r="C530" s="42"/>
      <c r="D530" s="13" t="str">
        <v>Bookshelf</v>
      </c>
      <c r="E530" s="12">
        <v>35</v>
      </c>
      <c r="F530" s="16" t="str">
        <v>Most Frequent</v>
      </c>
    </row>
    <row r="531" spans="1:6" x14ac:dyDescent="0.3">
      <c r="A531" s="13">
        <f>DataSet!H116</f>
        <v>1</v>
      </c>
      <c r="B531" s="16">
        <f>DataSet!N116</f>
        <v>149.99</v>
      </c>
      <c r="C531" s="42"/>
      <c r="D531" s="13" t="str">
        <v>Headphones</v>
      </c>
      <c r="E531" s="12">
        <v>16</v>
      </c>
      <c r="F531" s="16" t="str">
        <v/>
      </c>
    </row>
    <row r="532" spans="1:6" x14ac:dyDescent="0.3">
      <c r="A532" s="13">
        <f>DataSet!H117</f>
        <v>4</v>
      </c>
      <c r="B532" s="16">
        <f>DataSet!N117</f>
        <v>2799.96</v>
      </c>
      <c r="C532" s="42"/>
      <c r="D532" s="13" t="str">
        <v>Laptop</v>
      </c>
      <c r="E532" s="12">
        <v>24</v>
      </c>
      <c r="F532" s="16" t="str">
        <v/>
      </c>
    </row>
    <row r="533" spans="1:6" x14ac:dyDescent="0.3">
      <c r="A533" s="13">
        <f>DataSet!H118</f>
        <v>3</v>
      </c>
      <c r="B533" s="16">
        <f>DataSet!N118</f>
        <v>2699.97</v>
      </c>
      <c r="C533" s="42"/>
      <c r="D533" s="13" t="str">
        <v>Smartphone</v>
      </c>
      <c r="E533" s="12">
        <v>31</v>
      </c>
      <c r="F533" s="16" t="str">
        <v/>
      </c>
    </row>
    <row r="534" spans="1:6" x14ac:dyDescent="0.3">
      <c r="A534" s="13">
        <f>DataSet!H119</f>
        <v>3</v>
      </c>
      <c r="B534" s="16">
        <f>DataSet!N119</f>
        <v>449.97</v>
      </c>
      <c r="C534" s="42"/>
      <c r="D534" s="13" t="str">
        <v>Desk</v>
      </c>
      <c r="E534" s="12">
        <v>26</v>
      </c>
      <c r="F534" s="16" t="str">
        <v/>
      </c>
    </row>
    <row r="535" spans="1:6" x14ac:dyDescent="0.3">
      <c r="A535" s="13">
        <f>DataSet!H120</f>
        <v>2</v>
      </c>
      <c r="B535" s="16">
        <f>DataSet!N120</f>
        <v>599.98</v>
      </c>
      <c r="C535" s="42"/>
      <c r="D535" s="13" t="str">
        <v>Coffee Maker</v>
      </c>
      <c r="E535" s="12">
        <v>14</v>
      </c>
      <c r="F535" s="16" t="str">
        <v/>
      </c>
    </row>
    <row r="536" spans="1:6" x14ac:dyDescent="0.3">
      <c r="A536" s="13">
        <f>DataSet!H121</f>
        <v>1</v>
      </c>
      <c r="B536" s="16">
        <f>DataSet!N121</f>
        <v>199.99</v>
      </c>
      <c r="C536" s="42"/>
      <c r="D536" s="13" t="str">
        <v>Keyboard</v>
      </c>
      <c r="E536" s="12">
        <v>34</v>
      </c>
      <c r="F536" s="16" t="str">
        <v/>
      </c>
    </row>
    <row r="537" spans="1:6" ht="15" thickBot="1" x14ac:dyDescent="0.35">
      <c r="A537" s="13">
        <f>DataSet!H122</f>
        <v>4</v>
      </c>
      <c r="B537" s="16">
        <f>DataSet!N122</f>
        <v>1199.96</v>
      </c>
      <c r="C537" s="42"/>
      <c r="D537" s="17" t="str">
        <v>Office Chair</v>
      </c>
      <c r="E537" s="22">
        <v>15</v>
      </c>
      <c r="F537" s="18" t="str">
        <v/>
      </c>
    </row>
    <row r="538" spans="1:6" x14ac:dyDescent="0.3">
      <c r="A538" s="13">
        <f>DataSet!H123</f>
        <v>2</v>
      </c>
      <c r="B538" s="16">
        <f>DataSet!N123</f>
        <v>119.98</v>
      </c>
      <c r="C538" s="42"/>
      <c r="D538" s="42"/>
      <c r="E538" s="42"/>
      <c r="F538" s="42"/>
    </row>
    <row r="539" spans="1:6" ht="15" thickBot="1" x14ac:dyDescent="0.35">
      <c r="A539" s="13">
        <f>DataSet!H124</f>
        <v>4</v>
      </c>
      <c r="B539" s="16">
        <f>DataSet!N124</f>
        <v>599.96</v>
      </c>
      <c r="C539" s="42"/>
      <c r="D539" s="42"/>
      <c r="E539" s="42"/>
      <c r="F539" s="42"/>
    </row>
    <row r="540" spans="1:6" ht="18.600000000000001" thickBot="1" x14ac:dyDescent="0.4">
      <c r="A540" s="13">
        <f>DataSet!H125</f>
        <v>2</v>
      </c>
      <c r="B540" s="16">
        <f>DataSet!N125</f>
        <v>1399.98</v>
      </c>
      <c r="C540" s="42"/>
      <c r="D540" s="61" t="s">
        <v>477</v>
      </c>
      <c r="E540" s="42"/>
      <c r="F540" s="42"/>
    </row>
    <row r="541" spans="1:6" ht="15" thickBot="1" x14ac:dyDescent="0.35">
      <c r="A541" s="13">
        <f>DataSet!H126</f>
        <v>3</v>
      </c>
      <c r="B541" s="16">
        <f>DataSet!N126</f>
        <v>449.97</v>
      </c>
      <c r="C541" s="42"/>
      <c r="D541" s="42"/>
      <c r="E541" s="42"/>
      <c r="F541" s="42"/>
    </row>
    <row r="542" spans="1:6" ht="15" thickBot="1" x14ac:dyDescent="0.35">
      <c r="A542" s="13">
        <f>DataSet!H127</f>
        <v>3</v>
      </c>
      <c r="B542" s="16">
        <f>DataSet!N127</f>
        <v>899.97</v>
      </c>
      <c r="C542" s="42"/>
      <c r="D542" s="26" t="s">
        <v>478</v>
      </c>
      <c r="E542" s="27" t="s">
        <v>479</v>
      </c>
      <c r="F542" s="28" t="s">
        <v>480</v>
      </c>
    </row>
    <row r="543" spans="1:6" x14ac:dyDescent="0.3">
      <c r="A543" s="13">
        <f>DataSet!H128</f>
        <v>3</v>
      </c>
      <c r="B543" s="16">
        <f>DataSet!N128</f>
        <v>2699.97</v>
      </c>
      <c r="C543" s="42"/>
      <c r="D543" s="23" t="str" cm="1">
        <f t="array" ref="D543:D592">_xlfn.UNIQUE(DataSet!D2:D251)</f>
        <v>Paul Baker</v>
      </c>
      <c r="E543" s="24" t="str" cm="1">
        <f t="array" ref="E543:E552">_xlfn.TAKE(_xlfn.ANCHORARRAY(D543),10)</f>
        <v>Paul Baker</v>
      </c>
      <c r="F543" s="25" t="str" cm="1">
        <f t="array" ref="F543:F552">_xlfn._xlws.FILTER(_xlfn.ANCHORARRAY(D543),ISNUMBER(MATCH(_xlfn.ANCHORARRAY(D543),_xlfn.ANCHORARRAY(E543),0)),"No Match")</f>
        <v>Paul Baker</v>
      </c>
    </row>
    <row r="544" spans="1:6" x14ac:dyDescent="0.3">
      <c r="A544" s="13">
        <f>DataSet!H129</f>
        <v>5</v>
      </c>
      <c r="B544" s="16">
        <f>DataSet!N129</f>
        <v>3499.95</v>
      </c>
      <c r="C544" s="42"/>
      <c r="D544" s="13" t="str">
        <v>Joseph Jackson</v>
      </c>
      <c r="E544" s="12" t="str">
        <v>Joseph Jackson</v>
      </c>
      <c r="F544" s="16" t="str">
        <v>Joseph Jackson</v>
      </c>
    </row>
    <row r="545" spans="1:6" x14ac:dyDescent="0.3">
      <c r="A545" s="13">
        <f>DataSet!H130</f>
        <v>4</v>
      </c>
      <c r="B545" s="16">
        <f>DataSet!N130</f>
        <v>2799.96</v>
      </c>
      <c r="C545" s="42"/>
      <c r="D545" s="13" t="str">
        <v>Kevin Scott</v>
      </c>
      <c r="E545" s="12" t="str">
        <v>Kevin Scott</v>
      </c>
      <c r="F545" s="16" t="str">
        <v>Kevin Scott</v>
      </c>
    </row>
    <row r="546" spans="1:6" x14ac:dyDescent="0.3">
      <c r="A546" s="13">
        <f>DataSet!H131</f>
        <v>1</v>
      </c>
      <c r="B546" s="16">
        <f>DataSet!N131</f>
        <v>899.99</v>
      </c>
      <c r="C546" s="42"/>
      <c r="D546" s="13" t="str">
        <v>Kathleen Bennett</v>
      </c>
      <c r="E546" s="12" t="str">
        <v>Kathleen Bennett</v>
      </c>
      <c r="F546" s="16" t="str">
        <v>Kathleen Bennett</v>
      </c>
    </row>
    <row r="547" spans="1:6" x14ac:dyDescent="0.3">
      <c r="A547" s="13">
        <f>DataSet!H132</f>
        <v>2</v>
      </c>
      <c r="B547" s="16">
        <f>DataSet!N132</f>
        <v>299.98</v>
      </c>
      <c r="C547" s="42"/>
      <c r="D547" s="13" t="str">
        <v>Michael Brown</v>
      </c>
      <c r="E547" s="12" t="str">
        <v>Michael Brown</v>
      </c>
      <c r="F547" s="16" t="str">
        <v>Michael Brown</v>
      </c>
    </row>
    <row r="548" spans="1:6" x14ac:dyDescent="0.3">
      <c r="A548" s="13">
        <f>DataSet!H133</f>
        <v>3</v>
      </c>
      <c r="B548" s="16">
        <f>DataSet!N133</f>
        <v>269.97000000000003</v>
      </c>
      <c r="C548" s="42"/>
      <c r="D548" s="13" t="str">
        <v>Dorothy Nelson</v>
      </c>
      <c r="E548" s="12" t="str">
        <v>Dorothy Nelson</v>
      </c>
      <c r="F548" s="16" t="str">
        <v>Dorothy Nelson</v>
      </c>
    </row>
    <row r="549" spans="1:6" x14ac:dyDescent="0.3">
      <c r="A549" s="13">
        <f>DataSet!H134</f>
        <v>2</v>
      </c>
      <c r="B549" s="16">
        <f>DataSet!N134</f>
        <v>299.98</v>
      </c>
      <c r="C549" s="42"/>
      <c r="D549" s="13" t="str">
        <v>Charles Allen</v>
      </c>
      <c r="E549" s="12" t="str">
        <v>Charles Allen</v>
      </c>
      <c r="F549" s="16" t="str">
        <v>Charles Allen</v>
      </c>
    </row>
    <row r="550" spans="1:6" x14ac:dyDescent="0.3">
      <c r="A550" s="13">
        <f>DataSet!H135</f>
        <v>2</v>
      </c>
      <c r="B550" s="16">
        <f>DataSet!N135</f>
        <v>1399.98</v>
      </c>
      <c r="C550" s="42"/>
      <c r="D550" s="13" t="str">
        <v>Robert Thomas</v>
      </c>
      <c r="E550" s="12" t="str">
        <v>Robert Thomas</v>
      </c>
      <c r="F550" s="16" t="str">
        <v>Robert Thomas</v>
      </c>
    </row>
    <row r="551" spans="1:6" x14ac:dyDescent="0.3">
      <c r="A551" s="13">
        <f>DataSet!H136</f>
        <v>5</v>
      </c>
      <c r="B551" s="16">
        <f>DataSet!N136</f>
        <v>3499.95</v>
      </c>
      <c r="C551" s="42"/>
      <c r="D551" s="13" t="str">
        <v>Karen Hill</v>
      </c>
      <c r="E551" s="12" t="str">
        <v>Karen Hill</v>
      </c>
      <c r="F551" s="16" t="str">
        <v>Karen Hill</v>
      </c>
    </row>
    <row r="552" spans="1:6" x14ac:dyDescent="0.3">
      <c r="A552" s="13">
        <f>DataSet!H137</f>
        <v>3</v>
      </c>
      <c r="B552" s="16">
        <f>DataSet!N137</f>
        <v>269.97000000000003</v>
      </c>
      <c r="C552" s="42"/>
      <c r="D552" s="13" t="str">
        <v>Susan Green</v>
      </c>
      <c r="E552" s="12" t="str">
        <v>Susan Green</v>
      </c>
      <c r="F552" s="16" t="str">
        <v>Susan Green</v>
      </c>
    </row>
    <row r="553" spans="1:6" x14ac:dyDescent="0.3">
      <c r="A553" s="13">
        <f>DataSet!H138</f>
        <v>5</v>
      </c>
      <c r="B553" s="16">
        <f>DataSet!N138</f>
        <v>1249.95</v>
      </c>
      <c r="C553" s="42"/>
      <c r="D553" s="13" t="str">
        <v>Peter Richardson</v>
      </c>
      <c r="E553" s="12"/>
      <c r="F553" s="16"/>
    </row>
    <row r="554" spans="1:6" x14ac:dyDescent="0.3">
      <c r="A554" s="13">
        <f>DataSet!H139</f>
        <v>3</v>
      </c>
      <c r="B554" s="16">
        <f>DataSet!N139</f>
        <v>899.97</v>
      </c>
      <c r="C554" s="42"/>
      <c r="D554" s="13" t="str">
        <v>Dennis Gray</v>
      </c>
      <c r="E554" s="12"/>
      <c r="F554" s="16"/>
    </row>
    <row r="555" spans="1:6" x14ac:dyDescent="0.3">
      <c r="A555" s="13">
        <f>DataSet!H140</f>
        <v>3</v>
      </c>
      <c r="B555" s="16">
        <f>DataSet!N140</f>
        <v>269.97000000000003</v>
      </c>
      <c r="C555" s="42"/>
      <c r="D555" s="13" t="str">
        <v>Michelle Rogers</v>
      </c>
      <c r="E555" s="12"/>
      <c r="F555" s="16"/>
    </row>
    <row r="556" spans="1:6" x14ac:dyDescent="0.3">
      <c r="A556" s="13">
        <f>DataSet!H141</f>
        <v>2</v>
      </c>
      <c r="B556" s="16">
        <f>DataSet!N141</f>
        <v>299.98</v>
      </c>
      <c r="C556" s="42"/>
      <c r="D556" s="13" t="str">
        <v>George Adams</v>
      </c>
      <c r="E556" s="12"/>
      <c r="F556" s="16"/>
    </row>
    <row r="557" spans="1:6" x14ac:dyDescent="0.3">
      <c r="A557" s="13">
        <f>DataSet!H142</f>
        <v>1</v>
      </c>
      <c r="B557" s="16">
        <f>DataSet!N142</f>
        <v>249.99</v>
      </c>
      <c r="C557" s="42"/>
      <c r="D557" s="13" t="str">
        <v>Mark Carter</v>
      </c>
      <c r="E557" s="12"/>
      <c r="F557" s="16"/>
    </row>
    <row r="558" spans="1:6" x14ac:dyDescent="0.3">
      <c r="A558" s="13">
        <f>DataSet!H143</f>
        <v>3</v>
      </c>
      <c r="B558" s="16">
        <f>DataSet!N143</f>
        <v>449.97</v>
      </c>
      <c r="C558" s="42"/>
      <c r="D558" s="13" t="str">
        <v>Maria Garcia</v>
      </c>
      <c r="E558" s="12"/>
      <c r="F558" s="16"/>
    </row>
    <row r="559" spans="1:6" x14ac:dyDescent="0.3">
      <c r="A559" s="13">
        <f>DataSet!H144</f>
        <v>5</v>
      </c>
      <c r="B559" s="16">
        <f>DataSet!N144</f>
        <v>299.95</v>
      </c>
      <c r="C559" s="42"/>
      <c r="D559" s="13" t="str">
        <v>Virginia Sanders</v>
      </c>
      <c r="E559" s="12"/>
      <c r="F559" s="16"/>
    </row>
    <row r="560" spans="1:6" x14ac:dyDescent="0.3">
      <c r="A560" s="13">
        <f>DataSet!H145</f>
        <v>4</v>
      </c>
      <c r="B560" s="16">
        <f>DataSet!N145</f>
        <v>999.96</v>
      </c>
      <c r="C560" s="42"/>
      <c r="D560" s="13" t="str">
        <v>Barbara Young</v>
      </c>
      <c r="E560" s="12"/>
      <c r="F560" s="16"/>
    </row>
    <row r="561" spans="1:6" x14ac:dyDescent="0.3">
      <c r="A561" s="13">
        <f>DataSet!H146</f>
        <v>5</v>
      </c>
      <c r="B561" s="16">
        <f>DataSet!N146</f>
        <v>749.95</v>
      </c>
      <c r="C561" s="42"/>
      <c r="D561" s="13" t="str">
        <v>Patricia Moore</v>
      </c>
      <c r="E561" s="12"/>
      <c r="F561" s="16"/>
    </row>
    <row r="562" spans="1:6" x14ac:dyDescent="0.3">
      <c r="A562" s="13">
        <f>DataSet!H147</f>
        <v>3</v>
      </c>
      <c r="B562" s="16">
        <f>DataSet!N147</f>
        <v>179.97</v>
      </c>
      <c r="C562" s="42"/>
      <c r="D562" s="13" t="str">
        <v>Cynthia Price</v>
      </c>
      <c r="E562" s="12"/>
      <c r="F562" s="16"/>
    </row>
    <row r="563" spans="1:6" x14ac:dyDescent="0.3">
      <c r="A563" s="13">
        <f>DataSet!H148</f>
        <v>5</v>
      </c>
      <c r="B563" s="16">
        <f>DataSet!N148</f>
        <v>749.95</v>
      </c>
      <c r="C563" s="42"/>
      <c r="D563" s="13" t="str">
        <v>Nancy Collins</v>
      </c>
      <c r="E563" s="12"/>
      <c r="F563" s="16"/>
    </row>
    <row r="564" spans="1:6" x14ac:dyDescent="0.3">
      <c r="A564" s="13">
        <f>DataSet!H149</f>
        <v>2</v>
      </c>
      <c r="B564" s="16">
        <f>DataSet!N149</f>
        <v>1399.98</v>
      </c>
      <c r="C564" s="42"/>
      <c r="D564" s="13" t="str">
        <v>Linda Martin</v>
      </c>
      <c r="E564" s="12"/>
      <c r="F564" s="16"/>
    </row>
    <row r="565" spans="1:6" x14ac:dyDescent="0.3">
      <c r="A565" s="13">
        <f>DataSet!H150</f>
        <v>4</v>
      </c>
      <c r="B565" s="16">
        <f>DataSet!N150</f>
        <v>799.96</v>
      </c>
      <c r="C565" s="42"/>
      <c r="D565" s="13" t="str">
        <v>Helen Roberts</v>
      </c>
      <c r="E565" s="12"/>
      <c r="F565" s="16"/>
    </row>
    <row r="566" spans="1:6" x14ac:dyDescent="0.3">
      <c r="A566" s="13">
        <f>DataSet!H151</f>
        <v>1</v>
      </c>
      <c r="B566" s="16">
        <f>DataSet!N151</f>
        <v>59.99</v>
      </c>
      <c r="C566" s="42"/>
      <c r="D566" s="13" t="str">
        <v>Edward Mitchell</v>
      </c>
      <c r="E566" s="12"/>
      <c r="F566" s="16"/>
    </row>
    <row r="567" spans="1:6" x14ac:dyDescent="0.3">
      <c r="A567" s="13">
        <f>DataSet!H152</f>
        <v>3</v>
      </c>
      <c r="B567" s="16">
        <f>DataSet!N152</f>
        <v>2099.9699999999998</v>
      </c>
      <c r="C567" s="42"/>
      <c r="D567" s="13" t="str">
        <v>Lisa Anderson</v>
      </c>
      <c r="E567" s="12"/>
      <c r="F567" s="16"/>
    </row>
    <row r="568" spans="1:6" x14ac:dyDescent="0.3">
      <c r="A568" s="13">
        <f>DataSet!H153</f>
        <v>5</v>
      </c>
      <c r="B568" s="16">
        <f>DataSet!N153</f>
        <v>1249.95</v>
      </c>
      <c r="C568" s="42"/>
      <c r="D568" s="13" t="str">
        <v>Emma Wilson</v>
      </c>
      <c r="E568" s="12"/>
      <c r="F568" s="16"/>
    </row>
    <row r="569" spans="1:6" x14ac:dyDescent="0.3">
      <c r="A569" s="13">
        <f>DataSet!H154</f>
        <v>2</v>
      </c>
      <c r="B569" s="16">
        <f>DataSet!N154</f>
        <v>299.98</v>
      </c>
      <c r="C569" s="42"/>
      <c r="D569" s="13" t="str">
        <v>Steven Turner</v>
      </c>
      <c r="E569" s="12"/>
      <c r="F569" s="16"/>
    </row>
    <row r="570" spans="1:6" x14ac:dyDescent="0.3">
      <c r="A570" s="13">
        <f>DataSet!H155</f>
        <v>3</v>
      </c>
      <c r="B570" s="16">
        <f>DataSet!N155</f>
        <v>899.97</v>
      </c>
      <c r="C570" s="42"/>
      <c r="D570" s="13" t="str">
        <v>Jennifer Taylor</v>
      </c>
      <c r="E570" s="12"/>
      <c r="F570" s="16"/>
    </row>
    <row r="571" spans="1:6" x14ac:dyDescent="0.3">
      <c r="A571" s="13">
        <f>DataSet!H156</f>
        <v>5</v>
      </c>
      <c r="B571" s="16">
        <f>DataSet!N156</f>
        <v>1249.95</v>
      </c>
      <c r="C571" s="42"/>
      <c r="D571" s="13" t="str">
        <v>Harry Morgan</v>
      </c>
      <c r="E571" s="12"/>
      <c r="F571" s="16"/>
    </row>
    <row r="572" spans="1:6" x14ac:dyDescent="0.3">
      <c r="A572" s="13">
        <f>DataSet!H157</f>
        <v>2</v>
      </c>
      <c r="B572" s="16">
        <f>DataSet!N157</f>
        <v>299.98</v>
      </c>
      <c r="C572" s="42"/>
      <c r="D572" s="13" t="str">
        <v>Daniel King</v>
      </c>
      <c r="E572" s="12"/>
      <c r="F572" s="16"/>
    </row>
    <row r="573" spans="1:6" x14ac:dyDescent="0.3">
      <c r="A573" s="13">
        <f>DataSet!H158</f>
        <v>5</v>
      </c>
      <c r="B573" s="16">
        <f>DataSet!N158</f>
        <v>3499.95</v>
      </c>
      <c r="C573" s="42"/>
      <c r="D573" s="13" t="str">
        <v>Sharon Butler</v>
      </c>
      <c r="E573" s="12"/>
      <c r="F573" s="16"/>
    </row>
    <row r="574" spans="1:6" x14ac:dyDescent="0.3">
      <c r="A574" s="13">
        <f>DataSet!H159</f>
        <v>4</v>
      </c>
      <c r="B574" s="16">
        <f>DataSet!N159</f>
        <v>999.96</v>
      </c>
      <c r="C574" s="42"/>
      <c r="D574" s="13" t="str">
        <v>Sarah Davis</v>
      </c>
      <c r="E574" s="12"/>
      <c r="F574" s="16"/>
    </row>
    <row r="575" spans="1:6" x14ac:dyDescent="0.3">
      <c r="A575" s="13">
        <f>DataSet!H160</f>
        <v>4</v>
      </c>
      <c r="B575" s="16">
        <f>DataSet!N160</f>
        <v>2799.96</v>
      </c>
      <c r="C575" s="42"/>
      <c r="D575" s="13" t="str">
        <v>Betty Campbell</v>
      </c>
      <c r="E575" s="12"/>
      <c r="F575" s="16"/>
    </row>
    <row r="576" spans="1:6" x14ac:dyDescent="0.3">
      <c r="A576" s="13">
        <f>DataSet!H161</f>
        <v>2</v>
      </c>
      <c r="B576" s="16">
        <f>DataSet!N161</f>
        <v>499.98</v>
      </c>
      <c r="C576" s="42"/>
      <c r="D576" s="13" t="str">
        <v>Julie Foster</v>
      </c>
      <c r="E576" s="12"/>
      <c r="F576" s="16"/>
    </row>
    <row r="577" spans="1:6" x14ac:dyDescent="0.3">
      <c r="A577" s="13">
        <f>DataSet!H162</f>
        <v>3</v>
      </c>
      <c r="B577" s="16">
        <f>DataSet!N162</f>
        <v>179.97</v>
      </c>
      <c r="C577" s="42"/>
      <c r="D577" s="13" t="str">
        <v>Raymond Ross</v>
      </c>
      <c r="E577" s="12"/>
      <c r="F577" s="16"/>
    </row>
    <row r="578" spans="1:6" x14ac:dyDescent="0.3">
      <c r="A578" s="13">
        <f>DataSet!H163</f>
        <v>4</v>
      </c>
      <c r="B578" s="16">
        <f>DataSet!N163</f>
        <v>319.95999999999998</v>
      </c>
      <c r="C578" s="42"/>
      <c r="D578" s="13" t="str">
        <v>David Martinez</v>
      </c>
      <c r="E578" s="12"/>
      <c r="F578" s="16"/>
    </row>
    <row r="579" spans="1:6" x14ac:dyDescent="0.3">
      <c r="A579" s="13">
        <f>DataSet!H164</f>
        <v>3</v>
      </c>
      <c r="B579" s="16">
        <f>DataSet!N164</f>
        <v>239.97</v>
      </c>
      <c r="C579" s="42"/>
      <c r="D579" s="13" t="str">
        <v>Margaret Wright</v>
      </c>
      <c r="E579" s="12"/>
      <c r="F579" s="16"/>
    </row>
    <row r="580" spans="1:6" x14ac:dyDescent="0.3">
      <c r="A580" s="13">
        <f>DataSet!H165</f>
        <v>2</v>
      </c>
      <c r="B580" s="16">
        <f>DataSet!N165</f>
        <v>1799.98</v>
      </c>
      <c r="C580" s="42"/>
      <c r="D580" s="13" t="str">
        <v>Frank Torres</v>
      </c>
      <c r="E580" s="12"/>
      <c r="F580" s="16"/>
    </row>
    <row r="581" spans="1:6" x14ac:dyDescent="0.3">
      <c r="A581" s="13">
        <f>DataSet!H166</f>
        <v>1</v>
      </c>
      <c r="B581" s="16">
        <f>DataSet!N166</f>
        <v>149.99</v>
      </c>
      <c r="C581" s="42"/>
      <c r="D581" s="13" t="str">
        <v>Gerald Murphy</v>
      </c>
      <c r="E581" s="12"/>
      <c r="F581" s="16"/>
    </row>
    <row r="582" spans="1:6" x14ac:dyDescent="0.3">
      <c r="A582" s="13">
        <f>DataSet!H167</f>
        <v>2</v>
      </c>
      <c r="B582" s="16">
        <f>DataSet!N167</f>
        <v>599.98</v>
      </c>
      <c r="C582" s="42"/>
      <c r="D582" s="13" t="str">
        <v>Elizabeth Hall</v>
      </c>
      <c r="E582" s="12"/>
      <c r="F582" s="16"/>
    </row>
    <row r="583" spans="1:6" x14ac:dyDescent="0.3">
      <c r="A583" s="13">
        <f>DataSet!H168</f>
        <v>2</v>
      </c>
      <c r="B583" s="16">
        <f>DataSet!N168</f>
        <v>119.98</v>
      </c>
      <c r="C583" s="42"/>
      <c r="D583" s="13" t="str">
        <v>Lawrence Reed</v>
      </c>
      <c r="E583" s="12"/>
      <c r="F583" s="16"/>
    </row>
    <row r="584" spans="1:6" x14ac:dyDescent="0.3">
      <c r="A584" s="13">
        <f>DataSet!H169</f>
        <v>1</v>
      </c>
      <c r="B584" s="16">
        <f>DataSet!N169</f>
        <v>89.99</v>
      </c>
      <c r="C584" s="42"/>
      <c r="D584" s="13" t="str">
        <v>Carol Evans</v>
      </c>
      <c r="E584" s="12"/>
      <c r="F584" s="16"/>
    </row>
    <row r="585" spans="1:6" x14ac:dyDescent="0.3">
      <c r="A585" s="13">
        <f>DataSet!H170</f>
        <v>5</v>
      </c>
      <c r="B585" s="16">
        <f>DataSet!N170</f>
        <v>4499.95</v>
      </c>
      <c r="C585" s="42"/>
      <c r="D585" s="13" t="str">
        <v>Sandra Phillips</v>
      </c>
      <c r="E585" s="12"/>
      <c r="F585" s="16"/>
    </row>
    <row r="586" spans="1:6" x14ac:dyDescent="0.3">
      <c r="A586" s="13">
        <f>DataSet!H171</f>
        <v>2</v>
      </c>
      <c r="B586" s="16">
        <f>DataSet!N171</f>
        <v>299.98</v>
      </c>
      <c r="C586" s="42"/>
      <c r="D586" s="13" t="str">
        <v>Ruth Brooks</v>
      </c>
      <c r="E586" s="12"/>
      <c r="F586" s="16"/>
    </row>
    <row r="587" spans="1:6" x14ac:dyDescent="0.3">
      <c r="A587" s="13">
        <f>DataSet!H172</f>
        <v>2</v>
      </c>
      <c r="B587" s="16">
        <f>DataSet!N172</f>
        <v>299.98</v>
      </c>
      <c r="C587" s="42"/>
      <c r="D587" s="13" t="str">
        <v>William White</v>
      </c>
      <c r="E587" s="12"/>
      <c r="F587" s="16"/>
    </row>
    <row r="588" spans="1:6" x14ac:dyDescent="0.3">
      <c r="A588" s="13">
        <f>DataSet!H173</f>
        <v>3</v>
      </c>
      <c r="B588" s="16">
        <f>DataSet!N173</f>
        <v>449.97</v>
      </c>
      <c r="C588" s="42"/>
      <c r="D588" s="13" t="str">
        <v>Richard Lee</v>
      </c>
      <c r="E588" s="12"/>
      <c r="F588" s="16"/>
    </row>
    <row r="589" spans="1:6" x14ac:dyDescent="0.3">
      <c r="A589" s="13">
        <f>DataSet!H174</f>
        <v>2</v>
      </c>
      <c r="B589" s="16">
        <f>DataSet!N174</f>
        <v>599.98</v>
      </c>
      <c r="C589" s="42"/>
      <c r="D589" s="13" t="str">
        <v>Douglas Watson</v>
      </c>
      <c r="E589" s="12"/>
      <c r="F589" s="16"/>
    </row>
    <row r="590" spans="1:6" x14ac:dyDescent="0.3">
      <c r="A590" s="13">
        <f>DataSet!H175</f>
        <v>2</v>
      </c>
      <c r="B590" s="16">
        <f>DataSet!N175</f>
        <v>599.98</v>
      </c>
      <c r="C590" s="42"/>
      <c r="D590" s="13" t="str">
        <v>James Johnson</v>
      </c>
      <c r="E590" s="12"/>
      <c r="F590" s="16"/>
    </row>
    <row r="591" spans="1:6" x14ac:dyDescent="0.3">
      <c r="A591" s="13">
        <f>DataSet!H176</f>
        <v>4</v>
      </c>
      <c r="B591" s="16">
        <f>DataSet!N176</f>
        <v>799.96</v>
      </c>
      <c r="C591" s="42"/>
      <c r="D591" s="13" t="str">
        <v>Arthur Edwards</v>
      </c>
      <c r="E591" s="12"/>
      <c r="F591" s="16"/>
    </row>
    <row r="592" spans="1:6" ht="15" thickBot="1" x14ac:dyDescent="0.35">
      <c r="A592" s="13">
        <f>DataSet!H177</f>
        <v>1</v>
      </c>
      <c r="B592" s="16">
        <f>DataSet!N177</f>
        <v>89.99</v>
      </c>
      <c r="C592" s="42"/>
      <c r="D592" s="17" t="str">
        <v>John Smith</v>
      </c>
      <c r="E592" s="22"/>
      <c r="F592" s="18"/>
    </row>
    <row r="593" spans="1:6" ht="15" thickBot="1" x14ac:dyDescent="0.35">
      <c r="A593" s="13">
        <f>DataSet!H178</f>
        <v>5</v>
      </c>
      <c r="B593" s="16">
        <f>DataSet!N178</f>
        <v>749.95</v>
      </c>
      <c r="C593" s="42"/>
      <c r="D593" s="42"/>
      <c r="E593" s="42"/>
      <c r="F593" s="42"/>
    </row>
    <row r="594" spans="1:6" ht="18.600000000000001" thickBot="1" x14ac:dyDescent="0.4">
      <c r="A594" s="13">
        <f>DataSet!H179</f>
        <v>1</v>
      </c>
      <c r="B594" s="16">
        <f>DataSet!N179</f>
        <v>899.99</v>
      </c>
      <c r="C594" s="42"/>
      <c r="D594" s="61" t="s">
        <v>481</v>
      </c>
      <c r="E594" s="42"/>
      <c r="F594" s="42"/>
    </row>
    <row r="595" spans="1:6" ht="15" thickBot="1" x14ac:dyDescent="0.35">
      <c r="A595" s="13">
        <f>DataSet!H180</f>
        <v>2</v>
      </c>
      <c r="B595" s="16">
        <f>DataSet!N180</f>
        <v>179.98</v>
      </c>
      <c r="C595" s="42"/>
      <c r="D595" s="42"/>
      <c r="E595" s="42"/>
      <c r="F595" s="42"/>
    </row>
    <row r="596" spans="1:6" ht="15" thickBot="1" x14ac:dyDescent="0.35">
      <c r="A596" s="13">
        <f>DataSet!H181</f>
        <v>1</v>
      </c>
      <c r="B596" s="16">
        <f>DataSet!N181</f>
        <v>899.99</v>
      </c>
      <c r="C596" s="42"/>
      <c r="D596" s="26" t="s">
        <v>478</v>
      </c>
      <c r="E596" s="27" t="s">
        <v>482</v>
      </c>
      <c r="F596" s="28" t="s">
        <v>483</v>
      </c>
    </row>
    <row r="597" spans="1:6" x14ac:dyDescent="0.3">
      <c r="A597" s="13">
        <f>DataSet!H182</f>
        <v>5</v>
      </c>
      <c r="B597" s="16">
        <f>DataSet!N182</f>
        <v>749.95</v>
      </c>
      <c r="C597" s="42"/>
      <c r="D597" s="23" t="str">
        <f>DataSet!D2</f>
        <v>Paul Baker</v>
      </c>
      <c r="E597" s="24" t="str">
        <f>_xlfn.TEXTBEFORE(D597," ")</f>
        <v>Paul</v>
      </c>
      <c r="F597" s="25" t="str">
        <f>UPPER(LEFT(E597,1))</f>
        <v>P</v>
      </c>
    </row>
    <row r="598" spans="1:6" x14ac:dyDescent="0.3">
      <c r="A598" s="13">
        <f>DataSet!H183</f>
        <v>3</v>
      </c>
      <c r="B598" s="16">
        <f>DataSet!N183</f>
        <v>899.97</v>
      </c>
      <c r="C598" s="42"/>
      <c r="D598" s="13" t="str">
        <f>DataSet!D3</f>
        <v>Joseph Jackson</v>
      </c>
      <c r="E598" s="12" t="str">
        <f t="shared" ref="E598:E661" si="0">_xlfn.TEXTBEFORE(D598," ")</f>
        <v>Joseph</v>
      </c>
      <c r="F598" s="16" t="str">
        <f t="shared" ref="F598:F661" si="1">UPPER(LEFT(E598,1))</f>
        <v>J</v>
      </c>
    </row>
    <row r="599" spans="1:6" x14ac:dyDescent="0.3">
      <c r="A599" s="13">
        <f>DataSet!H184</f>
        <v>3</v>
      </c>
      <c r="B599" s="16">
        <f>DataSet!N184</f>
        <v>2099.9699999999998</v>
      </c>
      <c r="C599" s="42"/>
      <c r="D599" s="13" t="str">
        <f>DataSet!D4</f>
        <v>Kevin Scott</v>
      </c>
      <c r="E599" s="12" t="str">
        <f t="shared" si="0"/>
        <v>Kevin</v>
      </c>
      <c r="F599" s="16" t="str">
        <f t="shared" si="1"/>
        <v>K</v>
      </c>
    </row>
    <row r="600" spans="1:6" x14ac:dyDescent="0.3">
      <c r="A600" s="13">
        <f>DataSet!H185</f>
        <v>5</v>
      </c>
      <c r="B600" s="16">
        <f>DataSet!N185</f>
        <v>999.95</v>
      </c>
      <c r="C600" s="42"/>
      <c r="D600" s="13" t="str">
        <f>DataSet!D5</f>
        <v>Kathleen Bennett</v>
      </c>
      <c r="E600" s="12" t="str">
        <f t="shared" si="0"/>
        <v>Kathleen</v>
      </c>
      <c r="F600" s="16" t="str">
        <f t="shared" si="1"/>
        <v>K</v>
      </c>
    </row>
    <row r="601" spans="1:6" x14ac:dyDescent="0.3">
      <c r="A601" s="13">
        <f>DataSet!H186</f>
        <v>5</v>
      </c>
      <c r="B601" s="16">
        <f>DataSet!N186</f>
        <v>1249.95</v>
      </c>
      <c r="C601" s="42"/>
      <c r="D601" s="13" t="str">
        <f>DataSet!D6</f>
        <v>Michael Brown</v>
      </c>
      <c r="E601" s="12" t="str">
        <f t="shared" si="0"/>
        <v>Michael</v>
      </c>
      <c r="F601" s="16" t="str">
        <f t="shared" si="1"/>
        <v>M</v>
      </c>
    </row>
    <row r="602" spans="1:6" x14ac:dyDescent="0.3">
      <c r="A602" s="13">
        <f>DataSet!H187</f>
        <v>4</v>
      </c>
      <c r="B602" s="16">
        <f>DataSet!N187</f>
        <v>599.96</v>
      </c>
      <c r="C602" s="42"/>
      <c r="D602" s="13" t="str">
        <f>DataSet!D7</f>
        <v>Dorothy Nelson</v>
      </c>
      <c r="E602" s="12" t="str">
        <f t="shared" si="0"/>
        <v>Dorothy</v>
      </c>
      <c r="F602" s="16" t="str">
        <f t="shared" si="1"/>
        <v>D</v>
      </c>
    </row>
    <row r="603" spans="1:6" x14ac:dyDescent="0.3">
      <c r="A603" s="13">
        <f>DataSet!H188</f>
        <v>3</v>
      </c>
      <c r="B603" s="16">
        <f>DataSet!N188</f>
        <v>2099.9699999999998</v>
      </c>
      <c r="C603" s="42"/>
      <c r="D603" s="13" t="str">
        <f>DataSet!D8</f>
        <v>Dorothy Nelson</v>
      </c>
      <c r="E603" s="12" t="str">
        <f t="shared" si="0"/>
        <v>Dorothy</v>
      </c>
      <c r="F603" s="16" t="str">
        <f t="shared" si="1"/>
        <v>D</v>
      </c>
    </row>
    <row r="604" spans="1:6" x14ac:dyDescent="0.3">
      <c r="A604" s="13">
        <f>DataSet!H189</f>
        <v>1</v>
      </c>
      <c r="B604" s="16">
        <f>DataSet!N189</f>
        <v>79.989999999999995</v>
      </c>
      <c r="C604" s="42"/>
      <c r="D604" s="13" t="str">
        <f>DataSet!D9</f>
        <v>Charles Allen</v>
      </c>
      <c r="E604" s="12" t="str">
        <f t="shared" si="0"/>
        <v>Charles</v>
      </c>
      <c r="F604" s="16" t="str">
        <f t="shared" si="1"/>
        <v>C</v>
      </c>
    </row>
    <row r="605" spans="1:6" x14ac:dyDescent="0.3">
      <c r="A605" s="13">
        <f>DataSet!H190</f>
        <v>1</v>
      </c>
      <c r="B605" s="16">
        <f>DataSet!N190</f>
        <v>299.99</v>
      </c>
      <c r="C605" s="42"/>
      <c r="D605" s="13" t="str">
        <f>DataSet!D10</f>
        <v>Robert Thomas</v>
      </c>
      <c r="E605" s="12" t="str">
        <f t="shared" si="0"/>
        <v>Robert</v>
      </c>
      <c r="F605" s="16" t="str">
        <f t="shared" si="1"/>
        <v>R</v>
      </c>
    </row>
    <row r="606" spans="1:6" x14ac:dyDescent="0.3">
      <c r="A606" s="13">
        <f>DataSet!H191</f>
        <v>4</v>
      </c>
      <c r="B606" s="16">
        <f>DataSet!N191</f>
        <v>999.96</v>
      </c>
      <c r="C606" s="42"/>
      <c r="D606" s="13" t="str">
        <f>DataSet!D11</f>
        <v>Karen Hill</v>
      </c>
      <c r="E606" s="12" t="str">
        <f t="shared" si="0"/>
        <v>Karen</v>
      </c>
      <c r="F606" s="16" t="str">
        <f t="shared" si="1"/>
        <v>K</v>
      </c>
    </row>
    <row r="607" spans="1:6" x14ac:dyDescent="0.3">
      <c r="A607" s="13">
        <f>DataSet!H192</f>
        <v>2</v>
      </c>
      <c r="B607" s="16">
        <f>DataSet!N192</f>
        <v>299.98</v>
      </c>
      <c r="C607" s="42"/>
      <c r="D607" s="13" t="str">
        <f>DataSet!D12</f>
        <v>Susan Green</v>
      </c>
      <c r="E607" s="12" t="str">
        <f t="shared" si="0"/>
        <v>Susan</v>
      </c>
      <c r="F607" s="16" t="str">
        <f t="shared" si="1"/>
        <v>S</v>
      </c>
    </row>
    <row r="608" spans="1:6" x14ac:dyDescent="0.3">
      <c r="A608" s="13">
        <f>DataSet!H193</f>
        <v>3</v>
      </c>
      <c r="B608" s="16">
        <f>DataSet!N193</f>
        <v>899.97</v>
      </c>
      <c r="C608" s="42"/>
      <c r="D608" s="13" t="str">
        <f>DataSet!D13</f>
        <v>Kathleen Bennett</v>
      </c>
      <c r="E608" s="12" t="str">
        <f t="shared" si="0"/>
        <v>Kathleen</v>
      </c>
      <c r="F608" s="16" t="str">
        <f t="shared" si="1"/>
        <v>K</v>
      </c>
    </row>
    <row r="609" spans="1:6" x14ac:dyDescent="0.3">
      <c r="A609" s="13">
        <f>DataSet!H194</f>
        <v>4</v>
      </c>
      <c r="B609" s="16">
        <f>DataSet!N194</f>
        <v>799.96</v>
      </c>
      <c r="C609" s="42"/>
      <c r="D609" s="13" t="str">
        <f>DataSet!D14</f>
        <v>Peter Richardson</v>
      </c>
      <c r="E609" s="12" t="str">
        <f t="shared" si="0"/>
        <v>Peter</v>
      </c>
      <c r="F609" s="16" t="str">
        <f t="shared" si="1"/>
        <v>P</v>
      </c>
    </row>
    <row r="610" spans="1:6" x14ac:dyDescent="0.3">
      <c r="A610" s="13">
        <f>DataSet!H195</f>
        <v>5</v>
      </c>
      <c r="B610" s="16">
        <f>DataSet!N195</f>
        <v>1499.95</v>
      </c>
      <c r="C610" s="42"/>
      <c r="D610" s="13" t="str">
        <f>DataSet!D15</f>
        <v>Dennis Gray</v>
      </c>
      <c r="E610" s="12" t="str">
        <f t="shared" si="0"/>
        <v>Dennis</v>
      </c>
      <c r="F610" s="16" t="str">
        <f t="shared" si="1"/>
        <v>D</v>
      </c>
    </row>
    <row r="611" spans="1:6" x14ac:dyDescent="0.3">
      <c r="A611" s="13">
        <f>DataSet!H196</f>
        <v>3</v>
      </c>
      <c r="B611" s="16">
        <f>DataSet!N196</f>
        <v>449.97</v>
      </c>
      <c r="C611" s="42"/>
      <c r="D611" s="13" t="str">
        <f>DataSet!D16</f>
        <v>Michelle Rogers</v>
      </c>
      <c r="E611" s="12" t="str">
        <f t="shared" si="0"/>
        <v>Michelle</v>
      </c>
      <c r="F611" s="16" t="str">
        <f t="shared" si="1"/>
        <v>M</v>
      </c>
    </row>
    <row r="612" spans="1:6" x14ac:dyDescent="0.3">
      <c r="A612" s="13">
        <f>DataSet!H197</f>
        <v>5</v>
      </c>
      <c r="B612" s="16">
        <f>DataSet!N197</f>
        <v>299.95</v>
      </c>
      <c r="C612" s="42"/>
      <c r="D612" s="13" t="str">
        <f>DataSet!D17</f>
        <v>George Adams</v>
      </c>
      <c r="E612" s="12" t="str">
        <f t="shared" si="0"/>
        <v>George</v>
      </c>
      <c r="F612" s="16" t="str">
        <f t="shared" si="1"/>
        <v>G</v>
      </c>
    </row>
    <row r="613" spans="1:6" x14ac:dyDescent="0.3">
      <c r="A613" s="13">
        <f>DataSet!H198</f>
        <v>4</v>
      </c>
      <c r="B613" s="16">
        <f>DataSet!N198</f>
        <v>239.96</v>
      </c>
      <c r="C613" s="42"/>
      <c r="D613" s="13" t="str">
        <f>DataSet!D18</f>
        <v>Mark Carter</v>
      </c>
      <c r="E613" s="12" t="str">
        <f t="shared" si="0"/>
        <v>Mark</v>
      </c>
      <c r="F613" s="16" t="str">
        <f t="shared" si="1"/>
        <v>M</v>
      </c>
    </row>
    <row r="614" spans="1:6" x14ac:dyDescent="0.3">
      <c r="A614" s="13">
        <f>DataSet!H199</f>
        <v>4</v>
      </c>
      <c r="B614" s="16">
        <f>DataSet!N199</f>
        <v>999.96</v>
      </c>
      <c r="C614" s="42"/>
      <c r="D614" s="13" t="str">
        <f>DataSet!D19</f>
        <v>Maria Garcia</v>
      </c>
      <c r="E614" s="12" t="str">
        <f t="shared" si="0"/>
        <v>Maria</v>
      </c>
      <c r="F614" s="16" t="str">
        <f t="shared" si="1"/>
        <v>M</v>
      </c>
    </row>
    <row r="615" spans="1:6" x14ac:dyDescent="0.3">
      <c r="A615" s="13">
        <f>DataSet!H200</f>
        <v>4</v>
      </c>
      <c r="B615" s="16">
        <f>DataSet!N200</f>
        <v>3599.96</v>
      </c>
      <c r="C615" s="42"/>
      <c r="D615" s="13" t="str">
        <f>DataSet!D20</f>
        <v>Mark Carter</v>
      </c>
      <c r="E615" s="12" t="str">
        <f t="shared" si="0"/>
        <v>Mark</v>
      </c>
      <c r="F615" s="16" t="str">
        <f t="shared" si="1"/>
        <v>M</v>
      </c>
    </row>
    <row r="616" spans="1:6" x14ac:dyDescent="0.3">
      <c r="A616" s="13">
        <f>DataSet!H201</f>
        <v>3</v>
      </c>
      <c r="B616" s="16">
        <f>DataSet!N201</f>
        <v>899.97</v>
      </c>
      <c r="C616" s="42"/>
      <c r="D616" s="13" t="str">
        <f>DataSet!D21</f>
        <v>Virginia Sanders</v>
      </c>
      <c r="E616" s="12" t="str">
        <f t="shared" si="0"/>
        <v>Virginia</v>
      </c>
      <c r="F616" s="16" t="str">
        <f t="shared" si="1"/>
        <v>V</v>
      </c>
    </row>
    <row r="617" spans="1:6" x14ac:dyDescent="0.3">
      <c r="A617" s="13">
        <f>DataSet!H202</f>
        <v>2</v>
      </c>
      <c r="B617" s="16">
        <f>DataSet!N202</f>
        <v>1399.98</v>
      </c>
      <c r="C617" s="42"/>
      <c r="D617" s="13" t="str">
        <f>DataSet!D22</f>
        <v>Barbara Young</v>
      </c>
      <c r="E617" s="12" t="str">
        <f t="shared" si="0"/>
        <v>Barbara</v>
      </c>
      <c r="F617" s="16" t="str">
        <f t="shared" si="1"/>
        <v>B</v>
      </c>
    </row>
    <row r="618" spans="1:6" x14ac:dyDescent="0.3">
      <c r="A618" s="13">
        <f>DataSet!H203</f>
        <v>4</v>
      </c>
      <c r="B618" s="16">
        <f>DataSet!N203</f>
        <v>2799.96</v>
      </c>
      <c r="C618" s="42"/>
      <c r="D618" s="13" t="str">
        <f>DataSet!D23</f>
        <v>Patricia Moore</v>
      </c>
      <c r="E618" s="12" t="str">
        <f t="shared" si="0"/>
        <v>Patricia</v>
      </c>
      <c r="F618" s="16" t="str">
        <f t="shared" si="1"/>
        <v>P</v>
      </c>
    </row>
    <row r="619" spans="1:6" x14ac:dyDescent="0.3">
      <c r="A619" s="13">
        <f>DataSet!H204</f>
        <v>2</v>
      </c>
      <c r="B619" s="16">
        <f>DataSet!N204</f>
        <v>179.98</v>
      </c>
      <c r="C619" s="42"/>
      <c r="D619" s="13" t="str">
        <f>DataSet!D24</f>
        <v>Cynthia Price</v>
      </c>
      <c r="E619" s="12" t="str">
        <f t="shared" si="0"/>
        <v>Cynthia</v>
      </c>
      <c r="F619" s="16" t="str">
        <f t="shared" si="1"/>
        <v>C</v>
      </c>
    </row>
    <row r="620" spans="1:6" x14ac:dyDescent="0.3">
      <c r="A620" s="13">
        <f>DataSet!H205</f>
        <v>3</v>
      </c>
      <c r="B620" s="16">
        <f>DataSet!N205</f>
        <v>269.97000000000003</v>
      </c>
      <c r="C620" s="42"/>
      <c r="D620" s="13" t="str">
        <f>DataSet!D25</f>
        <v>Mark Carter</v>
      </c>
      <c r="E620" s="12" t="str">
        <f t="shared" si="0"/>
        <v>Mark</v>
      </c>
      <c r="F620" s="16" t="str">
        <f t="shared" si="1"/>
        <v>M</v>
      </c>
    </row>
    <row r="621" spans="1:6" x14ac:dyDescent="0.3">
      <c r="A621" s="13">
        <f>DataSet!H206</f>
        <v>1</v>
      </c>
      <c r="B621" s="16">
        <f>DataSet!N206</f>
        <v>59.99</v>
      </c>
      <c r="C621" s="42"/>
      <c r="D621" s="13" t="str">
        <f>DataSet!D26</f>
        <v>Nancy Collins</v>
      </c>
      <c r="E621" s="12" t="str">
        <f t="shared" si="0"/>
        <v>Nancy</v>
      </c>
      <c r="F621" s="16" t="str">
        <f t="shared" si="1"/>
        <v>N</v>
      </c>
    </row>
    <row r="622" spans="1:6" x14ac:dyDescent="0.3">
      <c r="A622" s="13">
        <f>DataSet!H207</f>
        <v>3</v>
      </c>
      <c r="B622" s="16">
        <f>DataSet!N207</f>
        <v>449.97</v>
      </c>
      <c r="C622" s="42"/>
      <c r="D622" s="13" t="str">
        <f>DataSet!D27</f>
        <v>Susan Green</v>
      </c>
      <c r="E622" s="12" t="str">
        <f t="shared" si="0"/>
        <v>Susan</v>
      </c>
      <c r="F622" s="16" t="str">
        <f t="shared" si="1"/>
        <v>S</v>
      </c>
    </row>
    <row r="623" spans="1:6" x14ac:dyDescent="0.3">
      <c r="A623" s="13">
        <f>DataSet!H208</f>
        <v>5</v>
      </c>
      <c r="B623" s="16">
        <f>DataSet!N208</f>
        <v>1499.95</v>
      </c>
      <c r="C623" s="42"/>
      <c r="D623" s="13" t="str">
        <f>DataSet!D28</f>
        <v>Linda Martin</v>
      </c>
      <c r="E623" s="12" t="str">
        <f t="shared" si="0"/>
        <v>Linda</v>
      </c>
      <c r="F623" s="16" t="str">
        <f t="shared" si="1"/>
        <v>L</v>
      </c>
    </row>
    <row r="624" spans="1:6" x14ac:dyDescent="0.3">
      <c r="A624" s="13">
        <f>DataSet!H209</f>
        <v>5</v>
      </c>
      <c r="B624" s="16">
        <f>DataSet!N209</f>
        <v>299.95</v>
      </c>
      <c r="C624" s="42"/>
      <c r="D624" s="13" t="str">
        <f>DataSet!D29</f>
        <v>Patricia Moore</v>
      </c>
      <c r="E624" s="12" t="str">
        <f t="shared" si="0"/>
        <v>Patricia</v>
      </c>
      <c r="F624" s="16" t="str">
        <f t="shared" si="1"/>
        <v>P</v>
      </c>
    </row>
    <row r="625" spans="1:6" x14ac:dyDescent="0.3">
      <c r="A625" s="13">
        <f>DataSet!H210</f>
        <v>3</v>
      </c>
      <c r="B625" s="16">
        <f>DataSet!N210</f>
        <v>239.97</v>
      </c>
      <c r="C625" s="42"/>
      <c r="D625" s="13" t="str">
        <f>DataSet!D30</f>
        <v>Helen Roberts</v>
      </c>
      <c r="E625" s="12" t="str">
        <f t="shared" si="0"/>
        <v>Helen</v>
      </c>
      <c r="F625" s="16" t="str">
        <f t="shared" si="1"/>
        <v>H</v>
      </c>
    </row>
    <row r="626" spans="1:6" x14ac:dyDescent="0.3">
      <c r="A626" s="13">
        <f>DataSet!H211</f>
        <v>3</v>
      </c>
      <c r="B626" s="16">
        <f>DataSet!N211</f>
        <v>599.97</v>
      </c>
      <c r="C626" s="42"/>
      <c r="D626" s="13" t="str">
        <f>DataSet!D31</f>
        <v>Edward Mitchell</v>
      </c>
      <c r="E626" s="12" t="str">
        <f t="shared" si="0"/>
        <v>Edward</v>
      </c>
      <c r="F626" s="16" t="str">
        <f t="shared" si="1"/>
        <v>E</v>
      </c>
    </row>
    <row r="627" spans="1:6" x14ac:dyDescent="0.3">
      <c r="A627" s="13">
        <f>DataSet!H212</f>
        <v>2</v>
      </c>
      <c r="B627" s="16">
        <f>DataSet!N212</f>
        <v>179.98</v>
      </c>
      <c r="C627" s="42"/>
      <c r="D627" s="13" t="str">
        <f>DataSet!D32</f>
        <v>Charles Allen</v>
      </c>
      <c r="E627" s="12" t="str">
        <f t="shared" si="0"/>
        <v>Charles</v>
      </c>
      <c r="F627" s="16" t="str">
        <f t="shared" si="1"/>
        <v>C</v>
      </c>
    </row>
    <row r="628" spans="1:6" x14ac:dyDescent="0.3">
      <c r="A628" s="13">
        <f>DataSet!H213</f>
        <v>2</v>
      </c>
      <c r="B628" s="16">
        <f>DataSet!N213</f>
        <v>299.98</v>
      </c>
      <c r="C628" s="42"/>
      <c r="D628" s="13" t="str">
        <f>DataSet!D33</f>
        <v>Lisa Anderson</v>
      </c>
      <c r="E628" s="12" t="str">
        <f t="shared" si="0"/>
        <v>Lisa</v>
      </c>
      <c r="F628" s="16" t="str">
        <f t="shared" si="1"/>
        <v>L</v>
      </c>
    </row>
    <row r="629" spans="1:6" x14ac:dyDescent="0.3">
      <c r="A629" s="13">
        <f>DataSet!H214</f>
        <v>5</v>
      </c>
      <c r="B629" s="16">
        <f>DataSet!N214</f>
        <v>3499.95</v>
      </c>
      <c r="C629" s="42"/>
      <c r="D629" s="13" t="str">
        <f>DataSet!D34</f>
        <v>Emma Wilson</v>
      </c>
      <c r="E629" s="12" t="str">
        <f t="shared" si="0"/>
        <v>Emma</v>
      </c>
      <c r="F629" s="16" t="str">
        <f t="shared" si="1"/>
        <v>E</v>
      </c>
    </row>
    <row r="630" spans="1:6" x14ac:dyDescent="0.3">
      <c r="A630" s="13">
        <f>DataSet!H215</f>
        <v>3</v>
      </c>
      <c r="B630" s="16">
        <f>DataSet!N215</f>
        <v>449.97</v>
      </c>
      <c r="C630" s="42"/>
      <c r="D630" s="13" t="str">
        <f>DataSet!D35</f>
        <v>Kevin Scott</v>
      </c>
      <c r="E630" s="12" t="str">
        <f t="shared" si="0"/>
        <v>Kevin</v>
      </c>
      <c r="F630" s="16" t="str">
        <f t="shared" si="1"/>
        <v>K</v>
      </c>
    </row>
    <row r="631" spans="1:6" x14ac:dyDescent="0.3">
      <c r="A631" s="13">
        <f>DataSet!H216</f>
        <v>3</v>
      </c>
      <c r="B631" s="16">
        <f>DataSet!N216</f>
        <v>2699.97</v>
      </c>
      <c r="C631" s="42"/>
      <c r="D631" s="13" t="str">
        <f>DataSet!D36</f>
        <v>Patricia Moore</v>
      </c>
      <c r="E631" s="12" t="str">
        <f t="shared" si="0"/>
        <v>Patricia</v>
      </c>
      <c r="F631" s="16" t="str">
        <f t="shared" si="1"/>
        <v>P</v>
      </c>
    </row>
    <row r="632" spans="1:6" x14ac:dyDescent="0.3">
      <c r="A632" s="13">
        <f>DataSet!H217</f>
        <v>3</v>
      </c>
      <c r="B632" s="16">
        <f>DataSet!N217</f>
        <v>599.97</v>
      </c>
      <c r="C632" s="42"/>
      <c r="D632" s="13" t="str">
        <f>DataSet!D37</f>
        <v>Lisa Anderson</v>
      </c>
      <c r="E632" s="12" t="str">
        <f t="shared" si="0"/>
        <v>Lisa</v>
      </c>
      <c r="F632" s="16" t="str">
        <f t="shared" si="1"/>
        <v>L</v>
      </c>
    </row>
    <row r="633" spans="1:6" x14ac:dyDescent="0.3">
      <c r="A633" s="13">
        <f>DataSet!H218</f>
        <v>5</v>
      </c>
      <c r="B633" s="16">
        <f>DataSet!N218</f>
        <v>1499.95</v>
      </c>
      <c r="C633" s="42"/>
      <c r="D633" s="13" t="str">
        <f>DataSet!D38</f>
        <v>Steven Turner</v>
      </c>
      <c r="E633" s="12" t="str">
        <f t="shared" si="0"/>
        <v>Steven</v>
      </c>
      <c r="F633" s="16" t="str">
        <f t="shared" si="1"/>
        <v>S</v>
      </c>
    </row>
    <row r="634" spans="1:6" x14ac:dyDescent="0.3">
      <c r="A634" s="13">
        <f>DataSet!H219</f>
        <v>1</v>
      </c>
      <c r="B634" s="16">
        <f>DataSet!N219</f>
        <v>699.99</v>
      </c>
      <c r="C634" s="42"/>
      <c r="D634" s="13" t="str">
        <f>DataSet!D39</f>
        <v>Jennifer Taylor</v>
      </c>
      <c r="E634" s="12" t="str">
        <f t="shared" si="0"/>
        <v>Jennifer</v>
      </c>
      <c r="F634" s="16" t="str">
        <f t="shared" si="1"/>
        <v>J</v>
      </c>
    </row>
    <row r="635" spans="1:6" x14ac:dyDescent="0.3">
      <c r="A635" s="13">
        <f>DataSet!H220</f>
        <v>1</v>
      </c>
      <c r="B635" s="16">
        <f>DataSet!N220</f>
        <v>699.99</v>
      </c>
      <c r="C635" s="42"/>
      <c r="D635" s="13" t="str">
        <f>DataSet!D40</f>
        <v>Harry Morgan</v>
      </c>
      <c r="E635" s="12" t="str">
        <f t="shared" si="0"/>
        <v>Harry</v>
      </c>
      <c r="F635" s="16" t="str">
        <f t="shared" si="1"/>
        <v>H</v>
      </c>
    </row>
    <row r="636" spans="1:6" x14ac:dyDescent="0.3">
      <c r="A636" s="13">
        <f>DataSet!H221</f>
        <v>4</v>
      </c>
      <c r="B636" s="16">
        <f>DataSet!N221</f>
        <v>599.96</v>
      </c>
      <c r="C636" s="42"/>
      <c r="D636" s="13" t="str">
        <f>DataSet!D41</f>
        <v>Daniel King</v>
      </c>
      <c r="E636" s="12" t="str">
        <f t="shared" si="0"/>
        <v>Daniel</v>
      </c>
      <c r="F636" s="16" t="str">
        <f t="shared" si="1"/>
        <v>D</v>
      </c>
    </row>
    <row r="637" spans="1:6" x14ac:dyDescent="0.3">
      <c r="A637" s="13">
        <f>DataSet!H222</f>
        <v>5</v>
      </c>
      <c r="B637" s="16">
        <f>DataSet!N222</f>
        <v>449.95</v>
      </c>
      <c r="C637" s="42"/>
      <c r="D637" s="13" t="str">
        <f>DataSet!D42</f>
        <v>Sharon Butler</v>
      </c>
      <c r="E637" s="12" t="str">
        <f t="shared" si="0"/>
        <v>Sharon</v>
      </c>
      <c r="F637" s="16" t="str">
        <f t="shared" si="1"/>
        <v>S</v>
      </c>
    </row>
    <row r="638" spans="1:6" x14ac:dyDescent="0.3">
      <c r="A638" s="13">
        <f>DataSet!H223</f>
        <v>2</v>
      </c>
      <c r="B638" s="16">
        <f>DataSet!N223</f>
        <v>399.98</v>
      </c>
      <c r="C638" s="42"/>
      <c r="D638" s="13" t="str">
        <f>DataSet!D43</f>
        <v>Charles Allen</v>
      </c>
      <c r="E638" s="12" t="str">
        <f t="shared" si="0"/>
        <v>Charles</v>
      </c>
      <c r="F638" s="16" t="str">
        <f t="shared" si="1"/>
        <v>C</v>
      </c>
    </row>
    <row r="639" spans="1:6" x14ac:dyDescent="0.3">
      <c r="A639" s="13">
        <f>DataSet!H224</f>
        <v>4</v>
      </c>
      <c r="B639" s="16">
        <f>DataSet!N224</f>
        <v>239.96</v>
      </c>
      <c r="C639" s="42"/>
      <c r="D639" s="13" t="str">
        <f>DataSet!D44</f>
        <v>Sarah Davis</v>
      </c>
      <c r="E639" s="12" t="str">
        <f t="shared" si="0"/>
        <v>Sarah</v>
      </c>
      <c r="F639" s="16" t="str">
        <f t="shared" si="1"/>
        <v>S</v>
      </c>
    </row>
    <row r="640" spans="1:6" x14ac:dyDescent="0.3">
      <c r="A640" s="13">
        <f>DataSet!H225</f>
        <v>2</v>
      </c>
      <c r="B640" s="16">
        <f>DataSet!N225</f>
        <v>599.98</v>
      </c>
      <c r="C640" s="42"/>
      <c r="D640" s="13" t="str">
        <f>DataSet!D45</f>
        <v>Joseph Jackson</v>
      </c>
      <c r="E640" s="12" t="str">
        <f t="shared" si="0"/>
        <v>Joseph</v>
      </c>
      <c r="F640" s="16" t="str">
        <f t="shared" si="1"/>
        <v>J</v>
      </c>
    </row>
    <row r="641" spans="1:6" x14ac:dyDescent="0.3">
      <c r="A641" s="13">
        <f>DataSet!H226</f>
        <v>2</v>
      </c>
      <c r="B641" s="16">
        <f>DataSet!N226</f>
        <v>299.98</v>
      </c>
      <c r="C641" s="42"/>
      <c r="D641" s="13" t="str">
        <f>DataSet!D46</f>
        <v>Betty Campbell</v>
      </c>
      <c r="E641" s="12" t="str">
        <f t="shared" si="0"/>
        <v>Betty</v>
      </c>
      <c r="F641" s="16" t="str">
        <f t="shared" si="1"/>
        <v>B</v>
      </c>
    </row>
    <row r="642" spans="1:6" x14ac:dyDescent="0.3">
      <c r="A642" s="13">
        <f>DataSet!H227</f>
        <v>5</v>
      </c>
      <c r="B642" s="16">
        <f>DataSet!N227</f>
        <v>3499.95</v>
      </c>
      <c r="C642" s="42"/>
      <c r="D642" s="13" t="str">
        <f>DataSet!D47</f>
        <v>Michael Brown</v>
      </c>
      <c r="E642" s="12" t="str">
        <f t="shared" si="0"/>
        <v>Michael</v>
      </c>
      <c r="F642" s="16" t="str">
        <f t="shared" si="1"/>
        <v>M</v>
      </c>
    </row>
    <row r="643" spans="1:6" x14ac:dyDescent="0.3">
      <c r="A643" s="13">
        <f>DataSet!H228</f>
        <v>5</v>
      </c>
      <c r="B643" s="16">
        <f>DataSet!N228</f>
        <v>299.95</v>
      </c>
      <c r="C643" s="42"/>
      <c r="D643" s="13" t="str">
        <f>DataSet!D48</f>
        <v>Julie Foster</v>
      </c>
      <c r="E643" s="12" t="str">
        <f t="shared" si="0"/>
        <v>Julie</v>
      </c>
      <c r="F643" s="16" t="str">
        <f t="shared" si="1"/>
        <v>J</v>
      </c>
    </row>
    <row r="644" spans="1:6" x14ac:dyDescent="0.3">
      <c r="A644" s="13">
        <f>DataSet!H229</f>
        <v>2</v>
      </c>
      <c r="B644" s="16">
        <f>DataSet!N229</f>
        <v>179.98</v>
      </c>
      <c r="C644" s="42"/>
      <c r="D644" s="13" t="str">
        <f>DataSet!D49</f>
        <v>Lisa Anderson</v>
      </c>
      <c r="E644" s="12" t="str">
        <f t="shared" si="0"/>
        <v>Lisa</v>
      </c>
      <c r="F644" s="16" t="str">
        <f t="shared" si="1"/>
        <v>L</v>
      </c>
    </row>
    <row r="645" spans="1:6" x14ac:dyDescent="0.3">
      <c r="A645" s="13">
        <f>DataSet!H230</f>
        <v>5</v>
      </c>
      <c r="B645" s="16">
        <f>DataSet!N230</f>
        <v>1249.95</v>
      </c>
      <c r="C645" s="42"/>
      <c r="D645" s="13" t="str">
        <f>DataSet!D50</f>
        <v>Patricia Moore</v>
      </c>
      <c r="E645" s="12" t="str">
        <f t="shared" si="0"/>
        <v>Patricia</v>
      </c>
      <c r="F645" s="16" t="str">
        <f t="shared" si="1"/>
        <v>P</v>
      </c>
    </row>
    <row r="646" spans="1:6" x14ac:dyDescent="0.3">
      <c r="A646" s="13">
        <f>DataSet!H231</f>
        <v>2</v>
      </c>
      <c r="B646" s="16">
        <f>DataSet!N231</f>
        <v>299.98</v>
      </c>
      <c r="C646" s="42"/>
      <c r="D646" s="13" t="str">
        <f>DataSet!D51</f>
        <v>Paul Baker</v>
      </c>
      <c r="E646" s="12" t="str">
        <f t="shared" si="0"/>
        <v>Paul</v>
      </c>
      <c r="F646" s="16" t="str">
        <f t="shared" si="1"/>
        <v>P</v>
      </c>
    </row>
    <row r="647" spans="1:6" x14ac:dyDescent="0.3">
      <c r="A647" s="13">
        <f>DataSet!H232</f>
        <v>5</v>
      </c>
      <c r="B647" s="16">
        <f>DataSet!N232</f>
        <v>4499.95</v>
      </c>
      <c r="C647" s="42"/>
      <c r="D647" s="13" t="str">
        <f>DataSet!D52</f>
        <v>Edward Mitchell</v>
      </c>
      <c r="E647" s="12" t="str">
        <f t="shared" si="0"/>
        <v>Edward</v>
      </c>
      <c r="F647" s="16" t="str">
        <f t="shared" si="1"/>
        <v>E</v>
      </c>
    </row>
    <row r="648" spans="1:6" x14ac:dyDescent="0.3">
      <c r="A648" s="13">
        <f>DataSet!H233</f>
        <v>4</v>
      </c>
      <c r="B648" s="16">
        <f>DataSet!N233</f>
        <v>599.96</v>
      </c>
      <c r="C648" s="42"/>
      <c r="D648" s="13" t="str">
        <f>DataSet!D53</f>
        <v>Betty Campbell</v>
      </c>
      <c r="E648" s="12" t="str">
        <f t="shared" si="0"/>
        <v>Betty</v>
      </c>
      <c r="F648" s="16" t="str">
        <f t="shared" si="1"/>
        <v>B</v>
      </c>
    </row>
    <row r="649" spans="1:6" x14ac:dyDescent="0.3">
      <c r="A649" s="13">
        <f>DataSet!H234</f>
        <v>1</v>
      </c>
      <c r="B649" s="16">
        <f>DataSet!N234</f>
        <v>249.99</v>
      </c>
      <c r="C649" s="42"/>
      <c r="D649" s="13" t="str">
        <f>DataSet!D54</f>
        <v>Jennifer Taylor</v>
      </c>
      <c r="E649" s="12" t="str">
        <f t="shared" si="0"/>
        <v>Jennifer</v>
      </c>
      <c r="F649" s="16" t="str">
        <f t="shared" si="1"/>
        <v>J</v>
      </c>
    </row>
    <row r="650" spans="1:6" x14ac:dyDescent="0.3">
      <c r="A650" s="13">
        <f>DataSet!H235</f>
        <v>2</v>
      </c>
      <c r="B650" s="16">
        <f>DataSet!N235</f>
        <v>119.98</v>
      </c>
      <c r="C650" s="42"/>
      <c r="D650" s="13" t="str">
        <f>DataSet!D55</f>
        <v>Raymond Ross</v>
      </c>
      <c r="E650" s="12" t="str">
        <f t="shared" si="0"/>
        <v>Raymond</v>
      </c>
      <c r="F650" s="16" t="str">
        <f t="shared" si="1"/>
        <v>R</v>
      </c>
    </row>
    <row r="651" spans="1:6" x14ac:dyDescent="0.3">
      <c r="A651" s="13">
        <f>DataSet!H236</f>
        <v>2</v>
      </c>
      <c r="B651" s="16">
        <f>DataSet!N236</f>
        <v>299.98</v>
      </c>
      <c r="C651" s="42"/>
      <c r="D651" s="13" t="str">
        <f>DataSet!D56</f>
        <v>Kevin Scott</v>
      </c>
      <c r="E651" s="12" t="str">
        <f t="shared" si="0"/>
        <v>Kevin</v>
      </c>
      <c r="F651" s="16" t="str">
        <f t="shared" si="1"/>
        <v>K</v>
      </c>
    </row>
    <row r="652" spans="1:6" x14ac:dyDescent="0.3">
      <c r="A652" s="13">
        <f>DataSet!H237</f>
        <v>3</v>
      </c>
      <c r="B652" s="16">
        <f>DataSet!N237</f>
        <v>2699.97</v>
      </c>
      <c r="C652" s="42"/>
      <c r="D652" s="13" t="str">
        <f>DataSet!D57</f>
        <v>Robert Thomas</v>
      </c>
      <c r="E652" s="12" t="str">
        <f t="shared" si="0"/>
        <v>Robert</v>
      </c>
      <c r="F652" s="16" t="str">
        <f t="shared" si="1"/>
        <v>R</v>
      </c>
    </row>
    <row r="653" spans="1:6" x14ac:dyDescent="0.3">
      <c r="A653" s="13">
        <f>DataSet!H238</f>
        <v>3</v>
      </c>
      <c r="B653" s="16">
        <f>DataSet!N238</f>
        <v>2699.97</v>
      </c>
      <c r="C653" s="42"/>
      <c r="D653" s="13" t="str">
        <f>DataSet!D58</f>
        <v>Kathleen Bennett</v>
      </c>
      <c r="E653" s="12" t="str">
        <f t="shared" si="0"/>
        <v>Kathleen</v>
      </c>
      <c r="F653" s="16" t="str">
        <f t="shared" si="1"/>
        <v>K</v>
      </c>
    </row>
    <row r="654" spans="1:6" x14ac:dyDescent="0.3">
      <c r="A654" s="13">
        <f>DataSet!H239</f>
        <v>3</v>
      </c>
      <c r="B654" s="16">
        <f>DataSet!N239</f>
        <v>899.97</v>
      </c>
      <c r="C654" s="42"/>
      <c r="D654" s="13" t="str">
        <f>DataSet!D59</f>
        <v>Patricia Moore</v>
      </c>
      <c r="E654" s="12" t="str">
        <f t="shared" si="0"/>
        <v>Patricia</v>
      </c>
      <c r="F654" s="16" t="str">
        <f t="shared" si="1"/>
        <v>P</v>
      </c>
    </row>
    <row r="655" spans="1:6" x14ac:dyDescent="0.3">
      <c r="A655" s="13">
        <f>DataSet!H240</f>
        <v>4</v>
      </c>
      <c r="B655" s="16">
        <f>DataSet!N240</f>
        <v>599.96</v>
      </c>
      <c r="C655" s="42"/>
      <c r="D655" s="13" t="str">
        <f>DataSet!D60</f>
        <v>Helen Roberts</v>
      </c>
      <c r="E655" s="12" t="str">
        <f t="shared" si="0"/>
        <v>Helen</v>
      </c>
      <c r="F655" s="16" t="str">
        <f t="shared" si="1"/>
        <v>H</v>
      </c>
    </row>
    <row r="656" spans="1:6" x14ac:dyDescent="0.3">
      <c r="A656" s="13">
        <f>DataSet!H241</f>
        <v>4</v>
      </c>
      <c r="B656" s="16">
        <f>DataSet!N241</f>
        <v>319.95999999999998</v>
      </c>
      <c r="C656" s="42"/>
      <c r="D656" s="13" t="str">
        <f>DataSet!D61</f>
        <v>Emma Wilson</v>
      </c>
      <c r="E656" s="12" t="str">
        <f t="shared" si="0"/>
        <v>Emma</v>
      </c>
      <c r="F656" s="16" t="str">
        <f t="shared" si="1"/>
        <v>E</v>
      </c>
    </row>
    <row r="657" spans="1:6" x14ac:dyDescent="0.3">
      <c r="A657" s="13">
        <f>DataSet!H242</f>
        <v>5</v>
      </c>
      <c r="B657" s="16">
        <f>DataSet!N242</f>
        <v>449.95</v>
      </c>
      <c r="C657" s="42"/>
      <c r="D657" s="13" t="str">
        <f>DataSet!D62</f>
        <v>Charles Allen</v>
      </c>
      <c r="E657" s="12" t="str">
        <f t="shared" si="0"/>
        <v>Charles</v>
      </c>
      <c r="F657" s="16" t="str">
        <f t="shared" si="1"/>
        <v>C</v>
      </c>
    </row>
    <row r="658" spans="1:6" x14ac:dyDescent="0.3">
      <c r="A658" s="13">
        <f>DataSet!H243</f>
        <v>3</v>
      </c>
      <c r="B658" s="16">
        <f>DataSet!N243</f>
        <v>449.97</v>
      </c>
      <c r="C658" s="42"/>
      <c r="D658" s="13" t="str">
        <f>DataSet!D63</f>
        <v>Susan Green</v>
      </c>
      <c r="E658" s="12" t="str">
        <f t="shared" si="0"/>
        <v>Susan</v>
      </c>
      <c r="F658" s="16" t="str">
        <f t="shared" si="1"/>
        <v>S</v>
      </c>
    </row>
    <row r="659" spans="1:6" x14ac:dyDescent="0.3">
      <c r="A659" s="13">
        <f>DataSet!H244</f>
        <v>2</v>
      </c>
      <c r="B659" s="16">
        <f>DataSet!N244</f>
        <v>179.98</v>
      </c>
      <c r="C659" s="42"/>
      <c r="D659" s="13" t="str">
        <f>DataSet!D64</f>
        <v>David Martinez</v>
      </c>
      <c r="E659" s="12" t="str">
        <f t="shared" si="0"/>
        <v>David</v>
      </c>
      <c r="F659" s="16" t="str">
        <f t="shared" si="1"/>
        <v>D</v>
      </c>
    </row>
    <row r="660" spans="1:6" x14ac:dyDescent="0.3">
      <c r="A660" s="13">
        <f>DataSet!H245</f>
        <v>2</v>
      </c>
      <c r="B660" s="16">
        <f>DataSet!N245</f>
        <v>1399.98</v>
      </c>
      <c r="C660" s="42"/>
      <c r="D660" s="13" t="str">
        <f>DataSet!D65</f>
        <v>Margaret Wright</v>
      </c>
      <c r="E660" s="12" t="str">
        <f t="shared" si="0"/>
        <v>Margaret</v>
      </c>
      <c r="F660" s="16" t="str">
        <f t="shared" si="1"/>
        <v>M</v>
      </c>
    </row>
    <row r="661" spans="1:6" x14ac:dyDescent="0.3">
      <c r="A661" s="13">
        <f>DataSet!H246</f>
        <v>3</v>
      </c>
      <c r="B661" s="16">
        <f>DataSet!N246</f>
        <v>2699.97</v>
      </c>
      <c r="C661" s="42"/>
      <c r="D661" s="13" t="str">
        <f>DataSet!D66</f>
        <v>Michael Brown</v>
      </c>
      <c r="E661" s="12" t="str">
        <f t="shared" si="0"/>
        <v>Michael</v>
      </c>
      <c r="F661" s="16" t="str">
        <f t="shared" si="1"/>
        <v>M</v>
      </c>
    </row>
    <row r="662" spans="1:6" x14ac:dyDescent="0.3">
      <c r="A662" s="13">
        <f>DataSet!H247</f>
        <v>3</v>
      </c>
      <c r="B662" s="16">
        <f>DataSet!N247</f>
        <v>239.97</v>
      </c>
      <c r="C662" s="42"/>
      <c r="D662" s="13" t="str">
        <f>DataSet!D67</f>
        <v>Barbara Young</v>
      </c>
      <c r="E662" s="12" t="str">
        <f t="shared" ref="E662:E725" si="2">_xlfn.TEXTBEFORE(D662," ")</f>
        <v>Barbara</v>
      </c>
      <c r="F662" s="16" t="str">
        <f t="shared" ref="F662:F725" si="3">UPPER(LEFT(E662,1))</f>
        <v>B</v>
      </c>
    </row>
    <row r="663" spans="1:6" x14ac:dyDescent="0.3">
      <c r="A663" s="13">
        <f>DataSet!H248</f>
        <v>1</v>
      </c>
      <c r="B663" s="16">
        <f>DataSet!N248</f>
        <v>89.99</v>
      </c>
      <c r="C663" s="42"/>
      <c r="D663" s="13" t="str">
        <f>DataSet!D68</f>
        <v>Raymond Ross</v>
      </c>
      <c r="E663" s="12" t="str">
        <f t="shared" si="2"/>
        <v>Raymond</v>
      </c>
      <c r="F663" s="16" t="str">
        <f t="shared" si="3"/>
        <v>R</v>
      </c>
    </row>
    <row r="664" spans="1:6" x14ac:dyDescent="0.3">
      <c r="A664" s="13">
        <f>DataSet!H249</f>
        <v>3</v>
      </c>
      <c r="B664" s="16">
        <f>DataSet!N249</f>
        <v>2099.9699999999998</v>
      </c>
      <c r="C664" s="42"/>
      <c r="D664" s="13" t="str">
        <f>DataSet!D69</f>
        <v>Joseph Jackson</v>
      </c>
      <c r="E664" s="12" t="str">
        <f t="shared" si="2"/>
        <v>Joseph</v>
      </c>
      <c r="F664" s="16" t="str">
        <f t="shared" si="3"/>
        <v>J</v>
      </c>
    </row>
    <row r="665" spans="1:6" x14ac:dyDescent="0.3">
      <c r="A665" s="13">
        <f>DataSet!H250</f>
        <v>2</v>
      </c>
      <c r="B665" s="16">
        <f>DataSet!N250</f>
        <v>179.98</v>
      </c>
      <c r="C665" s="42"/>
      <c r="D665" s="13" t="str">
        <f>DataSet!D70</f>
        <v>Frank Torres</v>
      </c>
      <c r="E665" s="12" t="str">
        <f t="shared" si="2"/>
        <v>Frank</v>
      </c>
      <c r="F665" s="16" t="str">
        <f t="shared" si="3"/>
        <v>F</v>
      </c>
    </row>
    <row r="666" spans="1:6" ht="15" thickBot="1" x14ac:dyDescent="0.35">
      <c r="A666" s="17">
        <f>DataSet!H251</f>
        <v>3</v>
      </c>
      <c r="B666" s="18">
        <f>DataSet!N251</f>
        <v>269.97000000000003</v>
      </c>
      <c r="C666" s="42"/>
      <c r="D666" s="13" t="str">
        <f>DataSet!D71</f>
        <v>Frank Torres</v>
      </c>
      <c r="E666" s="12" t="str">
        <f t="shared" si="2"/>
        <v>Frank</v>
      </c>
      <c r="F666" s="16" t="str">
        <f t="shared" si="3"/>
        <v>F</v>
      </c>
    </row>
    <row r="667" spans="1:6" x14ac:dyDescent="0.3">
      <c r="C667" s="42"/>
      <c r="D667" s="13" t="str">
        <f>DataSet!D72</f>
        <v>Gerald Murphy</v>
      </c>
      <c r="E667" s="12" t="str">
        <f t="shared" si="2"/>
        <v>Gerald</v>
      </c>
      <c r="F667" s="16" t="str">
        <f t="shared" si="3"/>
        <v>G</v>
      </c>
    </row>
    <row r="668" spans="1:6" x14ac:dyDescent="0.3">
      <c r="C668" s="42"/>
      <c r="D668" s="13" t="str">
        <f>DataSet!D73</f>
        <v>Peter Richardson</v>
      </c>
      <c r="E668" s="12" t="str">
        <f t="shared" si="2"/>
        <v>Peter</v>
      </c>
      <c r="F668" s="16" t="str">
        <f t="shared" si="3"/>
        <v>P</v>
      </c>
    </row>
    <row r="669" spans="1:6" x14ac:dyDescent="0.3">
      <c r="C669" s="42"/>
      <c r="D669" s="13" t="str">
        <f>DataSet!D74</f>
        <v>Karen Hill</v>
      </c>
      <c r="E669" s="12" t="str">
        <f t="shared" si="2"/>
        <v>Karen</v>
      </c>
      <c r="F669" s="16" t="str">
        <f t="shared" si="3"/>
        <v>K</v>
      </c>
    </row>
    <row r="670" spans="1:6" x14ac:dyDescent="0.3">
      <c r="C670" s="42"/>
      <c r="D670" s="13" t="str">
        <f>DataSet!D75</f>
        <v>Sharon Butler</v>
      </c>
      <c r="E670" s="12" t="str">
        <f t="shared" si="2"/>
        <v>Sharon</v>
      </c>
      <c r="F670" s="16" t="str">
        <f t="shared" si="3"/>
        <v>S</v>
      </c>
    </row>
    <row r="671" spans="1:6" x14ac:dyDescent="0.3">
      <c r="C671" s="42"/>
      <c r="D671" s="13" t="str">
        <f>DataSet!D76</f>
        <v>Joseph Jackson</v>
      </c>
      <c r="E671" s="12" t="str">
        <f t="shared" si="2"/>
        <v>Joseph</v>
      </c>
      <c r="F671" s="16" t="str">
        <f t="shared" si="3"/>
        <v>J</v>
      </c>
    </row>
    <row r="672" spans="1:6" x14ac:dyDescent="0.3">
      <c r="C672" s="42"/>
      <c r="D672" s="13" t="str">
        <f>DataSet!D77</f>
        <v>David Martinez</v>
      </c>
      <c r="E672" s="12" t="str">
        <f t="shared" si="2"/>
        <v>David</v>
      </c>
      <c r="F672" s="16" t="str">
        <f t="shared" si="3"/>
        <v>D</v>
      </c>
    </row>
    <row r="673" spans="4:6" x14ac:dyDescent="0.3">
      <c r="D673" s="13" t="str">
        <f>DataSet!D78</f>
        <v>Gerald Murphy</v>
      </c>
      <c r="E673" s="12" t="str">
        <f t="shared" si="2"/>
        <v>Gerald</v>
      </c>
      <c r="F673" s="16" t="str">
        <f t="shared" si="3"/>
        <v>G</v>
      </c>
    </row>
    <row r="674" spans="4:6" x14ac:dyDescent="0.3">
      <c r="D674" s="13" t="str">
        <f>DataSet!D79</f>
        <v>Barbara Young</v>
      </c>
      <c r="E674" s="12" t="str">
        <f t="shared" si="2"/>
        <v>Barbara</v>
      </c>
      <c r="F674" s="16" t="str">
        <f t="shared" si="3"/>
        <v>B</v>
      </c>
    </row>
    <row r="675" spans="4:6" x14ac:dyDescent="0.3">
      <c r="D675" s="13" t="str">
        <f>DataSet!D80</f>
        <v>Daniel King</v>
      </c>
      <c r="E675" s="12" t="str">
        <f t="shared" si="2"/>
        <v>Daniel</v>
      </c>
      <c r="F675" s="16" t="str">
        <f t="shared" si="3"/>
        <v>D</v>
      </c>
    </row>
    <row r="676" spans="4:6" x14ac:dyDescent="0.3">
      <c r="D676" s="13" t="str">
        <f>DataSet!D81</f>
        <v>Mark Carter</v>
      </c>
      <c r="E676" s="12" t="str">
        <f t="shared" si="2"/>
        <v>Mark</v>
      </c>
      <c r="F676" s="16" t="str">
        <f t="shared" si="3"/>
        <v>M</v>
      </c>
    </row>
    <row r="677" spans="4:6" x14ac:dyDescent="0.3">
      <c r="D677" s="13" t="str">
        <f>DataSet!D82</f>
        <v>Daniel King</v>
      </c>
      <c r="E677" s="12" t="str">
        <f t="shared" si="2"/>
        <v>Daniel</v>
      </c>
      <c r="F677" s="16" t="str">
        <f t="shared" si="3"/>
        <v>D</v>
      </c>
    </row>
    <row r="678" spans="4:6" x14ac:dyDescent="0.3">
      <c r="D678" s="13" t="str">
        <f>DataSet!D83</f>
        <v>Mark Carter</v>
      </c>
      <c r="E678" s="12" t="str">
        <f t="shared" si="2"/>
        <v>Mark</v>
      </c>
      <c r="F678" s="16" t="str">
        <f t="shared" si="3"/>
        <v>M</v>
      </c>
    </row>
    <row r="679" spans="4:6" x14ac:dyDescent="0.3">
      <c r="D679" s="13" t="str">
        <f>DataSet!D84</f>
        <v>Helen Roberts</v>
      </c>
      <c r="E679" s="12" t="str">
        <f t="shared" si="2"/>
        <v>Helen</v>
      </c>
      <c r="F679" s="16" t="str">
        <f t="shared" si="3"/>
        <v>H</v>
      </c>
    </row>
    <row r="680" spans="4:6" x14ac:dyDescent="0.3">
      <c r="D680" s="13" t="str">
        <f>DataSet!D85</f>
        <v>Elizabeth Hall</v>
      </c>
      <c r="E680" s="12" t="str">
        <f t="shared" si="2"/>
        <v>Elizabeth</v>
      </c>
      <c r="F680" s="16" t="str">
        <f t="shared" si="3"/>
        <v>E</v>
      </c>
    </row>
    <row r="681" spans="4:6" x14ac:dyDescent="0.3">
      <c r="D681" s="13" t="str">
        <f>DataSet!D86</f>
        <v>Cynthia Price</v>
      </c>
      <c r="E681" s="12" t="str">
        <f t="shared" si="2"/>
        <v>Cynthia</v>
      </c>
      <c r="F681" s="16" t="str">
        <f t="shared" si="3"/>
        <v>C</v>
      </c>
    </row>
    <row r="682" spans="4:6" x14ac:dyDescent="0.3">
      <c r="D682" s="13" t="str">
        <f>DataSet!D87</f>
        <v>Maria Garcia</v>
      </c>
      <c r="E682" s="12" t="str">
        <f t="shared" si="2"/>
        <v>Maria</v>
      </c>
      <c r="F682" s="16" t="str">
        <f t="shared" si="3"/>
        <v>M</v>
      </c>
    </row>
    <row r="683" spans="4:6" x14ac:dyDescent="0.3">
      <c r="D683" s="13" t="str">
        <f>DataSet!D88</f>
        <v>Mark Carter</v>
      </c>
      <c r="E683" s="12" t="str">
        <f t="shared" si="2"/>
        <v>Mark</v>
      </c>
      <c r="F683" s="16" t="str">
        <f t="shared" si="3"/>
        <v>M</v>
      </c>
    </row>
    <row r="684" spans="4:6" x14ac:dyDescent="0.3">
      <c r="D684" s="13" t="str">
        <f>DataSet!D89</f>
        <v>David Martinez</v>
      </c>
      <c r="E684" s="12" t="str">
        <f t="shared" si="2"/>
        <v>David</v>
      </c>
      <c r="F684" s="16" t="str">
        <f t="shared" si="3"/>
        <v>D</v>
      </c>
    </row>
    <row r="685" spans="4:6" x14ac:dyDescent="0.3">
      <c r="D685" s="13" t="str">
        <f>DataSet!D90</f>
        <v>Margaret Wright</v>
      </c>
      <c r="E685" s="12" t="str">
        <f t="shared" si="2"/>
        <v>Margaret</v>
      </c>
      <c r="F685" s="16" t="str">
        <f t="shared" si="3"/>
        <v>M</v>
      </c>
    </row>
    <row r="686" spans="4:6" x14ac:dyDescent="0.3">
      <c r="D686" s="13" t="str">
        <f>DataSet!D91</f>
        <v>Karen Hill</v>
      </c>
      <c r="E686" s="12" t="str">
        <f t="shared" si="2"/>
        <v>Karen</v>
      </c>
      <c r="F686" s="16" t="str">
        <f t="shared" si="3"/>
        <v>K</v>
      </c>
    </row>
    <row r="687" spans="4:6" x14ac:dyDescent="0.3">
      <c r="D687" s="13" t="str">
        <f>DataSet!D92</f>
        <v>Kathleen Bennett</v>
      </c>
      <c r="E687" s="12" t="str">
        <f t="shared" si="2"/>
        <v>Kathleen</v>
      </c>
      <c r="F687" s="16" t="str">
        <f t="shared" si="3"/>
        <v>K</v>
      </c>
    </row>
    <row r="688" spans="4:6" x14ac:dyDescent="0.3">
      <c r="D688" s="13" t="str">
        <f>DataSet!D93</f>
        <v>Betty Campbell</v>
      </c>
      <c r="E688" s="12" t="str">
        <f t="shared" si="2"/>
        <v>Betty</v>
      </c>
      <c r="F688" s="16" t="str">
        <f t="shared" si="3"/>
        <v>B</v>
      </c>
    </row>
    <row r="689" spans="4:6" x14ac:dyDescent="0.3">
      <c r="D689" s="13" t="str">
        <f>DataSet!D94</f>
        <v>Mark Carter</v>
      </c>
      <c r="E689" s="12" t="str">
        <f t="shared" si="2"/>
        <v>Mark</v>
      </c>
      <c r="F689" s="16" t="str">
        <f t="shared" si="3"/>
        <v>M</v>
      </c>
    </row>
    <row r="690" spans="4:6" x14ac:dyDescent="0.3">
      <c r="D690" s="13" t="str">
        <f>DataSet!D95</f>
        <v>Gerald Murphy</v>
      </c>
      <c r="E690" s="12" t="str">
        <f t="shared" si="2"/>
        <v>Gerald</v>
      </c>
      <c r="F690" s="16" t="str">
        <f t="shared" si="3"/>
        <v>G</v>
      </c>
    </row>
    <row r="691" spans="4:6" x14ac:dyDescent="0.3">
      <c r="D691" s="13" t="str">
        <f>DataSet!D96</f>
        <v>Nancy Collins</v>
      </c>
      <c r="E691" s="12" t="str">
        <f t="shared" si="2"/>
        <v>Nancy</v>
      </c>
      <c r="F691" s="16" t="str">
        <f t="shared" si="3"/>
        <v>N</v>
      </c>
    </row>
    <row r="692" spans="4:6" x14ac:dyDescent="0.3">
      <c r="D692" s="13" t="str">
        <f>DataSet!D97</f>
        <v>Cynthia Price</v>
      </c>
      <c r="E692" s="12" t="str">
        <f t="shared" si="2"/>
        <v>Cynthia</v>
      </c>
      <c r="F692" s="16" t="str">
        <f t="shared" si="3"/>
        <v>C</v>
      </c>
    </row>
    <row r="693" spans="4:6" x14ac:dyDescent="0.3">
      <c r="D693" s="13" t="str">
        <f>DataSet!D98</f>
        <v>Lawrence Reed</v>
      </c>
      <c r="E693" s="12" t="str">
        <f t="shared" si="2"/>
        <v>Lawrence</v>
      </c>
      <c r="F693" s="16" t="str">
        <f t="shared" si="3"/>
        <v>L</v>
      </c>
    </row>
    <row r="694" spans="4:6" x14ac:dyDescent="0.3">
      <c r="D694" s="13" t="str">
        <f>DataSet!D99</f>
        <v>Harry Morgan</v>
      </c>
      <c r="E694" s="12" t="str">
        <f t="shared" si="2"/>
        <v>Harry</v>
      </c>
      <c r="F694" s="16" t="str">
        <f t="shared" si="3"/>
        <v>H</v>
      </c>
    </row>
    <row r="695" spans="4:6" x14ac:dyDescent="0.3">
      <c r="D695" s="13" t="str">
        <f>DataSet!D100</f>
        <v>Gerald Murphy</v>
      </c>
      <c r="E695" s="12" t="str">
        <f t="shared" si="2"/>
        <v>Gerald</v>
      </c>
      <c r="F695" s="16" t="str">
        <f t="shared" si="3"/>
        <v>G</v>
      </c>
    </row>
    <row r="696" spans="4:6" x14ac:dyDescent="0.3">
      <c r="D696" s="13" t="str">
        <f>DataSet!D101</f>
        <v>Carol Evans</v>
      </c>
      <c r="E696" s="12" t="str">
        <f t="shared" si="2"/>
        <v>Carol</v>
      </c>
      <c r="F696" s="16" t="str">
        <f t="shared" si="3"/>
        <v>C</v>
      </c>
    </row>
    <row r="697" spans="4:6" x14ac:dyDescent="0.3">
      <c r="D697" s="13" t="str">
        <f>DataSet!D102</f>
        <v>Sandra Phillips</v>
      </c>
      <c r="E697" s="12" t="str">
        <f t="shared" si="2"/>
        <v>Sandra</v>
      </c>
      <c r="F697" s="16" t="str">
        <f t="shared" si="3"/>
        <v>S</v>
      </c>
    </row>
    <row r="698" spans="4:6" x14ac:dyDescent="0.3">
      <c r="D698" s="13" t="str">
        <f>DataSet!D103</f>
        <v>Carol Evans</v>
      </c>
      <c r="E698" s="12" t="str">
        <f t="shared" si="2"/>
        <v>Carol</v>
      </c>
      <c r="F698" s="16" t="str">
        <f t="shared" si="3"/>
        <v>C</v>
      </c>
    </row>
    <row r="699" spans="4:6" x14ac:dyDescent="0.3">
      <c r="D699" s="13" t="str">
        <f>DataSet!D104</f>
        <v>Paul Baker</v>
      </c>
      <c r="E699" s="12" t="str">
        <f t="shared" si="2"/>
        <v>Paul</v>
      </c>
      <c r="F699" s="16" t="str">
        <f t="shared" si="3"/>
        <v>P</v>
      </c>
    </row>
    <row r="700" spans="4:6" x14ac:dyDescent="0.3">
      <c r="D700" s="13" t="str">
        <f>DataSet!D105</f>
        <v>Lawrence Reed</v>
      </c>
      <c r="E700" s="12" t="str">
        <f t="shared" si="2"/>
        <v>Lawrence</v>
      </c>
      <c r="F700" s="16" t="str">
        <f t="shared" si="3"/>
        <v>L</v>
      </c>
    </row>
    <row r="701" spans="4:6" x14ac:dyDescent="0.3">
      <c r="D701" s="13" t="str">
        <f>DataSet!D106</f>
        <v>Steven Turner</v>
      </c>
      <c r="E701" s="12" t="str">
        <f t="shared" si="2"/>
        <v>Steven</v>
      </c>
      <c r="F701" s="16" t="str">
        <f t="shared" si="3"/>
        <v>S</v>
      </c>
    </row>
    <row r="702" spans="4:6" x14ac:dyDescent="0.3">
      <c r="D702" s="13" t="str">
        <f>DataSet!D107</f>
        <v>Emma Wilson</v>
      </c>
      <c r="E702" s="12" t="str">
        <f t="shared" si="2"/>
        <v>Emma</v>
      </c>
      <c r="F702" s="16" t="str">
        <f t="shared" si="3"/>
        <v>E</v>
      </c>
    </row>
    <row r="703" spans="4:6" x14ac:dyDescent="0.3">
      <c r="D703" s="13" t="str">
        <f>DataSet!D108</f>
        <v>Jennifer Taylor</v>
      </c>
      <c r="E703" s="12" t="str">
        <f t="shared" si="2"/>
        <v>Jennifer</v>
      </c>
      <c r="F703" s="16" t="str">
        <f t="shared" si="3"/>
        <v>J</v>
      </c>
    </row>
    <row r="704" spans="4:6" x14ac:dyDescent="0.3">
      <c r="D704" s="13" t="str">
        <f>DataSet!D109</f>
        <v>Charles Allen</v>
      </c>
      <c r="E704" s="12" t="str">
        <f t="shared" si="2"/>
        <v>Charles</v>
      </c>
      <c r="F704" s="16" t="str">
        <f t="shared" si="3"/>
        <v>C</v>
      </c>
    </row>
    <row r="705" spans="4:6" x14ac:dyDescent="0.3">
      <c r="D705" s="13" t="str">
        <f>DataSet!D110</f>
        <v>Dorothy Nelson</v>
      </c>
      <c r="E705" s="12" t="str">
        <f t="shared" si="2"/>
        <v>Dorothy</v>
      </c>
      <c r="F705" s="16" t="str">
        <f t="shared" si="3"/>
        <v>D</v>
      </c>
    </row>
    <row r="706" spans="4:6" x14ac:dyDescent="0.3">
      <c r="D706" s="13" t="str">
        <f>DataSet!D111</f>
        <v>Kathleen Bennett</v>
      </c>
      <c r="E706" s="12" t="str">
        <f t="shared" si="2"/>
        <v>Kathleen</v>
      </c>
      <c r="F706" s="16" t="str">
        <f t="shared" si="3"/>
        <v>K</v>
      </c>
    </row>
    <row r="707" spans="4:6" x14ac:dyDescent="0.3">
      <c r="D707" s="13" t="str">
        <f>DataSet!D112</f>
        <v>Ruth Brooks</v>
      </c>
      <c r="E707" s="12" t="str">
        <f t="shared" si="2"/>
        <v>Ruth</v>
      </c>
      <c r="F707" s="16" t="str">
        <f t="shared" si="3"/>
        <v>R</v>
      </c>
    </row>
    <row r="708" spans="4:6" x14ac:dyDescent="0.3">
      <c r="D708" s="13" t="str">
        <f>DataSet!D113</f>
        <v>Karen Hill</v>
      </c>
      <c r="E708" s="12" t="str">
        <f t="shared" si="2"/>
        <v>Karen</v>
      </c>
      <c r="F708" s="16" t="str">
        <f t="shared" si="3"/>
        <v>K</v>
      </c>
    </row>
    <row r="709" spans="4:6" x14ac:dyDescent="0.3">
      <c r="D709" s="13" t="str">
        <f>DataSet!D114</f>
        <v>Sarah Davis</v>
      </c>
      <c r="E709" s="12" t="str">
        <f t="shared" si="2"/>
        <v>Sarah</v>
      </c>
      <c r="F709" s="16" t="str">
        <f t="shared" si="3"/>
        <v>S</v>
      </c>
    </row>
    <row r="710" spans="4:6" x14ac:dyDescent="0.3">
      <c r="D710" s="13" t="str">
        <f>DataSet!D115</f>
        <v>Daniel King</v>
      </c>
      <c r="E710" s="12" t="str">
        <f t="shared" si="2"/>
        <v>Daniel</v>
      </c>
      <c r="F710" s="16" t="str">
        <f t="shared" si="3"/>
        <v>D</v>
      </c>
    </row>
    <row r="711" spans="4:6" x14ac:dyDescent="0.3">
      <c r="D711" s="13" t="str">
        <f>DataSet!D116</f>
        <v>William White</v>
      </c>
      <c r="E711" s="12" t="str">
        <f t="shared" si="2"/>
        <v>William</v>
      </c>
      <c r="F711" s="16" t="str">
        <f t="shared" si="3"/>
        <v>W</v>
      </c>
    </row>
    <row r="712" spans="4:6" x14ac:dyDescent="0.3">
      <c r="D712" s="13" t="str">
        <f>DataSet!D117</f>
        <v>Peter Richardson</v>
      </c>
      <c r="E712" s="12" t="str">
        <f t="shared" si="2"/>
        <v>Peter</v>
      </c>
      <c r="F712" s="16" t="str">
        <f t="shared" si="3"/>
        <v>P</v>
      </c>
    </row>
    <row r="713" spans="4:6" x14ac:dyDescent="0.3">
      <c r="D713" s="13" t="str">
        <f>DataSet!D118</f>
        <v>Sandra Phillips</v>
      </c>
      <c r="E713" s="12" t="str">
        <f t="shared" si="2"/>
        <v>Sandra</v>
      </c>
      <c r="F713" s="16" t="str">
        <f t="shared" si="3"/>
        <v>S</v>
      </c>
    </row>
    <row r="714" spans="4:6" x14ac:dyDescent="0.3">
      <c r="D714" s="13" t="str">
        <f>DataSet!D119</f>
        <v>Linda Martin</v>
      </c>
      <c r="E714" s="12" t="str">
        <f t="shared" si="2"/>
        <v>Linda</v>
      </c>
      <c r="F714" s="16" t="str">
        <f t="shared" si="3"/>
        <v>L</v>
      </c>
    </row>
    <row r="715" spans="4:6" x14ac:dyDescent="0.3">
      <c r="D715" s="13" t="str">
        <f>DataSet!D120</f>
        <v>Patricia Moore</v>
      </c>
      <c r="E715" s="12" t="str">
        <f t="shared" si="2"/>
        <v>Patricia</v>
      </c>
      <c r="F715" s="16" t="str">
        <f t="shared" si="3"/>
        <v>P</v>
      </c>
    </row>
    <row r="716" spans="4:6" x14ac:dyDescent="0.3">
      <c r="D716" s="13" t="str">
        <f>DataSet!D121</f>
        <v>Richard Lee</v>
      </c>
      <c r="E716" s="12" t="str">
        <f t="shared" si="2"/>
        <v>Richard</v>
      </c>
      <c r="F716" s="16" t="str">
        <f t="shared" si="3"/>
        <v>R</v>
      </c>
    </row>
    <row r="717" spans="4:6" x14ac:dyDescent="0.3">
      <c r="D717" s="13" t="str">
        <f>DataSet!D122</f>
        <v>Michael Brown</v>
      </c>
      <c r="E717" s="12" t="str">
        <f t="shared" si="2"/>
        <v>Michael</v>
      </c>
      <c r="F717" s="16" t="str">
        <f t="shared" si="3"/>
        <v>M</v>
      </c>
    </row>
    <row r="718" spans="4:6" x14ac:dyDescent="0.3">
      <c r="D718" s="13" t="str">
        <f>DataSet!D123</f>
        <v>Maria Garcia</v>
      </c>
      <c r="E718" s="12" t="str">
        <f t="shared" si="2"/>
        <v>Maria</v>
      </c>
      <c r="F718" s="16" t="str">
        <f t="shared" si="3"/>
        <v>M</v>
      </c>
    </row>
    <row r="719" spans="4:6" x14ac:dyDescent="0.3">
      <c r="D719" s="13" t="str">
        <f>DataSet!D124</f>
        <v>Sandra Phillips</v>
      </c>
      <c r="E719" s="12" t="str">
        <f t="shared" si="2"/>
        <v>Sandra</v>
      </c>
      <c r="F719" s="16" t="str">
        <f t="shared" si="3"/>
        <v>S</v>
      </c>
    </row>
    <row r="720" spans="4:6" x14ac:dyDescent="0.3">
      <c r="D720" s="13" t="str">
        <f>DataSet!D125</f>
        <v>Elizabeth Hall</v>
      </c>
      <c r="E720" s="12" t="str">
        <f t="shared" si="2"/>
        <v>Elizabeth</v>
      </c>
      <c r="F720" s="16" t="str">
        <f t="shared" si="3"/>
        <v>E</v>
      </c>
    </row>
    <row r="721" spans="4:6" x14ac:dyDescent="0.3">
      <c r="D721" s="13" t="str">
        <f>DataSet!D126</f>
        <v>Carol Evans</v>
      </c>
      <c r="E721" s="12" t="str">
        <f t="shared" si="2"/>
        <v>Carol</v>
      </c>
      <c r="F721" s="16" t="str">
        <f t="shared" si="3"/>
        <v>C</v>
      </c>
    </row>
    <row r="722" spans="4:6" x14ac:dyDescent="0.3">
      <c r="D722" s="13" t="str">
        <f>DataSet!D127</f>
        <v>Daniel King</v>
      </c>
      <c r="E722" s="12" t="str">
        <f t="shared" si="2"/>
        <v>Daniel</v>
      </c>
      <c r="F722" s="16" t="str">
        <f t="shared" si="3"/>
        <v>D</v>
      </c>
    </row>
    <row r="723" spans="4:6" x14ac:dyDescent="0.3">
      <c r="D723" s="13" t="str">
        <f>DataSet!D128</f>
        <v>George Adams</v>
      </c>
      <c r="E723" s="12" t="str">
        <f t="shared" si="2"/>
        <v>George</v>
      </c>
      <c r="F723" s="16" t="str">
        <f t="shared" si="3"/>
        <v>G</v>
      </c>
    </row>
    <row r="724" spans="4:6" x14ac:dyDescent="0.3">
      <c r="D724" s="13" t="str">
        <f>DataSet!D129</f>
        <v>Barbara Young</v>
      </c>
      <c r="E724" s="12" t="str">
        <f t="shared" si="2"/>
        <v>Barbara</v>
      </c>
      <c r="F724" s="16" t="str">
        <f t="shared" si="3"/>
        <v>B</v>
      </c>
    </row>
    <row r="725" spans="4:6" x14ac:dyDescent="0.3">
      <c r="D725" s="13" t="str">
        <f>DataSet!D130</f>
        <v>Raymond Ross</v>
      </c>
      <c r="E725" s="12" t="str">
        <f t="shared" si="2"/>
        <v>Raymond</v>
      </c>
      <c r="F725" s="16" t="str">
        <f t="shared" si="3"/>
        <v>R</v>
      </c>
    </row>
    <row r="726" spans="4:6" x14ac:dyDescent="0.3">
      <c r="D726" s="13" t="str">
        <f>DataSet!D131</f>
        <v>Sharon Butler</v>
      </c>
      <c r="E726" s="12" t="str">
        <f t="shared" ref="E726:E789" si="4">_xlfn.TEXTBEFORE(D726," ")</f>
        <v>Sharon</v>
      </c>
      <c r="F726" s="16" t="str">
        <f t="shared" ref="F726:F789" si="5">UPPER(LEFT(E726,1))</f>
        <v>S</v>
      </c>
    </row>
    <row r="727" spans="4:6" x14ac:dyDescent="0.3">
      <c r="D727" s="13" t="str">
        <f>DataSet!D132</f>
        <v>Lawrence Reed</v>
      </c>
      <c r="E727" s="12" t="str">
        <f t="shared" si="4"/>
        <v>Lawrence</v>
      </c>
      <c r="F727" s="16" t="str">
        <f t="shared" si="5"/>
        <v>L</v>
      </c>
    </row>
    <row r="728" spans="4:6" x14ac:dyDescent="0.3">
      <c r="D728" s="13" t="str">
        <f>DataSet!D133</f>
        <v>Lawrence Reed</v>
      </c>
      <c r="E728" s="12" t="str">
        <f t="shared" si="4"/>
        <v>Lawrence</v>
      </c>
      <c r="F728" s="16" t="str">
        <f t="shared" si="5"/>
        <v>L</v>
      </c>
    </row>
    <row r="729" spans="4:6" x14ac:dyDescent="0.3">
      <c r="D729" s="13" t="str">
        <f>DataSet!D134</f>
        <v>Kathleen Bennett</v>
      </c>
      <c r="E729" s="12" t="str">
        <f t="shared" si="4"/>
        <v>Kathleen</v>
      </c>
      <c r="F729" s="16" t="str">
        <f t="shared" si="5"/>
        <v>K</v>
      </c>
    </row>
    <row r="730" spans="4:6" x14ac:dyDescent="0.3">
      <c r="D730" s="13" t="str">
        <f>DataSet!D135</f>
        <v>Sarah Davis</v>
      </c>
      <c r="E730" s="12" t="str">
        <f t="shared" si="4"/>
        <v>Sarah</v>
      </c>
      <c r="F730" s="16" t="str">
        <f t="shared" si="5"/>
        <v>S</v>
      </c>
    </row>
    <row r="731" spans="4:6" x14ac:dyDescent="0.3">
      <c r="D731" s="13" t="str">
        <f>DataSet!D136</f>
        <v>Betty Campbell</v>
      </c>
      <c r="E731" s="12" t="str">
        <f t="shared" si="4"/>
        <v>Betty</v>
      </c>
      <c r="F731" s="16" t="str">
        <f t="shared" si="5"/>
        <v>B</v>
      </c>
    </row>
    <row r="732" spans="4:6" x14ac:dyDescent="0.3">
      <c r="D732" s="13" t="str">
        <f>DataSet!D137</f>
        <v>Raymond Ross</v>
      </c>
      <c r="E732" s="12" t="str">
        <f t="shared" si="4"/>
        <v>Raymond</v>
      </c>
      <c r="F732" s="16" t="str">
        <f t="shared" si="5"/>
        <v>R</v>
      </c>
    </row>
    <row r="733" spans="4:6" x14ac:dyDescent="0.3">
      <c r="D733" s="13" t="str">
        <f>DataSet!D138</f>
        <v>Paul Baker</v>
      </c>
      <c r="E733" s="12" t="str">
        <f t="shared" si="4"/>
        <v>Paul</v>
      </c>
      <c r="F733" s="16" t="str">
        <f t="shared" si="5"/>
        <v>P</v>
      </c>
    </row>
    <row r="734" spans="4:6" x14ac:dyDescent="0.3">
      <c r="D734" s="13" t="str">
        <f>DataSet!D139</f>
        <v>Karen Hill</v>
      </c>
      <c r="E734" s="12" t="str">
        <f t="shared" si="4"/>
        <v>Karen</v>
      </c>
      <c r="F734" s="16" t="str">
        <f t="shared" si="5"/>
        <v>K</v>
      </c>
    </row>
    <row r="735" spans="4:6" x14ac:dyDescent="0.3">
      <c r="D735" s="13" t="str">
        <f>DataSet!D140</f>
        <v>Patricia Moore</v>
      </c>
      <c r="E735" s="12" t="str">
        <f t="shared" si="4"/>
        <v>Patricia</v>
      </c>
      <c r="F735" s="16" t="str">
        <f t="shared" si="5"/>
        <v>P</v>
      </c>
    </row>
    <row r="736" spans="4:6" x14ac:dyDescent="0.3">
      <c r="D736" s="13" t="str">
        <f>DataSet!D141</f>
        <v>Maria Garcia</v>
      </c>
      <c r="E736" s="12" t="str">
        <f t="shared" si="4"/>
        <v>Maria</v>
      </c>
      <c r="F736" s="16" t="str">
        <f t="shared" si="5"/>
        <v>M</v>
      </c>
    </row>
    <row r="737" spans="4:6" x14ac:dyDescent="0.3">
      <c r="D737" s="13" t="str">
        <f>DataSet!D142</f>
        <v>Margaret Wright</v>
      </c>
      <c r="E737" s="12" t="str">
        <f t="shared" si="4"/>
        <v>Margaret</v>
      </c>
      <c r="F737" s="16" t="str">
        <f t="shared" si="5"/>
        <v>M</v>
      </c>
    </row>
    <row r="738" spans="4:6" x14ac:dyDescent="0.3">
      <c r="D738" s="13" t="str">
        <f>DataSet!D143</f>
        <v>Peter Richardson</v>
      </c>
      <c r="E738" s="12" t="str">
        <f t="shared" si="4"/>
        <v>Peter</v>
      </c>
      <c r="F738" s="16" t="str">
        <f t="shared" si="5"/>
        <v>P</v>
      </c>
    </row>
    <row r="739" spans="4:6" x14ac:dyDescent="0.3">
      <c r="D739" s="13" t="str">
        <f>DataSet!D144</f>
        <v>Paul Baker</v>
      </c>
      <c r="E739" s="12" t="str">
        <f t="shared" si="4"/>
        <v>Paul</v>
      </c>
      <c r="F739" s="16" t="str">
        <f t="shared" si="5"/>
        <v>P</v>
      </c>
    </row>
    <row r="740" spans="4:6" x14ac:dyDescent="0.3">
      <c r="D740" s="13" t="str">
        <f>DataSet!D145</f>
        <v>Patricia Moore</v>
      </c>
      <c r="E740" s="12" t="str">
        <f t="shared" si="4"/>
        <v>Patricia</v>
      </c>
      <c r="F740" s="16" t="str">
        <f t="shared" si="5"/>
        <v>P</v>
      </c>
    </row>
    <row r="741" spans="4:6" x14ac:dyDescent="0.3">
      <c r="D741" s="13" t="str">
        <f>DataSet!D146</f>
        <v>Sarah Davis</v>
      </c>
      <c r="E741" s="12" t="str">
        <f t="shared" si="4"/>
        <v>Sarah</v>
      </c>
      <c r="F741" s="16" t="str">
        <f t="shared" si="5"/>
        <v>S</v>
      </c>
    </row>
    <row r="742" spans="4:6" x14ac:dyDescent="0.3">
      <c r="D742" s="13" t="str">
        <f>DataSet!D147</f>
        <v>George Adams</v>
      </c>
      <c r="E742" s="12" t="str">
        <f t="shared" si="4"/>
        <v>George</v>
      </c>
      <c r="F742" s="16" t="str">
        <f t="shared" si="5"/>
        <v>G</v>
      </c>
    </row>
    <row r="743" spans="4:6" x14ac:dyDescent="0.3">
      <c r="D743" s="13" t="str">
        <f>DataSet!D148</f>
        <v>Sandra Phillips</v>
      </c>
      <c r="E743" s="12" t="str">
        <f t="shared" si="4"/>
        <v>Sandra</v>
      </c>
      <c r="F743" s="16" t="str">
        <f t="shared" si="5"/>
        <v>S</v>
      </c>
    </row>
    <row r="744" spans="4:6" x14ac:dyDescent="0.3">
      <c r="D744" s="13" t="str">
        <f>DataSet!D149</f>
        <v>Mark Carter</v>
      </c>
      <c r="E744" s="12" t="str">
        <f t="shared" si="4"/>
        <v>Mark</v>
      </c>
      <c r="F744" s="16" t="str">
        <f t="shared" si="5"/>
        <v>M</v>
      </c>
    </row>
    <row r="745" spans="4:6" x14ac:dyDescent="0.3">
      <c r="D745" s="13" t="str">
        <f>DataSet!D150</f>
        <v>Edward Mitchell</v>
      </c>
      <c r="E745" s="12" t="str">
        <f t="shared" si="4"/>
        <v>Edward</v>
      </c>
      <c r="F745" s="16" t="str">
        <f t="shared" si="5"/>
        <v>E</v>
      </c>
    </row>
    <row r="746" spans="4:6" x14ac:dyDescent="0.3">
      <c r="D746" s="13" t="str">
        <f>DataSet!D151</f>
        <v>Frank Torres</v>
      </c>
      <c r="E746" s="12" t="str">
        <f t="shared" si="4"/>
        <v>Frank</v>
      </c>
      <c r="F746" s="16" t="str">
        <f t="shared" si="5"/>
        <v>F</v>
      </c>
    </row>
    <row r="747" spans="4:6" x14ac:dyDescent="0.3">
      <c r="D747" s="13" t="str">
        <f>DataSet!D152</f>
        <v>Sarah Davis</v>
      </c>
      <c r="E747" s="12" t="str">
        <f t="shared" si="4"/>
        <v>Sarah</v>
      </c>
      <c r="F747" s="16" t="str">
        <f t="shared" si="5"/>
        <v>S</v>
      </c>
    </row>
    <row r="748" spans="4:6" x14ac:dyDescent="0.3">
      <c r="D748" s="13" t="str">
        <f>DataSet!D153</f>
        <v>Douglas Watson</v>
      </c>
      <c r="E748" s="12" t="str">
        <f t="shared" si="4"/>
        <v>Douglas</v>
      </c>
      <c r="F748" s="16" t="str">
        <f t="shared" si="5"/>
        <v>D</v>
      </c>
    </row>
    <row r="749" spans="4:6" x14ac:dyDescent="0.3">
      <c r="D749" s="13" t="str">
        <f>DataSet!D154</f>
        <v>Linda Martin</v>
      </c>
      <c r="E749" s="12" t="str">
        <f t="shared" si="4"/>
        <v>Linda</v>
      </c>
      <c r="F749" s="16" t="str">
        <f t="shared" si="5"/>
        <v>L</v>
      </c>
    </row>
    <row r="750" spans="4:6" x14ac:dyDescent="0.3">
      <c r="D750" s="13" t="str">
        <f>DataSet!D155</f>
        <v>Kevin Scott</v>
      </c>
      <c r="E750" s="12" t="str">
        <f t="shared" si="4"/>
        <v>Kevin</v>
      </c>
      <c r="F750" s="16" t="str">
        <f t="shared" si="5"/>
        <v>K</v>
      </c>
    </row>
    <row r="751" spans="4:6" x14ac:dyDescent="0.3">
      <c r="D751" s="13" t="str">
        <f>DataSet!D156</f>
        <v>Charles Allen</v>
      </c>
      <c r="E751" s="12" t="str">
        <f t="shared" si="4"/>
        <v>Charles</v>
      </c>
      <c r="F751" s="16" t="str">
        <f t="shared" si="5"/>
        <v>C</v>
      </c>
    </row>
    <row r="752" spans="4:6" x14ac:dyDescent="0.3">
      <c r="D752" s="13" t="str">
        <f>DataSet!D157</f>
        <v>Joseph Jackson</v>
      </c>
      <c r="E752" s="12" t="str">
        <f t="shared" si="4"/>
        <v>Joseph</v>
      </c>
      <c r="F752" s="16" t="str">
        <f t="shared" si="5"/>
        <v>J</v>
      </c>
    </row>
    <row r="753" spans="4:6" x14ac:dyDescent="0.3">
      <c r="D753" s="13" t="str">
        <f>DataSet!D158</f>
        <v>Mark Carter</v>
      </c>
      <c r="E753" s="12" t="str">
        <f t="shared" si="4"/>
        <v>Mark</v>
      </c>
      <c r="F753" s="16" t="str">
        <f t="shared" si="5"/>
        <v>M</v>
      </c>
    </row>
    <row r="754" spans="4:6" x14ac:dyDescent="0.3">
      <c r="D754" s="13" t="str">
        <f>DataSet!D159</f>
        <v>William White</v>
      </c>
      <c r="E754" s="12" t="str">
        <f t="shared" si="4"/>
        <v>William</v>
      </c>
      <c r="F754" s="16" t="str">
        <f t="shared" si="5"/>
        <v>W</v>
      </c>
    </row>
    <row r="755" spans="4:6" x14ac:dyDescent="0.3">
      <c r="D755" s="13" t="str">
        <f>DataSet!D160</f>
        <v>Dorothy Nelson</v>
      </c>
      <c r="E755" s="12" t="str">
        <f t="shared" si="4"/>
        <v>Dorothy</v>
      </c>
      <c r="F755" s="16" t="str">
        <f t="shared" si="5"/>
        <v>D</v>
      </c>
    </row>
    <row r="756" spans="4:6" x14ac:dyDescent="0.3">
      <c r="D756" s="13" t="str">
        <f>DataSet!D161</f>
        <v>Nancy Collins</v>
      </c>
      <c r="E756" s="12" t="str">
        <f t="shared" si="4"/>
        <v>Nancy</v>
      </c>
      <c r="F756" s="16" t="str">
        <f t="shared" si="5"/>
        <v>N</v>
      </c>
    </row>
    <row r="757" spans="4:6" x14ac:dyDescent="0.3">
      <c r="D757" s="13" t="str">
        <f>DataSet!D162</f>
        <v>James Johnson</v>
      </c>
      <c r="E757" s="12" t="str">
        <f t="shared" si="4"/>
        <v>James</v>
      </c>
      <c r="F757" s="16" t="str">
        <f t="shared" si="5"/>
        <v>J</v>
      </c>
    </row>
    <row r="758" spans="4:6" x14ac:dyDescent="0.3">
      <c r="D758" s="13" t="str">
        <f>DataSet!D163</f>
        <v>Jennifer Taylor</v>
      </c>
      <c r="E758" s="12" t="str">
        <f t="shared" si="4"/>
        <v>Jennifer</v>
      </c>
      <c r="F758" s="16" t="str">
        <f t="shared" si="5"/>
        <v>J</v>
      </c>
    </row>
    <row r="759" spans="4:6" x14ac:dyDescent="0.3">
      <c r="D759" s="13" t="str">
        <f>DataSet!D164</f>
        <v>Helen Roberts</v>
      </c>
      <c r="E759" s="12" t="str">
        <f t="shared" si="4"/>
        <v>Helen</v>
      </c>
      <c r="F759" s="16" t="str">
        <f t="shared" si="5"/>
        <v>H</v>
      </c>
    </row>
    <row r="760" spans="4:6" x14ac:dyDescent="0.3">
      <c r="D760" s="13" t="str">
        <f>DataSet!D165</f>
        <v>Peter Richardson</v>
      </c>
      <c r="E760" s="12" t="str">
        <f t="shared" si="4"/>
        <v>Peter</v>
      </c>
      <c r="F760" s="16" t="str">
        <f t="shared" si="5"/>
        <v>P</v>
      </c>
    </row>
    <row r="761" spans="4:6" x14ac:dyDescent="0.3">
      <c r="D761" s="13" t="str">
        <f>DataSet!D166</f>
        <v>David Martinez</v>
      </c>
      <c r="E761" s="12" t="str">
        <f t="shared" si="4"/>
        <v>David</v>
      </c>
      <c r="F761" s="16" t="str">
        <f t="shared" si="5"/>
        <v>D</v>
      </c>
    </row>
    <row r="762" spans="4:6" x14ac:dyDescent="0.3">
      <c r="D762" s="13" t="str">
        <f>DataSet!D167</f>
        <v>Steven Turner</v>
      </c>
      <c r="E762" s="12" t="str">
        <f t="shared" si="4"/>
        <v>Steven</v>
      </c>
      <c r="F762" s="16" t="str">
        <f t="shared" si="5"/>
        <v>S</v>
      </c>
    </row>
    <row r="763" spans="4:6" x14ac:dyDescent="0.3">
      <c r="D763" s="13" t="str">
        <f>DataSet!D168</f>
        <v>Emma Wilson</v>
      </c>
      <c r="E763" s="12" t="str">
        <f t="shared" si="4"/>
        <v>Emma</v>
      </c>
      <c r="F763" s="16" t="str">
        <f t="shared" si="5"/>
        <v>E</v>
      </c>
    </row>
    <row r="764" spans="4:6" x14ac:dyDescent="0.3">
      <c r="D764" s="13" t="str">
        <f>DataSet!D169</f>
        <v>David Martinez</v>
      </c>
      <c r="E764" s="12" t="str">
        <f t="shared" si="4"/>
        <v>David</v>
      </c>
      <c r="F764" s="16" t="str">
        <f t="shared" si="5"/>
        <v>D</v>
      </c>
    </row>
    <row r="765" spans="4:6" x14ac:dyDescent="0.3">
      <c r="D765" s="13" t="str">
        <f>DataSet!D170</f>
        <v>Daniel King</v>
      </c>
      <c r="E765" s="12" t="str">
        <f t="shared" si="4"/>
        <v>Daniel</v>
      </c>
      <c r="F765" s="16" t="str">
        <f t="shared" si="5"/>
        <v>D</v>
      </c>
    </row>
    <row r="766" spans="4:6" x14ac:dyDescent="0.3">
      <c r="D766" s="13" t="str">
        <f>DataSet!D171</f>
        <v>Michael Brown</v>
      </c>
      <c r="E766" s="12" t="str">
        <f t="shared" si="4"/>
        <v>Michael</v>
      </c>
      <c r="F766" s="16" t="str">
        <f t="shared" si="5"/>
        <v>M</v>
      </c>
    </row>
    <row r="767" spans="4:6" x14ac:dyDescent="0.3">
      <c r="D767" s="13" t="str">
        <f>DataSet!D172</f>
        <v>Linda Martin</v>
      </c>
      <c r="E767" s="12" t="str">
        <f t="shared" si="4"/>
        <v>Linda</v>
      </c>
      <c r="F767" s="16" t="str">
        <f t="shared" si="5"/>
        <v>L</v>
      </c>
    </row>
    <row r="768" spans="4:6" x14ac:dyDescent="0.3">
      <c r="D768" s="13" t="str">
        <f>DataSet!D173</f>
        <v>David Martinez</v>
      </c>
      <c r="E768" s="12" t="str">
        <f t="shared" si="4"/>
        <v>David</v>
      </c>
      <c r="F768" s="16" t="str">
        <f t="shared" si="5"/>
        <v>D</v>
      </c>
    </row>
    <row r="769" spans="4:6" x14ac:dyDescent="0.3">
      <c r="D769" s="13" t="str">
        <f>DataSet!D174</f>
        <v>Kevin Scott</v>
      </c>
      <c r="E769" s="12" t="str">
        <f t="shared" si="4"/>
        <v>Kevin</v>
      </c>
      <c r="F769" s="16" t="str">
        <f t="shared" si="5"/>
        <v>K</v>
      </c>
    </row>
    <row r="770" spans="4:6" x14ac:dyDescent="0.3">
      <c r="D770" s="13" t="str">
        <f>DataSet!D175</f>
        <v>Michael Brown</v>
      </c>
      <c r="E770" s="12" t="str">
        <f t="shared" si="4"/>
        <v>Michael</v>
      </c>
      <c r="F770" s="16" t="str">
        <f t="shared" si="5"/>
        <v>M</v>
      </c>
    </row>
    <row r="771" spans="4:6" x14ac:dyDescent="0.3">
      <c r="D771" s="13" t="str">
        <f>DataSet!D176</f>
        <v>Helen Roberts</v>
      </c>
      <c r="E771" s="12" t="str">
        <f t="shared" si="4"/>
        <v>Helen</v>
      </c>
      <c r="F771" s="16" t="str">
        <f t="shared" si="5"/>
        <v>H</v>
      </c>
    </row>
    <row r="772" spans="4:6" x14ac:dyDescent="0.3">
      <c r="D772" s="13" t="str">
        <f>DataSet!D177</f>
        <v>Robert Thomas</v>
      </c>
      <c r="E772" s="12" t="str">
        <f t="shared" si="4"/>
        <v>Robert</v>
      </c>
      <c r="F772" s="16" t="str">
        <f t="shared" si="5"/>
        <v>R</v>
      </c>
    </row>
    <row r="773" spans="4:6" x14ac:dyDescent="0.3">
      <c r="D773" s="13" t="str">
        <f>DataSet!D178</f>
        <v>Nancy Collins</v>
      </c>
      <c r="E773" s="12" t="str">
        <f t="shared" si="4"/>
        <v>Nancy</v>
      </c>
      <c r="F773" s="16" t="str">
        <f t="shared" si="5"/>
        <v>N</v>
      </c>
    </row>
    <row r="774" spans="4:6" x14ac:dyDescent="0.3">
      <c r="D774" s="13" t="str">
        <f>DataSet!D179</f>
        <v>Mark Carter</v>
      </c>
      <c r="E774" s="12" t="str">
        <f t="shared" si="4"/>
        <v>Mark</v>
      </c>
      <c r="F774" s="16" t="str">
        <f t="shared" si="5"/>
        <v>M</v>
      </c>
    </row>
    <row r="775" spans="4:6" x14ac:dyDescent="0.3">
      <c r="D775" s="13" t="str">
        <f>DataSet!D180</f>
        <v>Daniel King</v>
      </c>
      <c r="E775" s="12" t="str">
        <f t="shared" si="4"/>
        <v>Daniel</v>
      </c>
      <c r="F775" s="16" t="str">
        <f t="shared" si="5"/>
        <v>D</v>
      </c>
    </row>
    <row r="776" spans="4:6" x14ac:dyDescent="0.3">
      <c r="D776" s="13" t="str">
        <f>DataSet!D181</f>
        <v>Arthur Edwards</v>
      </c>
      <c r="E776" s="12" t="str">
        <f t="shared" si="4"/>
        <v>Arthur</v>
      </c>
      <c r="F776" s="16" t="str">
        <f t="shared" si="5"/>
        <v>A</v>
      </c>
    </row>
    <row r="777" spans="4:6" x14ac:dyDescent="0.3">
      <c r="D777" s="13" t="str">
        <f>DataSet!D182</f>
        <v>Lisa Anderson</v>
      </c>
      <c r="E777" s="12" t="str">
        <f t="shared" si="4"/>
        <v>Lisa</v>
      </c>
      <c r="F777" s="16" t="str">
        <f t="shared" si="5"/>
        <v>L</v>
      </c>
    </row>
    <row r="778" spans="4:6" x14ac:dyDescent="0.3">
      <c r="D778" s="13" t="str">
        <f>DataSet!D183</f>
        <v>Michael Brown</v>
      </c>
      <c r="E778" s="12" t="str">
        <f t="shared" si="4"/>
        <v>Michael</v>
      </c>
      <c r="F778" s="16" t="str">
        <f t="shared" si="5"/>
        <v>M</v>
      </c>
    </row>
    <row r="779" spans="4:6" x14ac:dyDescent="0.3">
      <c r="D779" s="13" t="str">
        <f>DataSet!D184</f>
        <v>Karen Hill</v>
      </c>
      <c r="E779" s="12" t="str">
        <f t="shared" si="4"/>
        <v>Karen</v>
      </c>
      <c r="F779" s="16" t="str">
        <f t="shared" si="5"/>
        <v>K</v>
      </c>
    </row>
    <row r="780" spans="4:6" x14ac:dyDescent="0.3">
      <c r="D780" s="13" t="str">
        <f>DataSet!D185</f>
        <v>Nancy Collins</v>
      </c>
      <c r="E780" s="12" t="str">
        <f t="shared" si="4"/>
        <v>Nancy</v>
      </c>
      <c r="F780" s="16" t="str">
        <f t="shared" si="5"/>
        <v>N</v>
      </c>
    </row>
    <row r="781" spans="4:6" x14ac:dyDescent="0.3">
      <c r="D781" s="13" t="str">
        <f>DataSet!D186</f>
        <v>Virginia Sanders</v>
      </c>
      <c r="E781" s="12" t="str">
        <f t="shared" si="4"/>
        <v>Virginia</v>
      </c>
      <c r="F781" s="16" t="str">
        <f t="shared" si="5"/>
        <v>V</v>
      </c>
    </row>
    <row r="782" spans="4:6" x14ac:dyDescent="0.3">
      <c r="D782" s="13" t="str">
        <f>DataSet!D187</f>
        <v>Steven Turner</v>
      </c>
      <c r="E782" s="12" t="str">
        <f t="shared" si="4"/>
        <v>Steven</v>
      </c>
      <c r="F782" s="16" t="str">
        <f t="shared" si="5"/>
        <v>S</v>
      </c>
    </row>
    <row r="783" spans="4:6" x14ac:dyDescent="0.3">
      <c r="D783" s="13" t="str">
        <f>DataSet!D188</f>
        <v>Michelle Rogers</v>
      </c>
      <c r="E783" s="12" t="str">
        <f t="shared" si="4"/>
        <v>Michelle</v>
      </c>
      <c r="F783" s="16" t="str">
        <f t="shared" si="5"/>
        <v>M</v>
      </c>
    </row>
    <row r="784" spans="4:6" x14ac:dyDescent="0.3">
      <c r="D784" s="13" t="str">
        <f>DataSet!D189</f>
        <v>Douglas Watson</v>
      </c>
      <c r="E784" s="12" t="str">
        <f t="shared" si="4"/>
        <v>Douglas</v>
      </c>
      <c r="F784" s="16" t="str">
        <f t="shared" si="5"/>
        <v>D</v>
      </c>
    </row>
    <row r="785" spans="4:6" x14ac:dyDescent="0.3">
      <c r="D785" s="13" t="str">
        <f>DataSet!D190</f>
        <v>Mark Carter</v>
      </c>
      <c r="E785" s="12" t="str">
        <f t="shared" si="4"/>
        <v>Mark</v>
      </c>
      <c r="F785" s="16" t="str">
        <f t="shared" si="5"/>
        <v>M</v>
      </c>
    </row>
    <row r="786" spans="4:6" x14ac:dyDescent="0.3">
      <c r="D786" s="13" t="str">
        <f>DataSet!D191</f>
        <v>Betty Campbell</v>
      </c>
      <c r="E786" s="12" t="str">
        <f t="shared" si="4"/>
        <v>Betty</v>
      </c>
      <c r="F786" s="16" t="str">
        <f t="shared" si="5"/>
        <v>B</v>
      </c>
    </row>
    <row r="787" spans="4:6" x14ac:dyDescent="0.3">
      <c r="D787" s="13" t="str">
        <f>DataSet!D192</f>
        <v>Helen Roberts</v>
      </c>
      <c r="E787" s="12" t="str">
        <f t="shared" si="4"/>
        <v>Helen</v>
      </c>
      <c r="F787" s="16" t="str">
        <f t="shared" si="5"/>
        <v>H</v>
      </c>
    </row>
    <row r="788" spans="4:6" x14ac:dyDescent="0.3">
      <c r="D788" s="13" t="str">
        <f>DataSet!D193</f>
        <v>Sandra Phillips</v>
      </c>
      <c r="E788" s="12" t="str">
        <f t="shared" si="4"/>
        <v>Sandra</v>
      </c>
      <c r="F788" s="16" t="str">
        <f t="shared" si="5"/>
        <v>S</v>
      </c>
    </row>
    <row r="789" spans="4:6" x14ac:dyDescent="0.3">
      <c r="D789" s="13" t="str">
        <f>DataSet!D194</f>
        <v>Lawrence Reed</v>
      </c>
      <c r="E789" s="12" t="str">
        <f t="shared" si="4"/>
        <v>Lawrence</v>
      </c>
      <c r="F789" s="16" t="str">
        <f t="shared" si="5"/>
        <v>L</v>
      </c>
    </row>
    <row r="790" spans="4:6" x14ac:dyDescent="0.3">
      <c r="D790" s="13" t="str">
        <f>DataSet!D195</f>
        <v>Elizabeth Hall</v>
      </c>
      <c r="E790" s="12" t="str">
        <f t="shared" ref="E790:E846" si="6">_xlfn.TEXTBEFORE(D790," ")</f>
        <v>Elizabeth</v>
      </c>
      <c r="F790" s="16" t="str">
        <f t="shared" ref="F790:F846" si="7">UPPER(LEFT(E790,1))</f>
        <v>E</v>
      </c>
    </row>
    <row r="791" spans="4:6" x14ac:dyDescent="0.3">
      <c r="D791" s="13" t="str">
        <f>DataSet!D196</f>
        <v>Robert Thomas</v>
      </c>
      <c r="E791" s="12" t="str">
        <f t="shared" si="6"/>
        <v>Robert</v>
      </c>
      <c r="F791" s="16" t="str">
        <f t="shared" si="7"/>
        <v>R</v>
      </c>
    </row>
    <row r="792" spans="4:6" x14ac:dyDescent="0.3">
      <c r="D792" s="13" t="str">
        <f>DataSet!D197</f>
        <v>Lisa Anderson</v>
      </c>
      <c r="E792" s="12" t="str">
        <f t="shared" si="6"/>
        <v>Lisa</v>
      </c>
      <c r="F792" s="16" t="str">
        <f t="shared" si="7"/>
        <v>L</v>
      </c>
    </row>
    <row r="793" spans="4:6" x14ac:dyDescent="0.3">
      <c r="D793" s="13" t="str">
        <f>DataSet!D198</f>
        <v>Susan Green</v>
      </c>
      <c r="E793" s="12" t="str">
        <f t="shared" si="6"/>
        <v>Susan</v>
      </c>
      <c r="F793" s="16" t="str">
        <f t="shared" si="7"/>
        <v>S</v>
      </c>
    </row>
    <row r="794" spans="4:6" x14ac:dyDescent="0.3">
      <c r="D794" s="13" t="str">
        <f>DataSet!D199</f>
        <v>Dorothy Nelson</v>
      </c>
      <c r="E794" s="12" t="str">
        <f t="shared" si="6"/>
        <v>Dorothy</v>
      </c>
      <c r="F794" s="16" t="str">
        <f t="shared" si="7"/>
        <v>D</v>
      </c>
    </row>
    <row r="795" spans="4:6" x14ac:dyDescent="0.3">
      <c r="D795" s="13" t="str">
        <f>DataSet!D200</f>
        <v>William White</v>
      </c>
      <c r="E795" s="12" t="str">
        <f t="shared" si="6"/>
        <v>William</v>
      </c>
      <c r="F795" s="16" t="str">
        <f t="shared" si="7"/>
        <v>W</v>
      </c>
    </row>
    <row r="796" spans="4:6" x14ac:dyDescent="0.3">
      <c r="D796" s="13" t="str">
        <f>DataSet!D201</f>
        <v>Mark Carter</v>
      </c>
      <c r="E796" s="12" t="str">
        <f t="shared" si="6"/>
        <v>Mark</v>
      </c>
      <c r="F796" s="16" t="str">
        <f t="shared" si="7"/>
        <v>M</v>
      </c>
    </row>
    <row r="797" spans="4:6" x14ac:dyDescent="0.3">
      <c r="D797" s="13" t="str">
        <f>DataSet!D202</f>
        <v>Douglas Watson</v>
      </c>
      <c r="E797" s="12" t="str">
        <f t="shared" si="6"/>
        <v>Douglas</v>
      </c>
      <c r="F797" s="16" t="str">
        <f t="shared" si="7"/>
        <v>D</v>
      </c>
    </row>
    <row r="798" spans="4:6" x14ac:dyDescent="0.3">
      <c r="D798" s="13" t="str">
        <f>DataSet!D203</f>
        <v>Karen Hill</v>
      </c>
      <c r="E798" s="12" t="str">
        <f t="shared" si="6"/>
        <v>Karen</v>
      </c>
      <c r="F798" s="16" t="str">
        <f t="shared" si="7"/>
        <v>K</v>
      </c>
    </row>
    <row r="799" spans="4:6" x14ac:dyDescent="0.3">
      <c r="D799" s="13" t="str">
        <f>DataSet!D204</f>
        <v>Edward Mitchell</v>
      </c>
      <c r="E799" s="12" t="str">
        <f t="shared" si="6"/>
        <v>Edward</v>
      </c>
      <c r="F799" s="16" t="str">
        <f t="shared" si="7"/>
        <v>E</v>
      </c>
    </row>
    <row r="800" spans="4:6" x14ac:dyDescent="0.3">
      <c r="D800" s="13" t="str">
        <f>DataSet!D205</f>
        <v>Michael Brown</v>
      </c>
      <c r="E800" s="12" t="str">
        <f t="shared" si="6"/>
        <v>Michael</v>
      </c>
      <c r="F800" s="16" t="str">
        <f t="shared" si="7"/>
        <v>M</v>
      </c>
    </row>
    <row r="801" spans="4:6" x14ac:dyDescent="0.3">
      <c r="D801" s="13" t="str">
        <f>DataSet!D206</f>
        <v>Arthur Edwards</v>
      </c>
      <c r="E801" s="12" t="str">
        <f t="shared" si="6"/>
        <v>Arthur</v>
      </c>
      <c r="F801" s="16" t="str">
        <f t="shared" si="7"/>
        <v>A</v>
      </c>
    </row>
    <row r="802" spans="4:6" x14ac:dyDescent="0.3">
      <c r="D802" s="13" t="str">
        <f>DataSet!D207</f>
        <v>Ruth Brooks</v>
      </c>
      <c r="E802" s="12" t="str">
        <f t="shared" si="6"/>
        <v>Ruth</v>
      </c>
      <c r="F802" s="16" t="str">
        <f t="shared" si="7"/>
        <v>R</v>
      </c>
    </row>
    <row r="803" spans="4:6" x14ac:dyDescent="0.3">
      <c r="D803" s="13" t="str">
        <f>DataSet!D208</f>
        <v>Virginia Sanders</v>
      </c>
      <c r="E803" s="12" t="str">
        <f t="shared" si="6"/>
        <v>Virginia</v>
      </c>
      <c r="F803" s="16" t="str">
        <f t="shared" si="7"/>
        <v>V</v>
      </c>
    </row>
    <row r="804" spans="4:6" x14ac:dyDescent="0.3">
      <c r="D804" s="13" t="str">
        <f>DataSet!D209</f>
        <v>Sharon Butler</v>
      </c>
      <c r="E804" s="12" t="str">
        <f t="shared" si="6"/>
        <v>Sharon</v>
      </c>
      <c r="F804" s="16" t="str">
        <f t="shared" si="7"/>
        <v>S</v>
      </c>
    </row>
    <row r="805" spans="4:6" x14ac:dyDescent="0.3">
      <c r="D805" s="13" t="str">
        <f>DataSet!D210</f>
        <v>Nancy Collins</v>
      </c>
      <c r="E805" s="12" t="str">
        <f t="shared" si="6"/>
        <v>Nancy</v>
      </c>
      <c r="F805" s="16" t="str">
        <f t="shared" si="7"/>
        <v>N</v>
      </c>
    </row>
    <row r="806" spans="4:6" x14ac:dyDescent="0.3">
      <c r="D806" s="13" t="str">
        <f>DataSet!D211</f>
        <v>Kevin Scott</v>
      </c>
      <c r="E806" s="12" t="str">
        <f t="shared" si="6"/>
        <v>Kevin</v>
      </c>
      <c r="F806" s="16" t="str">
        <f t="shared" si="7"/>
        <v>K</v>
      </c>
    </row>
    <row r="807" spans="4:6" x14ac:dyDescent="0.3">
      <c r="D807" s="13" t="str">
        <f>DataSet!D212</f>
        <v>Paul Baker</v>
      </c>
      <c r="E807" s="12" t="str">
        <f t="shared" si="6"/>
        <v>Paul</v>
      </c>
      <c r="F807" s="16" t="str">
        <f t="shared" si="7"/>
        <v>P</v>
      </c>
    </row>
    <row r="808" spans="4:6" x14ac:dyDescent="0.3">
      <c r="D808" s="13" t="str">
        <f>DataSet!D213</f>
        <v>Richard Lee</v>
      </c>
      <c r="E808" s="12" t="str">
        <f t="shared" si="6"/>
        <v>Richard</v>
      </c>
      <c r="F808" s="16" t="str">
        <f t="shared" si="7"/>
        <v>R</v>
      </c>
    </row>
    <row r="809" spans="4:6" x14ac:dyDescent="0.3">
      <c r="D809" s="13" t="str">
        <f>DataSet!D214</f>
        <v>Edward Mitchell</v>
      </c>
      <c r="E809" s="12" t="str">
        <f t="shared" si="6"/>
        <v>Edward</v>
      </c>
      <c r="F809" s="16" t="str">
        <f t="shared" si="7"/>
        <v>E</v>
      </c>
    </row>
    <row r="810" spans="4:6" x14ac:dyDescent="0.3">
      <c r="D810" s="13" t="str">
        <f>DataSet!D215</f>
        <v>Michael Brown</v>
      </c>
      <c r="E810" s="12" t="str">
        <f t="shared" si="6"/>
        <v>Michael</v>
      </c>
      <c r="F810" s="16" t="str">
        <f t="shared" si="7"/>
        <v>M</v>
      </c>
    </row>
    <row r="811" spans="4:6" x14ac:dyDescent="0.3">
      <c r="D811" s="13" t="str">
        <f>DataSet!D216</f>
        <v>Barbara Young</v>
      </c>
      <c r="E811" s="12" t="str">
        <f t="shared" si="6"/>
        <v>Barbara</v>
      </c>
      <c r="F811" s="16" t="str">
        <f t="shared" si="7"/>
        <v>B</v>
      </c>
    </row>
    <row r="812" spans="4:6" x14ac:dyDescent="0.3">
      <c r="D812" s="13" t="str">
        <f>DataSet!D217</f>
        <v>Frank Torres</v>
      </c>
      <c r="E812" s="12" t="str">
        <f t="shared" si="6"/>
        <v>Frank</v>
      </c>
      <c r="F812" s="16" t="str">
        <f t="shared" si="7"/>
        <v>F</v>
      </c>
    </row>
    <row r="813" spans="4:6" x14ac:dyDescent="0.3">
      <c r="D813" s="13" t="str">
        <f>DataSet!D218</f>
        <v>Charles Allen</v>
      </c>
      <c r="E813" s="12" t="str">
        <f t="shared" si="6"/>
        <v>Charles</v>
      </c>
      <c r="F813" s="16" t="str">
        <f t="shared" si="7"/>
        <v>C</v>
      </c>
    </row>
    <row r="814" spans="4:6" x14ac:dyDescent="0.3">
      <c r="D814" s="13" t="str">
        <f>DataSet!D219</f>
        <v>Sharon Butler</v>
      </c>
      <c r="E814" s="12" t="str">
        <f t="shared" si="6"/>
        <v>Sharon</v>
      </c>
      <c r="F814" s="16" t="str">
        <f t="shared" si="7"/>
        <v>S</v>
      </c>
    </row>
    <row r="815" spans="4:6" x14ac:dyDescent="0.3">
      <c r="D815" s="13" t="str">
        <f>DataSet!D220</f>
        <v>Ruth Brooks</v>
      </c>
      <c r="E815" s="12" t="str">
        <f t="shared" si="6"/>
        <v>Ruth</v>
      </c>
      <c r="F815" s="16" t="str">
        <f t="shared" si="7"/>
        <v>R</v>
      </c>
    </row>
    <row r="816" spans="4:6" x14ac:dyDescent="0.3">
      <c r="D816" s="13" t="str">
        <f>DataSet!D221</f>
        <v>Arthur Edwards</v>
      </c>
      <c r="E816" s="12" t="str">
        <f t="shared" si="6"/>
        <v>Arthur</v>
      </c>
      <c r="F816" s="16" t="str">
        <f t="shared" si="7"/>
        <v>A</v>
      </c>
    </row>
    <row r="817" spans="4:6" x14ac:dyDescent="0.3">
      <c r="D817" s="13" t="str">
        <f>DataSet!D222</f>
        <v>Elizabeth Hall</v>
      </c>
      <c r="E817" s="12" t="str">
        <f t="shared" si="6"/>
        <v>Elizabeth</v>
      </c>
      <c r="F817" s="16" t="str">
        <f t="shared" si="7"/>
        <v>E</v>
      </c>
    </row>
    <row r="818" spans="4:6" x14ac:dyDescent="0.3">
      <c r="D818" s="13" t="str">
        <f>DataSet!D223</f>
        <v>Steven Turner</v>
      </c>
      <c r="E818" s="12" t="str">
        <f t="shared" si="6"/>
        <v>Steven</v>
      </c>
      <c r="F818" s="16" t="str">
        <f t="shared" si="7"/>
        <v>S</v>
      </c>
    </row>
    <row r="819" spans="4:6" x14ac:dyDescent="0.3">
      <c r="D819" s="13" t="str">
        <f>DataSet!D224</f>
        <v>Richard Lee</v>
      </c>
      <c r="E819" s="12" t="str">
        <f t="shared" si="6"/>
        <v>Richard</v>
      </c>
      <c r="F819" s="16" t="str">
        <f t="shared" si="7"/>
        <v>R</v>
      </c>
    </row>
    <row r="820" spans="4:6" x14ac:dyDescent="0.3">
      <c r="D820" s="13" t="str">
        <f>DataSet!D225</f>
        <v>Virginia Sanders</v>
      </c>
      <c r="E820" s="12" t="str">
        <f t="shared" si="6"/>
        <v>Virginia</v>
      </c>
      <c r="F820" s="16" t="str">
        <f t="shared" si="7"/>
        <v>V</v>
      </c>
    </row>
    <row r="821" spans="4:6" x14ac:dyDescent="0.3">
      <c r="D821" s="13" t="str">
        <f>DataSet!D226</f>
        <v>Charles Allen</v>
      </c>
      <c r="E821" s="12" t="str">
        <f t="shared" si="6"/>
        <v>Charles</v>
      </c>
      <c r="F821" s="16" t="str">
        <f t="shared" si="7"/>
        <v>C</v>
      </c>
    </row>
    <row r="822" spans="4:6" x14ac:dyDescent="0.3">
      <c r="D822" s="13" t="str">
        <f>DataSet!D227</f>
        <v>Lawrence Reed</v>
      </c>
      <c r="E822" s="12" t="str">
        <f t="shared" si="6"/>
        <v>Lawrence</v>
      </c>
      <c r="F822" s="16" t="str">
        <f t="shared" si="7"/>
        <v>L</v>
      </c>
    </row>
    <row r="823" spans="4:6" x14ac:dyDescent="0.3">
      <c r="D823" s="13" t="str">
        <f>DataSet!D228</f>
        <v>Dennis Gray</v>
      </c>
      <c r="E823" s="12" t="str">
        <f t="shared" si="6"/>
        <v>Dennis</v>
      </c>
      <c r="F823" s="16" t="str">
        <f t="shared" si="7"/>
        <v>D</v>
      </c>
    </row>
    <row r="824" spans="4:6" x14ac:dyDescent="0.3">
      <c r="D824" s="13" t="str">
        <f>DataSet!D229</f>
        <v>Paul Baker</v>
      </c>
      <c r="E824" s="12" t="str">
        <f t="shared" si="6"/>
        <v>Paul</v>
      </c>
      <c r="F824" s="16" t="str">
        <f t="shared" si="7"/>
        <v>P</v>
      </c>
    </row>
    <row r="825" spans="4:6" x14ac:dyDescent="0.3">
      <c r="D825" s="13" t="str">
        <f>DataSet!D230</f>
        <v>Helen Roberts</v>
      </c>
      <c r="E825" s="12" t="str">
        <f t="shared" si="6"/>
        <v>Helen</v>
      </c>
      <c r="F825" s="16" t="str">
        <f t="shared" si="7"/>
        <v>H</v>
      </c>
    </row>
    <row r="826" spans="4:6" x14ac:dyDescent="0.3">
      <c r="D826" s="13" t="str">
        <f>DataSet!D231</f>
        <v>Lawrence Reed</v>
      </c>
      <c r="E826" s="12" t="str">
        <f t="shared" si="6"/>
        <v>Lawrence</v>
      </c>
      <c r="F826" s="16" t="str">
        <f t="shared" si="7"/>
        <v>L</v>
      </c>
    </row>
    <row r="827" spans="4:6" x14ac:dyDescent="0.3">
      <c r="D827" s="13" t="str">
        <f>DataSet!D232</f>
        <v>Harry Morgan</v>
      </c>
      <c r="E827" s="12" t="str">
        <f t="shared" si="6"/>
        <v>Harry</v>
      </c>
      <c r="F827" s="16" t="str">
        <f t="shared" si="7"/>
        <v>H</v>
      </c>
    </row>
    <row r="828" spans="4:6" x14ac:dyDescent="0.3">
      <c r="D828" s="13" t="str">
        <f>DataSet!D233</f>
        <v>Charles Allen</v>
      </c>
      <c r="E828" s="12" t="str">
        <f t="shared" si="6"/>
        <v>Charles</v>
      </c>
      <c r="F828" s="16" t="str">
        <f t="shared" si="7"/>
        <v>C</v>
      </c>
    </row>
    <row r="829" spans="4:6" x14ac:dyDescent="0.3">
      <c r="D829" s="13" t="str">
        <f>DataSet!D234</f>
        <v>Harry Morgan</v>
      </c>
      <c r="E829" s="12" t="str">
        <f t="shared" si="6"/>
        <v>Harry</v>
      </c>
      <c r="F829" s="16" t="str">
        <f t="shared" si="7"/>
        <v>H</v>
      </c>
    </row>
    <row r="830" spans="4:6" x14ac:dyDescent="0.3">
      <c r="D830" s="13" t="str">
        <f>DataSet!D235</f>
        <v>Frank Torres</v>
      </c>
      <c r="E830" s="12" t="str">
        <f t="shared" si="6"/>
        <v>Frank</v>
      </c>
      <c r="F830" s="16" t="str">
        <f t="shared" si="7"/>
        <v>F</v>
      </c>
    </row>
    <row r="831" spans="4:6" x14ac:dyDescent="0.3">
      <c r="D831" s="13" t="str">
        <f>DataSet!D236</f>
        <v>Emma Wilson</v>
      </c>
      <c r="E831" s="12" t="str">
        <f t="shared" si="6"/>
        <v>Emma</v>
      </c>
      <c r="F831" s="16" t="str">
        <f t="shared" si="7"/>
        <v>E</v>
      </c>
    </row>
    <row r="832" spans="4:6" x14ac:dyDescent="0.3">
      <c r="D832" s="13" t="str">
        <f>DataSet!D237</f>
        <v>Sharon Butler</v>
      </c>
      <c r="E832" s="12" t="str">
        <f t="shared" si="6"/>
        <v>Sharon</v>
      </c>
      <c r="F832" s="16" t="str">
        <f t="shared" si="7"/>
        <v>S</v>
      </c>
    </row>
    <row r="833" spans="4:6" x14ac:dyDescent="0.3">
      <c r="D833" s="13" t="str">
        <f>DataSet!D238</f>
        <v>Dorothy Nelson</v>
      </c>
      <c r="E833" s="12" t="str">
        <f t="shared" si="6"/>
        <v>Dorothy</v>
      </c>
      <c r="F833" s="16" t="str">
        <f t="shared" si="7"/>
        <v>D</v>
      </c>
    </row>
    <row r="834" spans="4:6" x14ac:dyDescent="0.3">
      <c r="D834" s="13" t="str">
        <f>DataSet!D239</f>
        <v>Paul Baker</v>
      </c>
      <c r="E834" s="12" t="str">
        <f t="shared" si="6"/>
        <v>Paul</v>
      </c>
      <c r="F834" s="16" t="str">
        <f t="shared" si="7"/>
        <v>P</v>
      </c>
    </row>
    <row r="835" spans="4:6" x14ac:dyDescent="0.3">
      <c r="D835" s="13" t="str">
        <f>DataSet!D240</f>
        <v>John Smith</v>
      </c>
      <c r="E835" s="12" t="str">
        <f t="shared" si="6"/>
        <v>John</v>
      </c>
      <c r="F835" s="16" t="str">
        <f t="shared" si="7"/>
        <v>J</v>
      </c>
    </row>
    <row r="836" spans="4:6" x14ac:dyDescent="0.3">
      <c r="D836" s="13" t="str">
        <f>DataSet!D241</f>
        <v>Cynthia Price</v>
      </c>
      <c r="E836" s="12" t="str">
        <f t="shared" si="6"/>
        <v>Cynthia</v>
      </c>
      <c r="F836" s="16" t="str">
        <f t="shared" si="7"/>
        <v>C</v>
      </c>
    </row>
    <row r="837" spans="4:6" x14ac:dyDescent="0.3">
      <c r="D837" s="13" t="str">
        <f>DataSet!D242</f>
        <v>Margaret Wright</v>
      </c>
      <c r="E837" s="12" t="str">
        <f t="shared" si="6"/>
        <v>Margaret</v>
      </c>
      <c r="F837" s="16" t="str">
        <f t="shared" si="7"/>
        <v>M</v>
      </c>
    </row>
    <row r="838" spans="4:6" x14ac:dyDescent="0.3">
      <c r="D838" s="13" t="str">
        <f>DataSet!D243</f>
        <v>Virginia Sanders</v>
      </c>
      <c r="E838" s="12" t="str">
        <f t="shared" si="6"/>
        <v>Virginia</v>
      </c>
      <c r="F838" s="16" t="str">
        <f t="shared" si="7"/>
        <v>V</v>
      </c>
    </row>
    <row r="839" spans="4:6" x14ac:dyDescent="0.3">
      <c r="D839" s="13" t="str">
        <f>DataSet!D244</f>
        <v>Karen Hill</v>
      </c>
      <c r="E839" s="12" t="str">
        <f t="shared" si="6"/>
        <v>Karen</v>
      </c>
      <c r="F839" s="16" t="str">
        <f t="shared" si="7"/>
        <v>K</v>
      </c>
    </row>
    <row r="840" spans="4:6" x14ac:dyDescent="0.3">
      <c r="D840" s="13" t="str">
        <f>DataSet!D245</f>
        <v>Cynthia Price</v>
      </c>
      <c r="E840" s="12" t="str">
        <f t="shared" si="6"/>
        <v>Cynthia</v>
      </c>
      <c r="F840" s="16" t="str">
        <f t="shared" si="7"/>
        <v>C</v>
      </c>
    </row>
    <row r="841" spans="4:6" x14ac:dyDescent="0.3">
      <c r="D841" s="13" t="str">
        <f>DataSet!D246</f>
        <v>Edward Mitchell</v>
      </c>
      <c r="E841" s="12" t="str">
        <f t="shared" si="6"/>
        <v>Edward</v>
      </c>
      <c r="F841" s="16" t="str">
        <f t="shared" si="7"/>
        <v>E</v>
      </c>
    </row>
    <row r="842" spans="4:6" x14ac:dyDescent="0.3">
      <c r="D842" s="13" t="str">
        <f>DataSet!D247</f>
        <v>Virginia Sanders</v>
      </c>
      <c r="E842" s="12" t="str">
        <f t="shared" si="6"/>
        <v>Virginia</v>
      </c>
      <c r="F842" s="16" t="str">
        <f t="shared" si="7"/>
        <v>V</v>
      </c>
    </row>
    <row r="843" spans="4:6" x14ac:dyDescent="0.3">
      <c r="D843" s="13" t="str">
        <f>DataSet!D248</f>
        <v>Robert Thomas</v>
      </c>
      <c r="E843" s="12" t="str">
        <f t="shared" si="6"/>
        <v>Robert</v>
      </c>
      <c r="F843" s="16" t="str">
        <f t="shared" si="7"/>
        <v>R</v>
      </c>
    </row>
    <row r="844" spans="4:6" x14ac:dyDescent="0.3">
      <c r="D844" s="13" t="str">
        <f>DataSet!D249</f>
        <v>Douglas Watson</v>
      </c>
      <c r="E844" s="12" t="str">
        <f t="shared" si="6"/>
        <v>Douglas</v>
      </c>
      <c r="F844" s="16" t="str">
        <f t="shared" si="7"/>
        <v>D</v>
      </c>
    </row>
    <row r="845" spans="4:6" x14ac:dyDescent="0.3">
      <c r="D845" s="13" t="str">
        <f>DataSet!D250</f>
        <v>Lawrence Reed</v>
      </c>
      <c r="E845" s="12" t="str">
        <f t="shared" si="6"/>
        <v>Lawrence</v>
      </c>
      <c r="F845" s="16" t="str">
        <f t="shared" si="7"/>
        <v>L</v>
      </c>
    </row>
    <row r="846" spans="4:6" ht="15" thickBot="1" x14ac:dyDescent="0.35">
      <c r="D846" s="17" t="str">
        <f>DataSet!D251</f>
        <v>Steven Turner</v>
      </c>
      <c r="E846" s="22" t="str">
        <f t="shared" si="6"/>
        <v>Steven</v>
      </c>
      <c r="F846" s="18" t="str">
        <f t="shared" si="7"/>
        <v>S</v>
      </c>
    </row>
  </sheetData>
  <scenarios current="0" sqref="B410">
    <scenario name="Low Sales" locked="1" count="2" user="Sneha" comment="Created by Sneha on 19-09-2026">
      <inputCells r="B408" val="5"/>
      <inputCells r="B409" val="80"/>
    </scenario>
    <scenario name="Normal Sales" locked="1" count="2" user="Sneha" comment="Created by Sneha on 19-09-2026">
      <inputCells r="B408" val="10"/>
      <inputCells r="B409" val="100"/>
    </scenario>
    <scenario name="High Sales" locked="1" count="2" user="Sneha" comment="Created by Sneha on 19-09-2026">
      <inputCells r="B408" val="20"/>
      <inputCells r="B409" val="150"/>
    </scenario>
  </scenarios>
  <mergeCells count="11">
    <mergeCell ref="D414:E414"/>
    <mergeCell ref="D416:E416"/>
    <mergeCell ref="D423:I423"/>
    <mergeCell ref="D434:E434"/>
    <mergeCell ref="A1:C1"/>
    <mergeCell ref="A9:B9"/>
    <mergeCell ref="A11:N11"/>
    <mergeCell ref="A144:D144"/>
    <mergeCell ref="A400:B400"/>
    <mergeCell ref="A405:C405"/>
    <mergeCell ref="A412:C412"/>
  </mergeCells>
  <conditionalFormatting sqref="D147:D396">
    <cfRule type="iconSet" priority="1">
      <iconSet iconSet="3Arrows">
        <cfvo type="percent" val="0"/>
        <cfvo type="percent" val="33"/>
        <cfvo type="percent" val="67"/>
      </iconSet>
    </cfRule>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CAFB1-4D49-4067-9DFE-EFDC04C8648A}">
  <dimension ref="A1:U47"/>
  <sheetViews>
    <sheetView showGridLines="0" zoomScale="97" workbookViewId="0">
      <selection activeCell="H12" sqref="H12"/>
    </sheetView>
  </sheetViews>
  <sheetFormatPr defaultRowHeight="14.4" x14ac:dyDescent="0.3"/>
  <cols>
    <col min="1" max="1" width="12.44140625" bestFit="1" customWidth="1"/>
    <col min="2" max="3" width="18.5546875" bestFit="1" customWidth="1"/>
    <col min="4" max="4" width="9.88671875" bestFit="1" customWidth="1"/>
    <col min="5" max="5" width="9" bestFit="1" customWidth="1"/>
    <col min="6" max="6" width="10.5546875" bestFit="1" customWidth="1"/>
  </cols>
  <sheetData>
    <row r="1" spans="1:21" ht="15" thickBot="1" x14ac:dyDescent="0.35">
      <c r="A1" s="68" t="s">
        <v>484</v>
      </c>
      <c r="B1" s="69"/>
      <c r="C1" s="69"/>
      <c r="D1" s="70"/>
      <c r="E1" s="73"/>
      <c r="F1" s="73"/>
      <c r="G1" s="73"/>
      <c r="H1" s="73"/>
      <c r="I1" s="73"/>
      <c r="J1" s="73"/>
      <c r="K1" s="73"/>
      <c r="L1" s="73"/>
      <c r="M1" s="73"/>
      <c r="N1" s="73"/>
      <c r="O1" s="73"/>
      <c r="P1" s="73"/>
      <c r="Q1" s="73"/>
      <c r="R1" s="73"/>
      <c r="S1" s="73"/>
      <c r="T1" s="73"/>
      <c r="U1" s="73"/>
    </row>
    <row r="2" spans="1:21" x14ac:dyDescent="0.3">
      <c r="A2" s="73"/>
      <c r="B2" s="73"/>
      <c r="C2" s="73"/>
      <c r="D2" s="73"/>
      <c r="E2" s="73"/>
      <c r="F2" s="73"/>
      <c r="G2" s="73"/>
      <c r="H2" s="73"/>
      <c r="I2" s="73"/>
      <c r="J2" s="73"/>
      <c r="K2" s="73"/>
      <c r="L2" s="73"/>
      <c r="M2" s="73"/>
      <c r="N2" s="73"/>
      <c r="O2" s="73"/>
      <c r="P2" s="73"/>
      <c r="Q2" s="73"/>
      <c r="R2" s="73"/>
      <c r="S2" s="73"/>
      <c r="T2" s="73"/>
      <c r="U2" s="73"/>
    </row>
    <row r="3" spans="1:21" x14ac:dyDescent="0.3">
      <c r="A3" s="71" t="s">
        <v>485</v>
      </c>
      <c r="B3" s="74" t="s">
        <v>487</v>
      </c>
      <c r="C3" s="73"/>
      <c r="D3" s="73"/>
      <c r="E3" s="73"/>
      <c r="F3" s="73"/>
      <c r="G3" s="73"/>
      <c r="H3" s="73"/>
      <c r="I3" s="73"/>
      <c r="J3" s="73"/>
      <c r="K3" s="73"/>
      <c r="L3" s="73"/>
      <c r="M3" s="73"/>
      <c r="N3" s="73"/>
      <c r="O3" s="73"/>
      <c r="P3" s="73"/>
      <c r="Q3" s="73"/>
      <c r="R3" s="73"/>
      <c r="S3" s="73"/>
      <c r="T3" s="73"/>
      <c r="U3" s="73"/>
    </row>
    <row r="4" spans="1:21" x14ac:dyDescent="0.3">
      <c r="A4" s="32" t="s">
        <v>21</v>
      </c>
      <c r="B4" s="75">
        <v>41288.340000000018</v>
      </c>
      <c r="C4" s="73"/>
      <c r="D4" s="73"/>
      <c r="E4" s="73"/>
      <c r="F4" s="73"/>
      <c r="G4" s="73"/>
      <c r="H4" s="73"/>
      <c r="I4" s="73"/>
      <c r="J4" s="73"/>
      <c r="K4" s="73"/>
      <c r="L4" s="73"/>
      <c r="M4" s="73"/>
      <c r="N4" s="73"/>
      <c r="O4" s="73"/>
      <c r="P4" s="73"/>
      <c r="Q4" s="73"/>
      <c r="R4" s="73"/>
      <c r="S4" s="73"/>
      <c r="T4" s="73"/>
      <c r="U4" s="73"/>
    </row>
    <row r="5" spans="1:21" x14ac:dyDescent="0.3">
      <c r="A5" s="32" t="s">
        <v>63</v>
      </c>
      <c r="B5" s="75">
        <v>59288.389999999992</v>
      </c>
      <c r="C5" s="73"/>
      <c r="D5" s="73"/>
      <c r="E5" s="73"/>
      <c r="F5" s="73"/>
      <c r="G5" s="73"/>
      <c r="H5" s="73"/>
      <c r="I5" s="73"/>
      <c r="J5" s="73"/>
      <c r="K5" s="73"/>
      <c r="L5" s="73"/>
      <c r="M5" s="73"/>
      <c r="N5" s="73"/>
      <c r="O5" s="73"/>
      <c r="P5" s="73"/>
      <c r="Q5" s="73"/>
      <c r="R5" s="73"/>
      <c r="S5" s="73"/>
      <c r="T5" s="73"/>
      <c r="U5" s="73"/>
    </row>
    <row r="6" spans="1:21" x14ac:dyDescent="0.3">
      <c r="A6" s="32" t="s">
        <v>40</v>
      </c>
      <c r="B6" s="75">
        <v>50808.310000000012</v>
      </c>
      <c r="C6" s="73"/>
      <c r="D6" s="73"/>
      <c r="E6" s="73"/>
      <c r="F6" s="73"/>
      <c r="G6" s="73"/>
      <c r="H6" s="73"/>
      <c r="I6" s="73"/>
      <c r="J6" s="73"/>
      <c r="K6" s="73"/>
      <c r="L6" s="73"/>
      <c r="M6" s="73"/>
      <c r="N6" s="73"/>
      <c r="O6" s="73"/>
      <c r="P6" s="73"/>
      <c r="Q6" s="73"/>
      <c r="R6" s="73"/>
      <c r="S6" s="73"/>
      <c r="T6" s="73"/>
      <c r="U6" s="73"/>
    </row>
    <row r="7" spans="1:21" x14ac:dyDescent="0.3">
      <c r="A7" s="32" t="s">
        <v>35</v>
      </c>
      <c r="B7" s="75">
        <v>36398.750000000007</v>
      </c>
      <c r="C7" s="73"/>
      <c r="D7" s="73"/>
      <c r="E7" s="73"/>
      <c r="F7" s="73"/>
      <c r="G7" s="73"/>
      <c r="H7" s="73"/>
      <c r="I7" s="73"/>
      <c r="J7" s="73"/>
      <c r="K7" s="73"/>
      <c r="L7" s="73"/>
      <c r="M7" s="73"/>
      <c r="N7" s="73"/>
      <c r="O7" s="73"/>
      <c r="P7" s="73"/>
      <c r="Q7" s="73"/>
      <c r="R7" s="73"/>
      <c r="S7" s="73"/>
      <c r="T7" s="73"/>
      <c r="U7" s="73"/>
    </row>
    <row r="8" spans="1:21" x14ac:dyDescent="0.3">
      <c r="A8" s="32" t="s">
        <v>50</v>
      </c>
      <c r="B8" s="75">
        <v>41408.680000000015</v>
      </c>
      <c r="C8" s="73"/>
      <c r="D8" s="73"/>
      <c r="E8" s="73"/>
      <c r="F8" s="73"/>
      <c r="G8" s="73"/>
      <c r="H8" s="73"/>
      <c r="I8" s="73"/>
      <c r="J8" s="73"/>
      <c r="K8" s="73"/>
      <c r="L8" s="73"/>
      <c r="M8" s="73"/>
      <c r="N8" s="73"/>
      <c r="O8" s="73"/>
      <c r="P8" s="73"/>
      <c r="Q8" s="73"/>
      <c r="R8" s="73"/>
      <c r="S8" s="73"/>
      <c r="T8" s="73"/>
      <c r="U8" s="73"/>
    </row>
    <row r="9" spans="1:21" x14ac:dyDescent="0.3">
      <c r="A9" s="32" t="s">
        <v>486</v>
      </c>
      <c r="B9" s="75">
        <v>229192.47000000006</v>
      </c>
      <c r="C9" s="73"/>
      <c r="D9" s="73"/>
      <c r="E9" s="73"/>
      <c r="F9" s="73"/>
      <c r="G9" s="73"/>
      <c r="H9" s="73"/>
      <c r="I9" s="73"/>
      <c r="J9" s="73"/>
      <c r="K9" s="73"/>
      <c r="L9" s="73"/>
      <c r="M9" s="73"/>
      <c r="N9" s="73"/>
      <c r="O9" s="73"/>
      <c r="P9" s="73"/>
      <c r="Q9" s="73"/>
      <c r="R9" s="73"/>
      <c r="S9" s="73"/>
      <c r="T9" s="73"/>
      <c r="U9" s="73"/>
    </row>
    <row r="10" spans="1:21" x14ac:dyDescent="0.3">
      <c r="A10" s="73"/>
      <c r="B10" s="73"/>
      <c r="C10" s="73"/>
      <c r="D10" s="73"/>
      <c r="E10" s="73"/>
      <c r="F10" s="73"/>
      <c r="G10" s="73"/>
      <c r="H10" s="73"/>
      <c r="I10" s="73"/>
      <c r="J10" s="73"/>
      <c r="K10" s="73"/>
      <c r="L10" s="73"/>
      <c r="M10" s="73"/>
      <c r="N10" s="73"/>
      <c r="O10" s="73"/>
      <c r="P10" s="73"/>
      <c r="Q10" s="73"/>
      <c r="R10" s="73"/>
      <c r="S10" s="73"/>
      <c r="T10" s="73"/>
      <c r="U10" s="73"/>
    </row>
    <row r="11" spans="1:21" ht="15" thickBot="1" x14ac:dyDescent="0.35">
      <c r="A11" s="73"/>
      <c r="B11" s="73"/>
      <c r="C11" s="73"/>
      <c r="D11" s="73"/>
      <c r="E11" s="73"/>
      <c r="F11" s="73"/>
      <c r="G11" s="73"/>
      <c r="H11" s="73"/>
      <c r="I11" s="73"/>
      <c r="J11" s="73"/>
      <c r="K11" s="73"/>
      <c r="L11" s="73"/>
      <c r="M11" s="73"/>
      <c r="N11" s="73"/>
      <c r="O11" s="73"/>
      <c r="P11" s="73"/>
      <c r="Q11" s="73"/>
      <c r="R11" s="73"/>
      <c r="S11" s="73"/>
      <c r="T11" s="73"/>
      <c r="U11" s="73"/>
    </row>
    <row r="12" spans="1:21" ht="15" thickBot="1" x14ac:dyDescent="0.35">
      <c r="A12" s="68" t="s">
        <v>488</v>
      </c>
      <c r="B12" s="69"/>
      <c r="C12" s="69"/>
      <c r="D12" s="70"/>
      <c r="E12" s="73"/>
      <c r="F12" s="73"/>
      <c r="G12" s="73"/>
      <c r="H12" s="73"/>
      <c r="I12" s="73"/>
      <c r="J12" s="73"/>
      <c r="K12" s="73"/>
      <c r="L12" s="73"/>
      <c r="M12" s="73"/>
      <c r="N12" s="73"/>
      <c r="O12" s="73"/>
      <c r="P12" s="73"/>
      <c r="Q12" s="73"/>
      <c r="R12" s="73"/>
      <c r="S12" s="73"/>
      <c r="T12" s="73"/>
      <c r="U12" s="73"/>
    </row>
    <row r="13" spans="1:21" x14ac:dyDescent="0.3">
      <c r="A13" s="73"/>
      <c r="B13" s="73"/>
      <c r="C13" s="73"/>
      <c r="D13" s="73"/>
      <c r="E13" s="73"/>
      <c r="F13" s="73"/>
      <c r="G13" s="73"/>
      <c r="H13" s="73"/>
      <c r="I13" s="73"/>
      <c r="J13" s="73"/>
      <c r="K13" s="73"/>
      <c r="L13" s="73"/>
      <c r="M13" s="73"/>
      <c r="N13" s="73"/>
      <c r="O13" s="73"/>
      <c r="P13" s="73"/>
      <c r="Q13" s="73"/>
      <c r="R13" s="73"/>
      <c r="S13" s="73"/>
      <c r="T13" s="73"/>
      <c r="U13" s="73"/>
    </row>
    <row r="14" spans="1:21" x14ac:dyDescent="0.3">
      <c r="A14" s="71" t="s">
        <v>485</v>
      </c>
      <c r="B14" t="s">
        <v>487</v>
      </c>
      <c r="C14" t="s">
        <v>489</v>
      </c>
      <c r="D14" s="73"/>
      <c r="E14" s="73"/>
      <c r="F14" s="73"/>
      <c r="G14" s="73"/>
      <c r="H14" s="73"/>
      <c r="I14" s="73"/>
      <c r="J14" s="73"/>
      <c r="K14" s="73"/>
      <c r="L14" s="73"/>
      <c r="M14" s="73"/>
      <c r="N14" s="73"/>
      <c r="O14" s="73"/>
      <c r="P14" s="73"/>
      <c r="Q14" s="73"/>
      <c r="R14" s="73"/>
      <c r="S14" s="73"/>
      <c r="T14" s="73"/>
      <c r="U14" s="73"/>
    </row>
    <row r="15" spans="1:21" x14ac:dyDescent="0.3">
      <c r="A15" s="32" t="s">
        <v>33</v>
      </c>
      <c r="B15" s="72">
        <v>8338.7399999999961</v>
      </c>
      <c r="C15" s="72">
        <v>126</v>
      </c>
      <c r="D15" s="73"/>
      <c r="E15" s="73"/>
      <c r="F15" s="73"/>
      <c r="G15" s="73"/>
      <c r="H15" s="73"/>
      <c r="I15" s="73"/>
      <c r="J15" s="73"/>
      <c r="K15" s="73"/>
      <c r="L15" s="73"/>
      <c r="M15" s="73"/>
      <c r="N15" s="73"/>
      <c r="O15" s="73"/>
      <c r="P15" s="73"/>
      <c r="Q15" s="73"/>
      <c r="R15" s="73"/>
      <c r="S15" s="73"/>
      <c r="T15" s="73"/>
      <c r="U15" s="73"/>
    </row>
    <row r="16" spans="1:21" x14ac:dyDescent="0.3">
      <c r="A16" s="32" t="s">
        <v>19</v>
      </c>
      <c r="B16" s="72">
        <v>171756.05000000013</v>
      </c>
      <c r="C16" s="72">
        <v>395</v>
      </c>
      <c r="D16" s="73"/>
      <c r="E16" s="73"/>
      <c r="F16" s="73"/>
      <c r="G16" s="73"/>
      <c r="H16" s="73"/>
      <c r="I16" s="73"/>
      <c r="J16" s="73"/>
      <c r="K16" s="73"/>
      <c r="L16" s="73"/>
      <c r="M16" s="73"/>
      <c r="N16" s="73"/>
      <c r="O16" s="73"/>
      <c r="P16" s="73"/>
      <c r="Q16" s="73"/>
      <c r="R16" s="73"/>
      <c r="S16" s="73"/>
      <c r="T16" s="73"/>
      <c r="U16" s="73"/>
    </row>
    <row r="17" spans="1:21" x14ac:dyDescent="0.3">
      <c r="A17" s="32" t="s">
        <v>46</v>
      </c>
      <c r="B17" s="72">
        <v>49097.680000000015</v>
      </c>
      <c r="C17" s="72">
        <v>232</v>
      </c>
      <c r="D17" s="73"/>
      <c r="E17" s="73"/>
      <c r="F17" s="73"/>
      <c r="G17" s="73"/>
      <c r="H17" s="73"/>
      <c r="I17" s="73"/>
      <c r="J17" s="73"/>
      <c r="K17" s="73"/>
      <c r="L17" s="73"/>
      <c r="M17" s="73"/>
      <c r="N17" s="73"/>
      <c r="O17" s="73"/>
      <c r="P17" s="73"/>
      <c r="Q17" s="73"/>
      <c r="R17" s="73"/>
      <c r="S17" s="73"/>
      <c r="T17" s="73"/>
      <c r="U17" s="73"/>
    </row>
    <row r="18" spans="1:21" x14ac:dyDescent="0.3">
      <c r="A18" s="32" t="s">
        <v>486</v>
      </c>
      <c r="B18" s="72">
        <v>229192.47000000015</v>
      </c>
      <c r="C18" s="72">
        <v>753</v>
      </c>
      <c r="D18" s="73"/>
      <c r="E18" s="73"/>
      <c r="F18" s="73"/>
      <c r="G18" s="73"/>
      <c r="H18" s="73"/>
      <c r="I18" s="73"/>
      <c r="J18" s="73"/>
      <c r="K18" s="73"/>
      <c r="L18" s="73"/>
      <c r="M18" s="73"/>
      <c r="N18" s="73"/>
      <c r="O18" s="73"/>
      <c r="P18" s="73"/>
      <c r="Q18" s="73"/>
      <c r="R18" s="73"/>
      <c r="S18" s="73"/>
      <c r="T18" s="73"/>
      <c r="U18" s="73"/>
    </row>
    <row r="19" spans="1:21" ht="15" thickBot="1" x14ac:dyDescent="0.35">
      <c r="A19" s="73"/>
      <c r="B19" s="73"/>
      <c r="C19" s="73"/>
      <c r="D19" s="73"/>
      <c r="E19" s="73"/>
      <c r="F19" s="73"/>
      <c r="G19" s="73"/>
      <c r="H19" s="73"/>
      <c r="I19" s="73"/>
      <c r="J19" s="73"/>
      <c r="K19" s="73"/>
      <c r="L19" s="73"/>
      <c r="M19" s="73"/>
      <c r="N19" s="73"/>
      <c r="O19" s="73"/>
      <c r="P19" s="73"/>
      <c r="Q19" s="73"/>
      <c r="R19" s="73"/>
      <c r="S19" s="73"/>
      <c r="T19" s="73"/>
      <c r="U19" s="73"/>
    </row>
    <row r="20" spans="1:21" ht="15" thickBot="1" x14ac:dyDescent="0.35">
      <c r="A20" s="68" t="s">
        <v>490</v>
      </c>
      <c r="B20" s="69"/>
      <c r="C20" s="69"/>
      <c r="D20" s="70"/>
      <c r="E20" s="73"/>
      <c r="F20" s="73"/>
      <c r="G20" s="73"/>
      <c r="H20" s="73"/>
      <c r="I20" s="73"/>
      <c r="J20" s="73"/>
      <c r="K20" s="73"/>
      <c r="L20" s="73"/>
      <c r="M20" s="73"/>
      <c r="N20" s="73"/>
      <c r="O20" s="73"/>
      <c r="P20" s="73"/>
      <c r="Q20" s="73"/>
      <c r="R20" s="73"/>
      <c r="S20" s="73"/>
      <c r="T20" s="73"/>
      <c r="U20" s="73"/>
    </row>
    <row r="21" spans="1:21" x14ac:dyDescent="0.3">
      <c r="A21" s="73"/>
      <c r="B21" s="73"/>
      <c r="C21" s="73"/>
      <c r="D21" s="73"/>
      <c r="E21" s="73"/>
      <c r="F21" s="73"/>
      <c r="G21" s="73"/>
      <c r="H21" s="73"/>
      <c r="I21" s="73"/>
      <c r="J21" s="73"/>
      <c r="K21" s="73"/>
      <c r="L21" s="73"/>
      <c r="M21" s="73"/>
      <c r="N21" s="73"/>
      <c r="O21" s="73"/>
      <c r="P21" s="73"/>
      <c r="Q21" s="73"/>
      <c r="R21" s="73"/>
      <c r="S21" s="73"/>
      <c r="T21" s="73"/>
      <c r="U21" s="73"/>
    </row>
    <row r="22" spans="1:21" x14ac:dyDescent="0.3">
      <c r="A22" s="71" t="s">
        <v>487</v>
      </c>
      <c r="B22" s="71" t="s">
        <v>491</v>
      </c>
      <c r="E22" s="74"/>
      <c r="F22" s="74"/>
      <c r="G22" s="73"/>
      <c r="H22" s="73"/>
      <c r="I22" s="73"/>
      <c r="J22" s="73"/>
      <c r="K22" s="73"/>
      <c r="L22" s="73"/>
      <c r="M22" s="73"/>
      <c r="N22" s="73"/>
      <c r="O22" s="73"/>
      <c r="P22" s="73"/>
      <c r="Q22" s="73"/>
      <c r="R22" s="73"/>
      <c r="S22" s="73"/>
      <c r="T22" s="73"/>
      <c r="U22" s="73"/>
    </row>
    <row r="23" spans="1:21" x14ac:dyDescent="0.3">
      <c r="A23" s="71" t="s">
        <v>485</v>
      </c>
      <c r="B23" t="s">
        <v>20</v>
      </c>
      <c r="C23" t="s">
        <v>26</v>
      </c>
      <c r="D23" t="s">
        <v>57</v>
      </c>
      <c r="E23" s="74" t="s">
        <v>34</v>
      </c>
      <c r="F23" s="74" t="s">
        <v>486</v>
      </c>
      <c r="G23" s="73"/>
      <c r="H23" s="73"/>
      <c r="I23" s="73"/>
      <c r="J23" s="73"/>
      <c r="K23" s="73"/>
      <c r="L23" s="73"/>
      <c r="M23" s="73"/>
      <c r="N23" s="73"/>
      <c r="O23" s="73"/>
      <c r="P23" s="73"/>
      <c r="Q23" s="73"/>
      <c r="R23" s="73"/>
      <c r="S23" s="73"/>
      <c r="T23" s="73"/>
      <c r="U23" s="73"/>
    </row>
    <row r="24" spans="1:21" x14ac:dyDescent="0.3">
      <c r="A24" s="32" t="s">
        <v>22</v>
      </c>
      <c r="B24" s="72">
        <v>15199.439999999995</v>
      </c>
      <c r="C24" s="72">
        <v>16009.359999999997</v>
      </c>
      <c r="D24" s="72">
        <v>9839.57</v>
      </c>
      <c r="E24" s="75">
        <v>21129.439999999999</v>
      </c>
      <c r="F24" s="75">
        <v>62177.81</v>
      </c>
      <c r="G24" s="73"/>
      <c r="H24" s="73"/>
      <c r="I24" s="73"/>
      <c r="J24" s="73"/>
      <c r="K24" s="73"/>
      <c r="L24" s="73"/>
      <c r="M24" s="73"/>
      <c r="N24" s="73"/>
      <c r="O24" s="73"/>
      <c r="P24" s="73"/>
      <c r="Q24" s="73"/>
      <c r="R24" s="73"/>
      <c r="S24" s="73"/>
      <c r="T24" s="73"/>
      <c r="U24" s="73"/>
    </row>
    <row r="25" spans="1:21" x14ac:dyDescent="0.3">
      <c r="A25" s="32" t="s">
        <v>27</v>
      </c>
      <c r="B25" s="72">
        <v>20949.030000000002</v>
      </c>
      <c r="C25" s="72">
        <v>24309.229999999996</v>
      </c>
      <c r="D25" s="72">
        <v>18429.460000000003</v>
      </c>
      <c r="E25" s="75">
        <v>20969.399999999998</v>
      </c>
      <c r="F25" s="75">
        <v>84657.12</v>
      </c>
      <c r="G25" s="73"/>
      <c r="H25" s="73"/>
      <c r="I25" s="73"/>
      <c r="J25" s="73"/>
      <c r="K25" s="73"/>
      <c r="L25" s="73"/>
      <c r="M25" s="73"/>
      <c r="N25" s="73"/>
      <c r="O25" s="73"/>
      <c r="P25" s="73"/>
      <c r="Q25" s="73"/>
      <c r="R25" s="73"/>
      <c r="S25" s="73"/>
      <c r="T25" s="73"/>
      <c r="U25" s="73"/>
    </row>
    <row r="26" spans="1:21" x14ac:dyDescent="0.3">
      <c r="A26" s="32" t="s">
        <v>36</v>
      </c>
      <c r="B26" s="72">
        <v>21279.32</v>
      </c>
      <c r="C26" s="72">
        <v>21129.370000000003</v>
      </c>
      <c r="D26" s="72">
        <v>23849.279999999995</v>
      </c>
      <c r="E26" s="75">
        <v>16099.569999999998</v>
      </c>
      <c r="F26" s="75">
        <v>82357.539999999994</v>
      </c>
      <c r="G26" s="73"/>
      <c r="H26" s="73"/>
      <c r="I26" s="73"/>
      <c r="J26" s="73"/>
      <c r="K26" s="73"/>
      <c r="L26" s="73"/>
      <c r="M26" s="73"/>
      <c r="N26" s="73"/>
      <c r="O26" s="73"/>
      <c r="P26" s="73"/>
      <c r="Q26" s="73"/>
      <c r="R26" s="73"/>
      <c r="S26" s="73"/>
      <c r="T26" s="73"/>
      <c r="U26" s="73"/>
    </row>
    <row r="27" spans="1:21" x14ac:dyDescent="0.3">
      <c r="A27" s="32" t="s">
        <v>486</v>
      </c>
      <c r="B27" s="72">
        <v>57427.79</v>
      </c>
      <c r="C27" s="72">
        <v>61447.96</v>
      </c>
      <c r="D27" s="72">
        <v>52118.31</v>
      </c>
      <c r="E27" s="75">
        <v>58198.409999999996</v>
      </c>
      <c r="F27" s="75">
        <v>229192.46999999997</v>
      </c>
      <c r="G27" s="73"/>
      <c r="H27" s="73"/>
      <c r="I27" s="73"/>
      <c r="J27" s="73"/>
      <c r="K27" s="73"/>
      <c r="L27" s="73"/>
      <c r="M27" s="73"/>
      <c r="N27" s="73"/>
      <c r="O27" s="73"/>
      <c r="P27" s="73"/>
      <c r="Q27" s="73"/>
      <c r="R27" s="73"/>
      <c r="S27" s="73"/>
      <c r="T27" s="73"/>
      <c r="U27" s="73"/>
    </row>
    <row r="28" spans="1:21" ht="15" thickBot="1" x14ac:dyDescent="0.35">
      <c r="A28" s="73"/>
      <c r="B28" s="73"/>
      <c r="C28" s="73"/>
      <c r="D28" s="73"/>
      <c r="E28" s="73"/>
      <c r="F28" s="73"/>
      <c r="G28" s="73"/>
      <c r="H28" s="73"/>
      <c r="I28" s="73"/>
      <c r="J28" s="73"/>
      <c r="K28" s="73"/>
      <c r="L28" s="73"/>
      <c r="M28" s="73"/>
      <c r="N28" s="73"/>
      <c r="O28" s="73"/>
      <c r="P28" s="73"/>
      <c r="Q28" s="73"/>
      <c r="R28" s="73"/>
      <c r="S28" s="73"/>
      <c r="T28" s="73"/>
      <c r="U28" s="73"/>
    </row>
    <row r="29" spans="1:21" ht="15" thickBot="1" x14ac:dyDescent="0.35">
      <c r="A29" s="68" t="s">
        <v>492</v>
      </c>
      <c r="B29" s="70"/>
      <c r="C29" s="73"/>
      <c r="D29" s="73"/>
      <c r="E29" s="73"/>
      <c r="F29" s="73"/>
      <c r="G29" s="73"/>
      <c r="H29" s="73"/>
      <c r="I29" s="73"/>
      <c r="J29" s="73"/>
      <c r="K29" s="73"/>
      <c r="L29" s="73"/>
      <c r="M29" s="73"/>
      <c r="N29" s="73"/>
      <c r="O29" s="73"/>
      <c r="P29" s="73"/>
      <c r="Q29" s="73"/>
      <c r="R29" s="73"/>
      <c r="S29" s="73"/>
      <c r="T29" s="73"/>
      <c r="U29" s="73"/>
    </row>
    <row r="30" spans="1:21" x14ac:dyDescent="0.3">
      <c r="A30" s="73"/>
      <c r="B30" s="73"/>
      <c r="C30" s="73"/>
      <c r="D30" s="73"/>
      <c r="E30" s="73"/>
      <c r="F30" s="73"/>
      <c r="G30" s="73"/>
      <c r="H30" s="73"/>
      <c r="I30" s="73"/>
      <c r="J30" s="73"/>
      <c r="K30" s="73"/>
      <c r="L30" s="73"/>
      <c r="M30" s="73"/>
      <c r="N30" s="73"/>
      <c r="O30" s="73"/>
      <c r="P30" s="73"/>
      <c r="Q30" s="73"/>
      <c r="R30" s="73"/>
      <c r="S30" s="73"/>
      <c r="T30" s="73"/>
      <c r="U30" s="73"/>
    </row>
    <row r="31" spans="1:21" x14ac:dyDescent="0.3">
      <c r="A31" s="71" t="s">
        <v>485</v>
      </c>
      <c r="B31" t="s">
        <v>489</v>
      </c>
      <c r="C31" t="s">
        <v>487</v>
      </c>
      <c r="D31" s="73"/>
      <c r="E31" s="73"/>
      <c r="F31" s="73"/>
      <c r="G31" s="73"/>
      <c r="H31" s="73"/>
      <c r="I31" s="73"/>
      <c r="J31" s="73"/>
      <c r="K31" s="73"/>
      <c r="L31" s="73"/>
      <c r="M31" s="73"/>
      <c r="N31" s="73"/>
      <c r="O31" s="73"/>
      <c r="P31" s="73"/>
      <c r="Q31" s="73"/>
      <c r="R31" s="73"/>
      <c r="S31" s="73"/>
      <c r="T31" s="73"/>
      <c r="U31" s="73"/>
    </row>
    <row r="32" spans="1:21" x14ac:dyDescent="0.3">
      <c r="A32" s="32" t="s">
        <v>32</v>
      </c>
      <c r="B32" s="72">
        <v>87</v>
      </c>
      <c r="C32" s="72">
        <v>5219.1299999999974</v>
      </c>
      <c r="D32" s="73"/>
      <c r="E32" s="73"/>
      <c r="F32" s="73"/>
      <c r="G32" s="73"/>
      <c r="H32" s="73"/>
      <c r="I32" s="73"/>
      <c r="J32" s="73"/>
      <c r="K32" s="73"/>
      <c r="L32" s="73"/>
      <c r="M32" s="73"/>
      <c r="N32" s="73"/>
      <c r="O32" s="73"/>
      <c r="P32" s="73"/>
      <c r="Q32" s="73"/>
      <c r="R32" s="73"/>
      <c r="S32" s="73"/>
      <c r="T32" s="73"/>
      <c r="U32" s="73"/>
    </row>
    <row r="33" spans="1:21" x14ac:dyDescent="0.3">
      <c r="A33" s="32" t="s">
        <v>45</v>
      </c>
      <c r="B33" s="72">
        <v>102</v>
      </c>
      <c r="C33" s="72">
        <v>15298.979999999994</v>
      </c>
      <c r="D33" s="73"/>
      <c r="E33" s="73"/>
      <c r="F33" s="73"/>
      <c r="G33" s="73"/>
      <c r="H33" s="73"/>
      <c r="I33" s="73"/>
      <c r="J33" s="73"/>
      <c r="K33" s="73"/>
      <c r="L33" s="73"/>
      <c r="M33" s="73"/>
      <c r="N33" s="73"/>
      <c r="O33" s="73"/>
      <c r="P33" s="73"/>
      <c r="Q33" s="73"/>
      <c r="R33" s="73"/>
      <c r="S33" s="73"/>
      <c r="T33" s="73"/>
      <c r="U33" s="73"/>
    </row>
    <row r="34" spans="1:21" x14ac:dyDescent="0.3">
      <c r="A34" s="32" t="s">
        <v>115</v>
      </c>
      <c r="B34" s="72">
        <v>39</v>
      </c>
      <c r="C34" s="72">
        <v>3119.6099999999992</v>
      </c>
      <c r="D34" s="73"/>
      <c r="E34" s="73"/>
      <c r="F34" s="73"/>
      <c r="G34" s="73"/>
      <c r="H34" s="73"/>
      <c r="I34" s="73"/>
      <c r="J34" s="73"/>
      <c r="K34" s="73"/>
      <c r="L34" s="73"/>
      <c r="M34" s="73"/>
      <c r="N34" s="73"/>
      <c r="O34" s="73"/>
      <c r="P34" s="73"/>
      <c r="Q34" s="73"/>
      <c r="R34" s="73"/>
      <c r="S34" s="73"/>
      <c r="T34" s="73"/>
      <c r="U34" s="73"/>
    </row>
    <row r="35" spans="1:21" x14ac:dyDescent="0.3">
      <c r="A35" s="32" t="s">
        <v>106</v>
      </c>
      <c r="B35" s="72">
        <v>78</v>
      </c>
      <c r="C35" s="72">
        <v>23399.22</v>
      </c>
      <c r="D35" s="73"/>
      <c r="E35" s="73"/>
      <c r="F35" s="73"/>
      <c r="G35" s="73"/>
      <c r="H35" s="73"/>
      <c r="I35" s="73"/>
      <c r="J35" s="73"/>
      <c r="K35" s="73"/>
      <c r="L35" s="73"/>
      <c r="M35" s="73"/>
      <c r="N35" s="73"/>
      <c r="O35" s="73"/>
      <c r="P35" s="73"/>
      <c r="Q35" s="73"/>
      <c r="R35" s="73"/>
      <c r="S35" s="73"/>
      <c r="T35" s="73"/>
      <c r="U35" s="73"/>
    </row>
    <row r="36" spans="1:21" x14ac:dyDescent="0.3">
      <c r="A36" s="32" t="s">
        <v>53</v>
      </c>
      <c r="B36" s="72">
        <v>47</v>
      </c>
      <c r="C36" s="72">
        <v>7049.5299999999988</v>
      </c>
      <c r="D36" s="73"/>
      <c r="E36" s="73"/>
      <c r="F36" s="73"/>
      <c r="G36" s="73"/>
      <c r="H36" s="73"/>
      <c r="I36" s="73"/>
      <c r="J36" s="73"/>
      <c r="K36" s="73"/>
      <c r="L36" s="73"/>
      <c r="M36" s="73"/>
      <c r="N36" s="73"/>
      <c r="O36" s="73"/>
      <c r="P36" s="73"/>
      <c r="Q36" s="73"/>
      <c r="R36" s="73"/>
      <c r="S36" s="73"/>
      <c r="T36" s="73"/>
      <c r="U36" s="73"/>
    </row>
    <row r="37" spans="1:21" x14ac:dyDescent="0.3">
      <c r="A37" s="32" t="s">
        <v>118</v>
      </c>
      <c r="B37" s="72">
        <v>89</v>
      </c>
      <c r="C37" s="72">
        <v>8009.1099999999969</v>
      </c>
      <c r="D37" s="73"/>
      <c r="E37" s="73"/>
      <c r="F37" s="73"/>
      <c r="G37" s="73"/>
      <c r="H37" s="73"/>
      <c r="I37" s="73"/>
      <c r="J37" s="73"/>
      <c r="K37" s="73"/>
      <c r="L37" s="73"/>
      <c r="M37" s="73"/>
      <c r="N37" s="73"/>
      <c r="O37" s="73"/>
      <c r="P37" s="73"/>
      <c r="Q37" s="73"/>
      <c r="R37" s="73"/>
      <c r="S37" s="73"/>
      <c r="T37" s="73"/>
      <c r="U37" s="73"/>
    </row>
    <row r="38" spans="1:21" x14ac:dyDescent="0.3">
      <c r="A38" s="32" t="s">
        <v>62</v>
      </c>
      <c r="B38" s="72">
        <v>75</v>
      </c>
      <c r="C38" s="72">
        <v>67499.25</v>
      </c>
      <c r="D38" s="73"/>
      <c r="E38" s="73"/>
      <c r="F38" s="73"/>
      <c r="G38" s="73"/>
      <c r="H38" s="73"/>
      <c r="I38" s="73"/>
      <c r="J38" s="73"/>
      <c r="K38" s="73"/>
      <c r="L38" s="73"/>
      <c r="M38" s="73"/>
      <c r="N38" s="73"/>
      <c r="O38" s="73"/>
      <c r="P38" s="73"/>
      <c r="Q38" s="73"/>
      <c r="R38" s="73"/>
      <c r="S38" s="73"/>
      <c r="T38" s="73"/>
      <c r="U38" s="73"/>
    </row>
    <row r="39" spans="1:21" x14ac:dyDescent="0.3">
      <c r="A39" s="32" t="s">
        <v>18</v>
      </c>
      <c r="B39" s="72">
        <v>88</v>
      </c>
      <c r="C39" s="72">
        <v>21999.119999999999</v>
      </c>
      <c r="D39" s="73"/>
      <c r="E39" s="73"/>
      <c r="F39" s="73"/>
      <c r="G39" s="73"/>
      <c r="H39" s="73"/>
      <c r="I39" s="73"/>
      <c r="J39" s="73"/>
      <c r="K39" s="73"/>
      <c r="L39" s="73"/>
      <c r="M39" s="73"/>
      <c r="N39" s="73"/>
      <c r="O39" s="73"/>
      <c r="P39" s="73"/>
      <c r="Q39" s="73"/>
      <c r="R39" s="73"/>
      <c r="S39" s="73"/>
      <c r="T39" s="73"/>
      <c r="U39" s="73"/>
    </row>
    <row r="40" spans="1:21" x14ac:dyDescent="0.3">
      <c r="A40" s="32" t="s">
        <v>127</v>
      </c>
      <c r="B40" s="72">
        <v>52</v>
      </c>
      <c r="C40" s="72">
        <v>10399.479999999998</v>
      </c>
      <c r="D40" s="73"/>
      <c r="E40" s="73"/>
      <c r="F40" s="73"/>
      <c r="G40" s="73"/>
      <c r="H40" s="73"/>
      <c r="I40" s="73"/>
      <c r="J40" s="73"/>
      <c r="K40" s="73"/>
      <c r="L40" s="73"/>
      <c r="M40" s="73"/>
      <c r="N40" s="73"/>
      <c r="O40" s="73"/>
      <c r="P40" s="73"/>
      <c r="Q40" s="73"/>
      <c r="R40" s="73"/>
      <c r="S40" s="73"/>
      <c r="T40" s="73"/>
      <c r="U40" s="73"/>
    </row>
    <row r="41" spans="1:21" x14ac:dyDescent="0.3">
      <c r="A41" s="32" t="s">
        <v>81</v>
      </c>
      <c r="B41" s="72">
        <v>96</v>
      </c>
      <c r="C41" s="72">
        <v>67199.039999999994</v>
      </c>
      <c r="D41" s="73"/>
      <c r="E41" s="73"/>
      <c r="F41" s="73"/>
      <c r="G41" s="73"/>
      <c r="H41" s="73"/>
      <c r="I41" s="73"/>
      <c r="J41" s="73"/>
      <c r="K41" s="73"/>
      <c r="L41" s="73"/>
      <c r="M41" s="73"/>
      <c r="N41" s="73"/>
      <c r="O41" s="73"/>
      <c r="P41" s="73"/>
      <c r="Q41" s="73"/>
      <c r="R41" s="73"/>
      <c r="S41" s="73"/>
      <c r="T41" s="73"/>
      <c r="U41" s="73"/>
    </row>
    <row r="42" spans="1:21" x14ac:dyDescent="0.3">
      <c r="A42" s="32" t="s">
        <v>486</v>
      </c>
      <c r="B42" s="72">
        <v>753</v>
      </c>
      <c r="C42" s="72">
        <v>229192.46999999997</v>
      </c>
      <c r="D42" s="73"/>
      <c r="E42" s="73"/>
      <c r="F42" s="73"/>
      <c r="G42" s="73"/>
      <c r="H42" s="73"/>
      <c r="I42" s="73"/>
      <c r="J42" s="73"/>
      <c r="K42" s="73"/>
      <c r="L42" s="73"/>
      <c r="M42" s="73"/>
      <c r="N42" s="73"/>
      <c r="O42" s="73"/>
      <c r="P42" s="73"/>
      <c r="Q42" s="73"/>
      <c r="R42" s="73"/>
      <c r="S42" s="73"/>
      <c r="T42" s="73"/>
      <c r="U42" s="73"/>
    </row>
    <row r="43" spans="1:21" x14ac:dyDescent="0.3">
      <c r="A43" s="73"/>
      <c r="B43" s="73"/>
      <c r="C43" s="73"/>
      <c r="D43" s="73"/>
      <c r="E43" s="73"/>
      <c r="F43" s="73"/>
      <c r="G43" s="73"/>
      <c r="H43" s="73"/>
      <c r="I43" s="73"/>
      <c r="J43" s="73"/>
      <c r="K43" s="73"/>
      <c r="L43" s="73"/>
      <c r="M43" s="73"/>
      <c r="N43" s="73"/>
      <c r="O43" s="73"/>
      <c r="P43" s="73"/>
      <c r="Q43" s="73"/>
      <c r="R43" s="73"/>
      <c r="S43" s="73"/>
      <c r="T43" s="73"/>
      <c r="U43" s="73"/>
    </row>
    <row r="44" spans="1:21" x14ac:dyDescent="0.3">
      <c r="A44" s="73"/>
      <c r="B44" s="73"/>
      <c r="C44" s="73"/>
      <c r="D44" s="73"/>
      <c r="E44" s="73"/>
      <c r="F44" s="73"/>
      <c r="G44" s="73"/>
      <c r="H44" s="73"/>
      <c r="I44" s="73"/>
      <c r="J44" s="73"/>
      <c r="K44" s="73"/>
      <c r="L44" s="73"/>
      <c r="M44" s="73"/>
      <c r="N44" s="73"/>
      <c r="O44" s="73"/>
      <c r="P44" s="73"/>
      <c r="Q44" s="73"/>
      <c r="R44" s="73"/>
      <c r="S44" s="73"/>
      <c r="T44" s="73"/>
      <c r="U44" s="73"/>
    </row>
    <row r="45" spans="1:21" x14ac:dyDescent="0.3">
      <c r="A45" s="73"/>
      <c r="B45" s="73"/>
      <c r="C45" s="73"/>
      <c r="D45" s="73"/>
      <c r="E45" s="73"/>
      <c r="F45" s="73"/>
      <c r="G45" s="73"/>
      <c r="H45" s="73"/>
      <c r="I45" s="73"/>
      <c r="J45" s="73"/>
      <c r="K45" s="73"/>
      <c r="L45" s="73"/>
      <c r="M45" s="73"/>
      <c r="N45" s="73"/>
      <c r="O45" s="73"/>
      <c r="P45" s="73"/>
      <c r="Q45" s="73"/>
      <c r="R45" s="73"/>
      <c r="S45" s="73"/>
      <c r="T45" s="73"/>
      <c r="U45" s="73"/>
    </row>
    <row r="46" spans="1:21" x14ac:dyDescent="0.3">
      <c r="A46" s="73"/>
      <c r="B46" s="73"/>
      <c r="C46" s="73"/>
      <c r="D46" s="73"/>
      <c r="E46" s="73"/>
      <c r="F46" s="73"/>
      <c r="G46" s="73"/>
      <c r="H46" s="73"/>
      <c r="I46" s="73"/>
      <c r="J46" s="73"/>
      <c r="K46" s="73"/>
      <c r="L46" s="73"/>
      <c r="M46" s="73"/>
      <c r="N46" s="73"/>
      <c r="O46" s="73"/>
      <c r="P46" s="73"/>
      <c r="Q46" s="73"/>
      <c r="R46" s="73"/>
      <c r="S46" s="73"/>
      <c r="T46" s="73"/>
      <c r="U46" s="73"/>
    </row>
    <row r="47" spans="1:21" x14ac:dyDescent="0.3">
      <c r="A47" s="73"/>
      <c r="B47" s="73"/>
      <c r="C47" s="73"/>
      <c r="D47" s="73"/>
      <c r="E47" s="73"/>
      <c r="F47" s="73"/>
      <c r="G47" s="73"/>
      <c r="H47" s="73"/>
      <c r="I47" s="73"/>
      <c r="J47" s="73"/>
      <c r="K47" s="73"/>
      <c r="L47" s="73"/>
      <c r="M47" s="73"/>
      <c r="N47" s="73"/>
      <c r="O47" s="73"/>
      <c r="P47" s="73"/>
      <c r="Q47" s="73"/>
      <c r="R47" s="73"/>
      <c r="S47" s="73"/>
      <c r="T47" s="73"/>
      <c r="U47" s="73"/>
    </row>
  </sheetData>
  <mergeCells count="4">
    <mergeCell ref="A1:D1"/>
    <mergeCell ref="A12:D12"/>
    <mergeCell ref="A20:D20"/>
    <mergeCell ref="A29:B29"/>
  </mergeCells>
  <pageMargins left="0.7" right="0.7" top="0.75" bottom="0.75" header="0.3" footer="0.3"/>
  <drawing r:id="rId5"/>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CF122-EEF0-4BA0-B4D1-177C096D16A4}">
  <dimension ref="A1:T45"/>
  <sheetViews>
    <sheetView showGridLines="0" zoomScale="85" workbookViewId="0">
      <selection activeCell="B39" sqref="B39"/>
    </sheetView>
  </sheetViews>
  <sheetFormatPr defaultRowHeight="14.4" x14ac:dyDescent="0.3"/>
  <cols>
    <col min="1" max="1" width="33.5546875" customWidth="1"/>
    <col min="2" max="2" width="13.21875" customWidth="1"/>
    <col min="4" max="4" width="19.44140625" customWidth="1"/>
    <col min="7" max="7" width="16" customWidth="1"/>
    <col min="10" max="10" width="28.21875" customWidth="1"/>
    <col min="11" max="11" width="10.88671875" customWidth="1"/>
  </cols>
  <sheetData>
    <row r="1" spans="1:20" ht="63.6" thickBot="1" x14ac:dyDescent="1.25">
      <c r="A1" s="76" t="s">
        <v>493</v>
      </c>
      <c r="B1" s="77"/>
      <c r="C1" s="77"/>
      <c r="D1" s="77"/>
      <c r="E1" s="77"/>
      <c r="F1" s="77"/>
      <c r="G1" s="77"/>
      <c r="H1" s="77"/>
      <c r="I1" s="77"/>
      <c r="J1" s="77"/>
      <c r="K1" s="77"/>
      <c r="L1" s="77"/>
      <c r="M1" s="77"/>
      <c r="N1" s="77"/>
      <c r="O1" s="77"/>
      <c r="P1" s="77"/>
      <c r="Q1" s="77"/>
      <c r="R1" s="77"/>
      <c r="S1" s="77"/>
      <c r="T1" s="78"/>
    </row>
    <row r="2" spans="1:20" ht="15" thickBot="1" x14ac:dyDescent="0.35">
      <c r="A2" s="83"/>
      <c r="B2" s="83"/>
      <c r="C2" s="83"/>
      <c r="D2" s="83"/>
      <c r="E2" s="83"/>
      <c r="F2" s="83"/>
      <c r="G2" s="83"/>
      <c r="H2" s="83"/>
      <c r="I2" s="83"/>
      <c r="J2" s="83"/>
      <c r="K2" s="83"/>
      <c r="L2" s="83"/>
      <c r="M2" s="83"/>
      <c r="N2" s="83"/>
      <c r="O2" s="83"/>
      <c r="P2" s="83"/>
      <c r="Q2" s="83"/>
      <c r="R2" s="83"/>
      <c r="S2" s="83"/>
      <c r="T2" s="83"/>
    </row>
    <row r="3" spans="1:20" ht="18" x14ac:dyDescent="0.35">
      <c r="A3" s="79" t="s">
        <v>459</v>
      </c>
      <c r="B3" s="82"/>
      <c r="C3" s="82"/>
      <c r="D3" s="79" t="s">
        <v>460</v>
      </c>
      <c r="E3" s="82"/>
      <c r="F3" s="82"/>
      <c r="G3" s="79" t="s">
        <v>494</v>
      </c>
      <c r="H3" s="82"/>
      <c r="I3" s="82"/>
      <c r="J3" s="79" t="s">
        <v>462</v>
      </c>
      <c r="K3" s="83"/>
      <c r="L3" s="83"/>
      <c r="M3" s="83"/>
      <c r="N3" s="83"/>
      <c r="O3" s="83"/>
      <c r="P3" s="83"/>
      <c r="Q3" s="83"/>
      <c r="R3" s="83"/>
      <c r="S3" s="83"/>
      <c r="T3" s="83"/>
    </row>
    <row r="4" spans="1:20" ht="18.600000000000001" thickBot="1" x14ac:dyDescent="0.4">
      <c r="A4" s="80">
        <f>SUM(DataSet!N2:N251)</f>
        <v>229192.47000000032</v>
      </c>
      <c r="B4" s="82"/>
      <c r="C4" s="82"/>
      <c r="D4" s="80">
        <f>COUNTA(DataSet!A2:A251)</f>
        <v>250</v>
      </c>
      <c r="E4" s="82"/>
      <c r="F4" s="82"/>
      <c r="G4" s="80">
        <f>SUM(DataSet!H2:H251)</f>
        <v>753</v>
      </c>
      <c r="H4" s="82"/>
      <c r="I4" s="82"/>
      <c r="J4" s="81">
        <f>AVERAGE(DataSet!N2:N251)</f>
        <v>916.76988000000131</v>
      </c>
      <c r="K4" s="83"/>
      <c r="L4" s="83"/>
      <c r="M4" s="83"/>
      <c r="N4" s="83"/>
      <c r="O4" s="83"/>
      <c r="P4" s="83"/>
      <c r="Q4" s="83"/>
      <c r="R4" s="83"/>
      <c r="S4" s="83"/>
      <c r="T4" s="83"/>
    </row>
    <row r="5" spans="1:20" x14ac:dyDescent="0.3">
      <c r="A5" s="83"/>
      <c r="B5" s="83"/>
      <c r="C5" s="83"/>
      <c r="D5" s="83"/>
      <c r="E5" s="83"/>
      <c r="F5" s="83"/>
      <c r="G5" s="83"/>
      <c r="H5" s="83"/>
      <c r="I5" s="83"/>
      <c r="J5" s="83"/>
      <c r="K5" s="83"/>
      <c r="L5" s="83"/>
      <c r="M5" s="83"/>
      <c r="N5" s="83"/>
      <c r="O5" s="83"/>
      <c r="P5" s="83"/>
      <c r="Q5" s="83"/>
      <c r="R5" s="83"/>
      <c r="S5" s="83"/>
      <c r="T5" s="83"/>
    </row>
    <row r="6" spans="1:20" x14ac:dyDescent="0.3">
      <c r="A6" s="83"/>
      <c r="B6" s="83"/>
      <c r="C6" s="83"/>
      <c r="D6" s="83"/>
      <c r="E6" s="83"/>
      <c r="F6" s="83"/>
      <c r="G6" s="83"/>
      <c r="H6" s="83"/>
      <c r="I6" s="83"/>
      <c r="J6" s="83"/>
      <c r="K6" s="83"/>
      <c r="L6" s="83"/>
      <c r="M6" s="83"/>
      <c r="N6" s="83"/>
      <c r="O6" s="83"/>
      <c r="P6" s="83"/>
      <c r="Q6" s="83"/>
      <c r="R6" s="83"/>
      <c r="S6" s="83"/>
      <c r="T6" s="83"/>
    </row>
    <row r="7" spans="1:20" x14ac:dyDescent="0.3">
      <c r="A7" s="83"/>
      <c r="B7" s="83"/>
      <c r="C7" s="83"/>
      <c r="D7" s="83"/>
      <c r="E7" s="83"/>
      <c r="F7" s="83"/>
      <c r="G7" s="83"/>
      <c r="H7" s="83"/>
      <c r="I7" s="83"/>
      <c r="J7" s="83"/>
      <c r="K7" s="83"/>
      <c r="L7" s="83"/>
      <c r="M7" s="83"/>
      <c r="N7" s="83"/>
      <c r="O7" s="83"/>
      <c r="P7" s="83"/>
      <c r="Q7" s="83"/>
      <c r="R7" s="83"/>
      <c r="S7" s="83"/>
      <c r="T7" s="83"/>
    </row>
    <row r="8" spans="1:20" x14ac:dyDescent="0.3">
      <c r="A8" s="83"/>
      <c r="B8" s="83"/>
      <c r="C8" s="83"/>
      <c r="D8" s="83"/>
      <c r="E8" s="83"/>
      <c r="F8" s="83"/>
      <c r="G8" s="83"/>
      <c r="H8" s="83"/>
      <c r="I8" s="83"/>
      <c r="J8" s="83"/>
      <c r="K8" s="83"/>
      <c r="L8" s="83"/>
      <c r="M8" s="83"/>
      <c r="N8" s="83"/>
      <c r="O8" s="83"/>
      <c r="P8" s="83"/>
      <c r="Q8" s="83"/>
      <c r="R8" s="83"/>
      <c r="S8" s="83"/>
      <c r="T8" s="83"/>
    </row>
    <row r="9" spans="1:20" x14ac:dyDescent="0.3">
      <c r="A9" s="83"/>
      <c r="B9" s="83"/>
      <c r="C9" s="83"/>
      <c r="D9" s="83"/>
      <c r="E9" s="83"/>
      <c r="F9" s="83"/>
      <c r="G9" s="83"/>
      <c r="H9" s="83"/>
      <c r="I9" s="83"/>
      <c r="J9" s="83"/>
      <c r="K9" s="83"/>
      <c r="L9" s="83"/>
      <c r="M9" s="83"/>
      <c r="N9" s="83"/>
      <c r="O9" s="83"/>
      <c r="P9" s="83"/>
      <c r="Q9" s="83"/>
      <c r="R9" s="83"/>
      <c r="S9" s="83"/>
      <c r="T9" s="83"/>
    </row>
    <row r="10" spans="1:20" x14ac:dyDescent="0.3">
      <c r="A10" s="83"/>
      <c r="B10" s="83"/>
      <c r="C10" s="83"/>
      <c r="D10" s="83"/>
      <c r="E10" s="83"/>
      <c r="F10" s="83"/>
      <c r="G10" s="83"/>
      <c r="H10" s="83"/>
      <c r="I10" s="83"/>
      <c r="J10" s="83"/>
      <c r="K10" s="83"/>
      <c r="L10" s="83"/>
      <c r="M10" s="83"/>
      <c r="N10" s="83"/>
      <c r="O10" s="83"/>
      <c r="P10" s="83"/>
      <c r="Q10" s="83"/>
      <c r="R10" s="83"/>
      <c r="S10" s="83"/>
      <c r="T10" s="83"/>
    </row>
    <row r="11" spans="1:20" x14ac:dyDescent="0.3">
      <c r="A11" s="83"/>
      <c r="B11" s="83"/>
      <c r="C11" s="83"/>
      <c r="D11" s="83"/>
      <c r="E11" s="83"/>
      <c r="F11" s="83"/>
      <c r="G11" s="83"/>
      <c r="H11" s="83"/>
      <c r="I11" s="83"/>
      <c r="J11" s="83"/>
      <c r="K11" s="83"/>
      <c r="L11" s="83"/>
      <c r="M11" s="83"/>
      <c r="N11" s="83"/>
      <c r="O11" s="83"/>
      <c r="P11" s="83"/>
      <c r="Q11" s="83"/>
      <c r="R11" s="83"/>
      <c r="S11" s="83"/>
      <c r="T11" s="83"/>
    </row>
    <row r="12" spans="1:20" x14ac:dyDescent="0.3">
      <c r="A12" s="83"/>
      <c r="B12" s="83"/>
      <c r="C12" s="83"/>
      <c r="D12" s="83"/>
      <c r="E12" s="83"/>
      <c r="F12" s="83"/>
      <c r="G12" s="83"/>
      <c r="H12" s="83"/>
      <c r="I12" s="83"/>
      <c r="J12" s="83"/>
      <c r="K12" s="83"/>
      <c r="L12" s="83"/>
      <c r="M12" s="83"/>
      <c r="N12" s="83"/>
      <c r="O12" s="83"/>
      <c r="P12" s="83"/>
      <c r="Q12" s="83"/>
      <c r="R12" s="83"/>
      <c r="S12" s="83"/>
      <c r="T12" s="83"/>
    </row>
    <row r="13" spans="1:20" x14ac:dyDescent="0.3">
      <c r="A13" s="83"/>
      <c r="B13" s="83"/>
      <c r="C13" s="83"/>
      <c r="D13" s="83"/>
      <c r="E13" s="83"/>
      <c r="F13" s="83"/>
      <c r="G13" s="83"/>
      <c r="H13" s="83"/>
      <c r="I13" s="83"/>
      <c r="J13" s="83"/>
      <c r="K13" s="83"/>
      <c r="L13" s="83"/>
      <c r="M13" s="83"/>
      <c r="N13" s="83"/>
      <c r="O13" s="83"/>
      <c r="P13" s="83"/>
      <c r="Q13" s="83"/>
      <c r="R13" s="83"/>
      <c r="S13" s="83"/>
      <c r="T13" s="83"/>
    </row>
    <row r="14" spans="1:20" x14ac:dyDescent="0.3">
      <c r="A14" s="83"/>
      <c r="B14" s="83"/>
      <c r="C14" s="83"/>
      <c r="D14" s="83"/>
      <c r="E14" s="83"/>
      <c r="F14" s="83"/>
      <c r="G14" s="83"/>
      <c r="H14" s="83"/>
      <c r="I14" s="83"/>
      <c r="J14" s="83"/>
      <c r="K14" s="83"/>
      <c r="L14" s="83"/>
      <c r="M14" s="83"/>
      <c r="N14" s="83"/>
      <c r="O14" s="83"/>
      <c r="P14" s="83"/>
      <c r="Q14" s="83"/>
      <c r="R14" s="83"/>
      <c r="S14" s="83"/>
      <c r="T14" s="83"/>
    </row>
    <row r="15" spans="1:20" x14ac:dyDescent="0.3">
      <c r="A15" s="83"/>
      <c r="B15" s="83"/>
      <c r="C15" s="83"/>
      <c r="D15" s="83"/>
      <c r="E15" s="83"/>
      <c r="F15" s="83"/>
      <c r="G15" s="83"/>
      <c r="H15" s="83"/>
      <c r="I15" s="83"/>
      <c r="J15" s="83"/>
      <c r="K15" s="83"/>
      <c r="L15" s="83"/>
      <c r="M15" s="83"/>
      <c r="N15" s="83"/>
      <c r="O15" s="83"/>
      <c r="P15" s="83"/>
      <c r="Q15" s="83"/>
      <c r="R15" s="83"/>
      <c r="S15" s="83"/>
      <c r="T15" s="83"/>
    </row>
    <row r="16" spans="1:20" x14ac:dyDescent="0.3">
      <c r="A16" s="83"/>
      <c r="B16" s="83"/>
      <c r="C16" s="83"/>
      <c r="D16" s="83"/>
      <c r="E16" s="83"/>
      <c r="F16" s="83"/>
      <c r="G16" s="83"/>
      <c r="H16" s="83"/>
      <c r="I16" s="83"/>
      <c r="J16" s="83"/>
      <c r="K16" s="83"/>
      <c r="L16" s="83"/>
      <c r="M16" s="83"/>
      <c r="N16" s="83"/>
      <c r="O16" s="83"/>
      <c r="P16" s="83"/>
      <c r="Q16" s="83"/>
      <c r="R16" s="83"/>
      <c r="S16" s="83"/>
      <c r="T16" s="83"/>
    </row>
    <row r="17" spans="1:20" x14ac:dyDescent="0.3">
      <c r="A17" s="83"/>
      <c r="B17" s="83"/>
      <c r="C17" s="83"/>
      <c r="D17" s="83"/>
      <c r="E17" s="83"/>
      <c r="F17" s="83"/>
      <c r="G17" s="83"/>
      <c r="H17" s="83"/>
      <c r="I17" s="83"/>
      <c r="J17" s="83"/>
      <c r="K17" s="83"/>
      <c r="L17" s="83"/>
      <c r="M17" s="83"/>
      <c r="N17" s="83"/>
      <c r="O17" s="83"/>
      <c r="P17" s="83"/>
      <c r="Q17" s="83"/>
      <c r="R17" s="83"/>
      <c r="S17" s="83"/>
      <c r="T17" s="83"/>
    </row>
    <row r="18" spans="1:20" x14ac:dyDescent="0.3">
      <c r="A18" s="83"/>
      <c r="B18" s="83"/>
      <c r="C18" s="83"/>
      <c r="D18" s="83"/>
      <c r="E18" s="83"/>
      <c r="F18" s="83"/>
      <c r="G18" s="83"/>
      <c r="H18" s="83"/>
      <c r="I18" s="83"/>
      <c r="J18" s="83"/>
      <c r="K18" s="83"/>
      <c r="L18" s="83"/>
      <c r="M18" s="83"/>
      <c r="N18" s="83"/>
      <c r="O18" s="83"/>
      <c r="P18" s="83"/>
      <c r="Q18" s="83"/>
      <c r="R18" s="83"/>
      <c r="S18" s="83"/>
      <c r="T18" s="83"/>
    </row>
    <row r="19" spans="1:20" x14ac:dyDescent="0.3">
      <c r="A19" s="83"/>
      <c r="B19" s="83"/>
      <c r="C19" s="83"/>
      <c r="D19" s="83"/>
      <c r="E19" s="83"/>
      <c r="F19" s="83"/>
      <c r="G19" s="83"/>
      <c r="H19" s="83"/>
      <c r="I19" s="83"/>
      <c r="J19" s="83"/>
      <c r="K19" s="83"/>
      <c r="L19" s="83"/>
      <c r="M19" s="83"/>
      <c r="N19" s="83"/>
      <c r="O19" s="83"/>
      <c r="P19" s="83"/>
      <c r="Q19" s="83"/>
      <c r="R19" s="83"/>
      <c r="S19" s="83"/>
      <c r="T19" s="83"/>
    </row>
    <row r="20" spans="1:20" x14ac:dyDescent="0.3">
      <c r="A20" s="83"/>
      <c r="B20" s="83"/>
      <c r="C20" s="83"/>
      <c r="D20" s="83"/>
      <c r="E20" s="83"/>
      <c r="F20" s="83"/>
      <c r="G20" s="83"/>
      <c r="H20" s="83"/>
      <c r="I20" s="83"/>
      <c r="J20" s="83"/>
      <c r="K20" s="83"/>
      <c r="L20" s="83"/>
      <c r="M20" s="83"/>
      <c r="N20" s="83"/>
      <c r="O20" s="83"/>
      <c r="P20" s="83"/>
      <c r="Q20" s="83"/>
      <c r="R20" s="83"/>
      <c r="S20" s="83"/>
      <c r="T20" s="83"/>
    </row>
    <row r="21" spans="1:20" x14ac:dyDescent="0.3">
      <c r="A21" s="83"/>
      <c r="B21" s="83"/>
      <c r="C21" s="83"/>
      <c r="D21" s="83"/>
      <c r="E21" s="83"/>
      <c r="F21" s="83"/>
      <c r="G21" s="83"/>
      <c r="H21" s="83"/>
      <c r="I21" s="83"/>
      <c r="J21" s="83"/>
      <c r="K21" s="83"/>
      <c r="L21" s="83"/>
      <c r="M21" s="83"/>
      <c r="N21" s="83"/>
      <c r="O21" s="83"/>
      <c r="P21" s="83"/>
      <c r="Q21" s="83"/>
      <c r="R21" s="83"/>
      <c r="S21" s="83"/>
      <c r="T21" s="83"/>
    </row>
    <row r="22" spans="1:20" x14ac:dyDescent="0.3">
      <c r="A22" s="83"/>
      <c r="B22" s="83"/>
      <c r="C22" s="83"/>
      <c r="D22" s="83"/>
      <c r="E22" s="83"/>
      <c r="F22" s="83"/>
      <c r="G22" s="83"/>
      <c r="H22" s="83"/>
      <c r="I22" s="83"/>
      <c r="J22" s="83"/>
      <c r="K22" s="83"/>
      <c r="L22" s="83"/>
      <c r="M22" s="83"/>
      <c r="N22" s="83"/>
      <c r="O22" s="83"/>
      <c r="P22" s="83"/>
      <c r="Q22" s="83"/>
      <c r="R22" s="83"/>
      <c r="S22" s="83"/>
      <c r="T22" s="83"/>
    </row>
    <row r="23" spans="1:20" x14ac:dyDescent="0.3">
      <c r="A23" s="83"/>
      <c r="B23" s="83"/>
      <c r="C23" s="83"/>
      <c r="D23" s="83"/>
      <c r="E23" s="83"/>
      <c r="F23" s="83"/>
      <c r="G23" s="83"/>
      <c r="H23" s="83"/>
      <c r="I23" s="83"/>
      <c r="J23" s="83"/>
      <c r="K23" s="83"/>
      <c r="L23" s="83"/>
      <c r="M23" s="83"/>
      <c r="N23" s="83"/>
      <c r="O23" s="83"/>
      <c r="P23" s="83"/>
      <c r="Q23" s="83"/>
      <c r="R23" s="83"/>
      <c r="S23" s="83"/>
      <c r="T23" s="83"/>
    </row>
    <row r="24" spans="1:20" x14ac:dyDescent="0.3">
      <c r="A24" s="83"/>
      <c r="B24" s="83"/>
      <c r="C24" s="83"/>
      <c r="D24" s="83"/>
      <c r="E24" s="83"/>
      <c r="F24" s="83"/>
      <c r="G24" s="83"/>
      <c r="H24" s="83"/>
      <c r="I24" s="83"/>
      <c r="J24" s="83"/>
      <c r="K24" s="83"/>
      <c r="L24" s="83"/>
      <c r="M24" s="83"/>
      <c r="N24" s="83"/>
      <c r="O24" s="83"/>
      <c r="P24" s="83"/>
      <c r="Q24" s="83"/>
      <c r="R24" s="83"/>
      <c r="S24" s="83"/>
      <c r="T24" s="83"/>
    </row>
    <row r="25" spans="1:20" ht="15" thickBot="1" x14ac:dyDescent="0.35">
      <c r="A25" s="83"/>
      <c r="B25" s="83"/>
      <c r="C25" s="83"/>
      <c r="D25" s="83"/>
      <c r="E25" s="83"/>
      <c r="F25" s="83"/>
      <c r="G25" s="83"/>
      <c r="H25" s="83"/>
      <c r="I25" s="83"/>
      <c r="J25" s="83"/>
      <c r="K25" s="83"/>
      <c r="L25" s="83"/>
      <c r="M25" s="83"/>
      <c r="N25" s="83"/>
      <c r="O25" s="83"/>
      <c r="P25" s="83"/>
      <c r="Q25" s="83"/>
      <c r="R25" s="83"/>
      <c r="S25" s="83"/>
      <c r="T25" s="83"/>
    </row>
    <row r="26" spans="1:20" ht="18.600000000000001" thickBot="1" x14ac:dyDescent="0.4">
      <c r="A26" s="84" t="s">
        <v>495</v>
      </c>
      <c r="B26" s="85"/>
      <c r="C26" s="83"/>
      <c r="D26" s="83"/>
      <c r="E26" s="83"/>
      <c r="F26" s="83"/>
      <c r="G26" s="83"/>
      <c r="H26" s="83"/>
      <c r="I26" s="83"/>
      <c r="J26" s="83"/>
      <c r="K26" s="83"/>
      <c r="L26" s="83"/>
      <c r="M26" s="83"/>
      <c r="N26" s="83"/>
      <c r="O26" s="83"/>
      <c r="P26" s="83"/>
      <c r="Q26" s="83"/>
      <c r="R26" s="83"/>
      <c r="S26" s="83"/>
      <c r="T26" s="83"/>
    </row>
    <row r="27" spans="1:20" ht="15" thickBot="1" x14ac:dyDescent="0.35">
      <c r="A27" s="83"/>
      <c r="B27" s="83"/>
      <c r="C27" s="83"/>
      <c r="D27" s="83"/>
      <c r="E27" s="83"/>
      <c r="F27" s="83"/>
      <c r="G27" s="83"/>
      <c r="H27" s="83"/>
      <c r="I27" s="83"/>
      <c r="J27" s="83"/>
      <c r="K27" s="83"/>
      <c r="L27" s="83"/>
      <c r="M27" s="83"/>
      <c r="N27" s="83"/>
      <c r="O27" s="83"/>
      <c r="P27" s="83"/>
      <c r="Q27" s="83"/>
      <c r="R27" s="83"/>
      <c r="S27" s="83"/>
      <c r="T27" s="83"/>
    </row>
    <row r="28" spans="1:20" ht="18.600000000000001" thickBot="1" x14ac:dyDescent="0.4">
      <c r="A28" s="99" t="s">
        <v>496</v>
      </c>
      <c r="B28" s="100" t="s">
        <v>401</v>
      </c>
      <c r="C28" s="83"/>
      <c r="D28" s="83"/>
      <c r="E28" s="83"/>
      <c r="F28" s="83"/>
      <c r="G28" s="83"/>
      <c r="H28" s="83"/>
      <c r="I28" s="83"/>
      <c r="J28" s="83"/>
      <c r="K28" s="83"/>
      <c r="L28" s="83"/>
      <c r="M28" s="83"/>
      <c r="N28" s="83"/>
      <c r="O28" s="83"/>
      <c r="P28" s="83"/>
      <c r="Q28" s="83"/>
      <c r="R28" s="83"/>
      <c r="S28" s="83"/>
      <c r="T28" s="83"/>
    </row>
    <row r="29" spans="1:20" x14ac:dyDescent="0.3">
      <c r="A29" s="96" t="s">
        <v>497</v>
      </c>
      <c r="B29" s="93">
        <f>SUM(DataSet!N2:N251)</f>
        <v>229192.47000000032</v>
      </c>
      <c r="C29" s="83"/>
      <c r="D29" s="83"/>
      <c r="E29" s="83"/>
      <c r="F29" s="83"/>
      <c r="G29" s="83"/>
      <c r="H29" s="83"/>
      <c r="I29" s="83"/>
      <c r="J29" s="83"/>
      <c r="K29" s="83"/>
      <c r="L29" s="83"/>
      <c r="M29" s="83"/>
      <c r="N29" s="83"/>
      <c r="O29" s="83"/>
      <c r="P29" s="83"/>
      <c r="Q29" s="83"/>
      <c r="R29" s="83"/>
      <c r="S29" s="83"/>
      <c r="T29" s="83"/>
    </row>
    <row r="30" spans="1:20" x14ac:dyDescent="0.3">
      <c r="A30" s="97" t="s">
        <v>460</v>
      </c>
      <c r="B30" s="94">
        <f>COUNTA(DataSet!A2:A251)</f>
        <v>250</v>
      </c>
      <c r="C30" s="83"/>
      <c r="D30" s="83"/>
      <c r="E30" s="83"/>
      <c r="F30" s="83"/>
      <c r="G30" s="83"/>
      <c r="H30" s="83"/>
      <c r="I30" s="83"/>
      <c r="J30" s="83"/>
      <c r="K30" s="83"/>
      <c r="L30" s="83"/>
      <c r="M30" s="83"/>
      <c r="N30" s="83"/>
      <c r="O30" s="83"/>
      <c r="P30" s="83"/>
      <c r="Q30" s="83"/>
      <c r="R30" s="83"/>
      <c r="S30" s="83"/>
      <c r="T30" s="83"/>
    </row>
    <row r="31" spans="1:20" x14ac:dyDescent="0.3">
      <c r="A31" s="97" t="s">
        <v>498</v>
      </c>
      <c r="B31" s="94">
        <f>SUM(DataSet!H2:H251)</f>
        <v>753</v>
      </c>
      <c r="C31" s="83"/>
      <c r="D31" s="83"/>
      <c r="E31" s="83"/>
      <c r="F31" s="83"/>
      <c r="G31" s="83"/>
      <c r="H31" s="83"/>
      <c r="I31" s="83"/>
      <c r="J31" s="83"/>
      <c r="K31" s="83"/>
      <c r="L31" s="83"/>
      <c r="M31" s="83"/>
      <c r="N31" s="83"/>
      <c r="O31" s="83"/>
      <c r="P31" s="83"/>
      <c r="Q31" s="83"/>
      <c r="R31" s="83"/>
      <c r="S31" s="83"/>
      <c r="T31" s="83"/>
    </row>
    <row r="32" spans="1:20" x14ac:dyDescent="0.3">
      <c r="A32" s="97" t="s">
        <v>462</v>
      </c>
      <c r="B32" s="94">
        <f>AVERAGE(DataSet!N2:N251)</f>
        <v>916.76988000000131</v>
      </c>
      <c r="C32" s="83"/>
      <c r="D32" s="83"/>
      <c r="E32" s="83"/>
      <c r="F32" s="83"/>
      <c r="G32" s="83"/>
      <c r="H32" s="83"/>
      <c r="I32" s="83"/>
      <c r="J32" s="83"/>
      <c r="K32" s="83"/>
      <c r="L32" s="83"/>
      <c r="M32" s="83"/>
      <c r="N32" s="83"/>
      <c r="O32" s="83"/>
      <c r="P32" s="83"/>
      <c r="Q32" s="83"/>
      <c r="R32" s="83"/>
      <c r="S32" s="83"/>
      <c r="T32" s="83"/>
    </row>
    <row r="33" spans="1:20" x14ac:dyDescent="0.3">
      <c r="A33" s="97" t="s">
        <v>499</v>
      </c>
      <c r="B33" s="94" t="str">
        <f>'Main Task'!E449</f>
        <v>Mark Carter</v>
      </c>
      <c r="C33" s="83"/>
      <c r="D33" s="83"/>
      <c r="E33" s="83"/>
      <c r="F33" s="83"/>
      <c r="G33" s="83"/>
      <c r="H33" s="83"/>
      <c r="I33" s="83"/>
      <c r="J33" s="83"/>
      <c r="K33" s="83"/>
      <c r="L33" s="83"/>
      <c r="M33" s="83"/>
      <c r="N33" s="83"/>
      <c r="O33" s="83"/>
      <c r="P33" s="83"/>
      <c r="Q33" s="83"/>
      <c r="R33" s="83"/>
      <c r="S33" s="83"/>
      <c r="T33" s="83"/>
    </row>
    <row r="34" spans="1:20" x14ac:dyDescent="0.3">
      <c r="A34" s="97" t="s">
        <v>500</v>
      </c>
      <c r="B34" s="94" t="str">
        <f>'Main Task'!E456</f>
        <v>Bookshelf</v>
      </c>
      <c r="C34" s="83"/>
      <c r="D34" s="83"/>
      <c r="E34" s="83"/>
      <c r="F34" s="83"/>
      <c r="G34" s="83"/>
      <c r="H34" s="83"/>
      <c r="I34" s="83"/>
      <c r="J34" s="83"/>
      <c r="K34" s="83"/>
      <c r="L34" s="83"/>
      <c r="M34" s="83"/>
      <c r="N34" s="83"/>
      <c r="O34" s="83"/>
      <c r="P34" s="83"/>
      <c r="Q34" s="83"/>
      <c r="R34" s="83"/>
      <c r="S34" s="83"/>
      <c r="T34" s="83"/>
    </row>
    <row r="35" spans="1:20" x14ac:dyDescent="0.3">
      <c r="A35" s="97"/>
      <c r="B35" s="94"/>
      <c r="C35" s="83"/>
      <c r="D35" s="83"/>
      <c r="E35" s="83"/>
      <c r="F35" s="83"/>
      <c r="G35" s="83"/>
      <c r="H35" s="83"/>
      <c r="I35" s="83"/>
      <c r="J35" s="83"/>
      <c r="K35" s="83"/>
      <c r="L35" s="83"/>
      <c r="M35" s="83"/>
      <c r="N35" s="83"/>
      <c r="O35" s="83"/>
      <c r="P35" s="83"/>
      <c r="Q35" s="83"/>
      <c r="R35" s="83"/>
      <c r="S35" s="83"/>
      <c r="T35" s="83"/>
    </row>
    <row r="36" spans="1:20" x14ac:dyDescent="0.3">
      <c r="A36" s="97"/>
      <c r="B36" s="94"/>
      <c r="C36" s="83"/>
      <c r="D36" s="83"/>
      <c r="E36" s="83"/>
      <c r="F36" s="83"/>
      <c r="G36" s="83"/>
      <c r="H36" s="83"/>
      <c r="I36" s="83"/>
      <c r="J36" s="83"/>
      <c r="K36" s="83"/>
      <c r="L36" s="83"/>
      <c r="M36" s="83"/>
      <c r="N36" s="83"/>
      <c r="O36" s="83"/>
      <c r="P36" s="83"/>
      <c r="Q36" s="83"/>
      <c r="R36" s="83"/>
      <c r="S36" s="83"/>
      <c r="T36" s="83"/>
    </row>
    <row r="37" spans="1:20" x14ac:dyDescent="0.3">
      <c r="A37" s="97" t="s">
        <v>501</v>
      </c>
      <c r="B37" s="94" t="str">
        <f>INDEX('Main Task'!D463:D467,MATCH(MAX('Main Task'!E463:E467),'Main Task'!E463:E467,0))</f>
        <v>East</v>
      </c>
      <c r="C37" s="83"/>
      <c r="D37" s="83"/>
      <c r="E37" s="83"/>
      <c r="F37" s="83"/>
      <c r="G37" s="83"/>
      <c r="H37" s="83"/>
      <c r="I37" s="83"/>
      <c r="J37" s="83"/>
      <c r="K37" s="83"/>
      <c r="L37" s="83"/>
      <c r="M37" s="83"/>
      <c r="N37" s="83"/>
      <c r="O37" s="83"/>
      <c r="P37" s="83"/>
      <c r="Q37" s="83"/>
      <c r="R37" s="83"/>
      <c r="S37" s="83"/>
      <c r="T37" s="83"/>
    </row>
    <row r="38" spans="1:20" x14ac:dyDescent="0.3">
      <c r="A38" s="97" t="s">
        <v>502</v>
      </c>
      <c r="B38" s="94">
        <f>COUNTIF(_xlfn.ANCHORARRAY('Main Task'!F473),"High-Value")</f>
        <v>24</v>
      </c>
      <c r="C38" s="83"/>
      <c r="D38" s="83"/>
      <c r="E38" s="83"/>
      <c r="F38" s="83"/>
      <c r="G38" s="83"/>
      <c r="H38" s="83"/>
      <c r="I38" s="83"/>
      <c r="J38" s="83"/>
      <c r="K38" s="83"/>
      <c r="L38" s="83"/>
      <c r="M38" s="83"/>
      <c r="N38" s="83"/>
      <c r="O38" s="83"/>
      <c r="P38" s="83"/>
      <c r="Q38" s="83"/>
      <c r="R38" s="83"/>
      <c r="S38" s="83"/>
      <c r="T38" s="83"/>
    </row>
    <row r="39" spans="1:20" ht="16.8" customHeight="1" thickBot="1" x14ac:dyDescent="0.35">
      <c r="A39" s="98" t="s">
        <v>503</v>
      </c>
      <c r="B39" s="95" t="str">
        <f>INDEX('Main Task'!D528:D537,MATCH("Most Frequent",'Main Task'!F528:F537,0))</f>
        <v>Bookshelf</v>
      </c>
      <c r="C39" s="83"/>
      <c r="D39" s="83"/>
      <c r="E39" s="83"/>
      <c r="F39" s="83"/>
      <c r="G39" s="83"/>
      <c r="H39" s="83"/>
      <c r="I39" s="83"/>
      <c r="J39" s="83"/>
      <c r="K39" s="83"/>
      <c r="L39" s="83"/>
      <c r="M39" s="83"/>
      <c r="N39" s="83"/>
      <c r="O39" s="83"/>
      <c r="P39" s="83"/>
      <c r="Q39" s="83"/>
      <c r="R39" s="83"/>
      <c r="S39" s="83"/>
      <c r="T39" s="83"/>
    </row>
    <row r="40" spans="1:20" ht="15" thickBot="1" x14ac:dyDescent="0.35">
      <c r="A40" s="83"/>
      <c r="B40" s="83"/>
      <c r="C40" s="83"/>
      <c r="D40" s="83"/>
      <c r="E40" s="83"/>
      <c r="F40" s="83"/>
      <c r="G40" s="83"/>
      <c r="H40" s="83"/>
      <c r="I40" s="83"/>
      <c r="J40" s="83"/>
      <c r="K40" s="83"/>
      <c r="L40" s="83"/>
      <c r="M40" s="83"/>
      <c r="N40" s="83"/>
      <c r="O40" s="83"/>
      <c r="P40" s="83"/>
      <c r="Q40" s="83"/>
      <c r="R40" s="83"/>
      <c r="S40" s="83"/>
      <c r="T40" s="83"/>
    </row>
    <row r="41" spans="1:20" ht="21.6" thickBot="1" x14ac:dyDescent="0.45">
      <c r="A41" s="86" t="s">
        <v>504</v>
      </c>
      <c r="B41" s="83"/>
      <c r="C41" s="83"/>
      <c r="D41" s="83"/>
      <c r="E41" s="83"/>
      <c r="F41" s="83"/>
      <c r="G41" s="83"/>
      <c r="H41" s="83"/>
      <c r="I41" s="83"/>
      <c r="J41" s="83"/>
      <c r="K41" s="83"/>
      <c r="L41" s="83"/>
      <c r="M41" s="83"/>
      <c r="N41" s="83"/>
      <c r="O41" s="83"/>
      <c r="P41" s="83"/>
      <c r="Q41" s="83"/>
      <c r="R41" s="83"/>
      <c r="S41" s="83"/>
      <c r="T41" s="83"/>
    </row>
    <row r="42" spans="1:20" ht="17.399999999999999" customHeight="1" thickBot="1" x14ac:dyDescent="0.35">
      <c r="A42" s="83"/>
      <c r="B42" s="83"/>
      <c r="C42" s="83"/>
      <c r="D42" s="83"/>
      <c r="E42" s="83"/>
      <c r="F42" s="83"/>
      <c r="G42" s="83"/>
      <c r="H42" s="83"/>
      <c r="I42" s="83"/>
      <c r="J42" s="83"/>
      <c r="K42" s="83"/>
      <c r="L42" s="83"/>
      <c r="M42" s="83"/>
      <c r="N42" s="83"/>
      <c r="O42" s="83"/>
      <c r="P42" s="83"/>
      <c r="Q42" s="83"/>
      <c r="R42" s="83"/>
      <c r="S42" s="83"/>
      <c r="T42" s="83"/>
    </row>
    <row r="43" spans="1:20" ht="18" x14ac:dyDescent="0.35">
      <c r="A43" s="87" t="s">
        <v>505</v>
      </c>
      <c r="B43" s="88"/>
      <c r="C43" s="88"/>
      <c r="D43" s="88"/>
      <c r="E43" s="88"/>
      <c r="F43" s="88"/>
      <c r="G43" s="88"/>
      <c r="H43" s="88"/>
      <c r="I43" s="88"/>
      <c r="J43" s="88"/>
      <c r="K43" s="89"/>
      <c r="L43" s="83"/>
      <c r="M43" s="83"/>
      <c r="N43" s="83"/>
      <c r="O43" s="83"/>
      <c r="P43" s="83"/>
      <c r="Q43" s="83"/>
      <c r="R43" s="83"/>
      <c r="S43" s="83"/>
      <c r="T43" s="83"/>
    </row>
    <row r="44" spans="1:20" ht="18.600000000000001" thickBot="1" x14ac:dyDescent="0.4">
      <c r="A44" s="90" t="s">
        <v>506</v>
      </c>
      <c r="B44" s="91"/>
      <c r="C44" s="91"/>
      <c r="D44" s="91"/>
      <c r="E44" s="91"/>
      <c r="F44" s="91"/>
      <c r="G44" s="91"/>
      <c r="H44" s="91"/>
      <c r="I44" s="91"/>
      <c r="J44" s="91"/>
      <c r="K44" s="92"/>
      <c r="L44" s="83"/>
      <c r="M44" s="83"/>
      <c r="N44" s="83"/>
      <c r="O44" s="83"/>
      <c r="P44" s="83"/>
      <c r="Q44" s="83"/>
      <c r="R44" s="83"/>
      <c r="S44" s="83"/>
      <c r="T44" s="83"/>
    </row>
    <row r="45" spans="1:20" x14ac:dyDescent="0.3">
      <c r="A45" s="83"/>
      <c r="B45" s="83"/>
      <c r="C45" s="83"/>
      <c r="D45" s="83"/>
      <c r="E45" s="83"/>
      <c r="F45" s="83"/>
      <c r="G45" s="83"/>
      <c r="H45" s="83"/>
      <c r="I45" s="83"/>
      <c r="J45" s="83"/>
      <c r="K45" s="83"/>
      <c r="L45" s="83"/>
      <c r="M45" s="83"/>
      <c r="N45" s="83"/>
      <c r="O45" s="83"/>
      <c r="P45" s="83"/>
      <c r="Q45" s="83"/>
      <c r="R45" s="83"/>
      <c r="S45" s="83"/>
      <c r="T45" s="83"/>
    </row>
  </sheetData>
  <mergeCells count="4">
    <mergeCell ref="A1:T1"/>
    <mergeCell ref="A26:B26"/>
    <mergeCell ref="A43:K43"/>
    <mergeCell ref="A44:K44"/>
  </mergeCells>
  <conditionalFormatting sqref="A3">
    <cfRule type="iconSet" priority="5">
      <iconSet iconSet="3TrafficLights2">
        <cfvo type="percent" val="0"/>
        <cfvo type="percent" val="33"/>
        <cfvo type="percent" val="67"/>
      </iconSet>
    </cfRule>
  </conditionalFormatting>
  <conditionalFormatting sqref="A4">
    <cfRule type="iconSet" priority="4">
      <iconSet iconSet="3TrafficLights2">
        <cfvo type="percent" val="0"/>
        <cfvo type="percent" val="33"/>
        <cfvo type="percent" val="67"/>
      </iconSet>
    </cfRule>
  </conditionalFormatting>
  <conditionalFormatting sqref="D4">
    <cfRule type="iconSet" priority="3">
      <iconSet iconSet="3TrafficLights2">
        <cfvo type="percent" val="0"/>
        <cfvo type="percent" val="33"/>
        <cfvo type="percent" val="67"/>
      </iconSet>
    </cfRule>
  </conditionalFormatting>
  <conditionalFormatting sqref="G4">
    <cfRule type="iconSet" priority="2">
      <iconSet iconSet="3TrafficLights2">
        <cfvo type="percent" val="0"/>
        <cfvo type="percent" val="33"/>
        <cfvo type="percent" val="67"/>
      </iconSet>
    </cfRule>
  </conditionalFormatting>
  <conditionalFormatting sqref="J4">
    <cfRule type="iconSet" priority="1">
      <iconSet iconSet="3TrafficLights2">
        <cfvo type="percent" val="0"/>
        <cfvo type="percent" val="33"/>
        <cfvo type="percent" val="67"/>
      </iconSet>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Scenario Summary</vt:lpstr>
      <vt:lpstr>Main Task</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guptarajubhai636@gmail.com</dc:creator>
  <cp:lastModifiedBy>guptarajubhai636@gmail.com</cp:lastModifiedBy>
  <dcterms:created xsi:type="dcterms:W3CDTF">2026-09-19T09:19:36Z</dcterms:created>
  <dcterms:modified xsi:type="dcterms:W3CDTF">2026-09-21T07:11:03Z</dcterms:modified>
</cp:coreProperties>
</file>